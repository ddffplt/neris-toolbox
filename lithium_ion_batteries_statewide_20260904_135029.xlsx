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"/>
    </mc:Choice>
  </mc:AlternateContent>
  <xr:revisionPtr revIDLastSave="0" documentId="13_ncr:1_{D803345A-AD1A-4E3B-A459-10569F86DDF9}" xr6:coauthVersionLast="47" xr6:coauthVersionMax="47" xr10:uidLastSave="{00000000-0000-0000-0000-000000000000}"/>
  <bookViews>
    <workbookView xWindow="28680" yWindow="-705" windowWidth="29040" windowHeight="15720" xr2:uid="{00000000-000D-0000-FFFF-FFFF00000000}"/>
  </bookViews>
  <sheets>
    <sheet name="Incident Details" sheetId="1" r:id="rId1"/>
    <sheet name="Summary" sheetId="2" r:id="rId2"/>
    <sheet name="Report Source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1" l="1"/>
  <c r="H85" i="1" s="1"/>
  <c r="D84" i="1"/>
  <c r="E84" i="1" s="1"/>
  <c r="D83" i="1"/>
  <c r="H83" i="1" s="1"/>
  <c r="D82" i="1"/>
  <c r="G82" i="1" s="1"/>
  <c r="D81" i="1"/>
  <c r="G81" i="1" s="1"/>
  <c r="D80" i="1"/>
  <c r="G80" i="1" s="1"/>
  <c r="D79" i="1"/>
  <c r="E79" i="1" s="1"/>
  <c r="D78" i="1"/>
  <c r="G78" i="1" s="1"/>
  <c r="D77" i="1"/>
  <c r="H77" i="1" s="1"/>
  <c r="D76" i="1"/>
  <c r="G76" i="1" s="1"/>
  <c r="D75" i="1"/>
  <c r="H75" i="1" s="1"/>
  <c r="D74" i="1"/>
  <c r="G74" i="1" s="1"/>
  <c r="D73" i="1"/>
  <c r="G73" i="1" s="1"/>
  <c r="D72" i="1"/>
  <c r="H72" i="1" s="1"/>
  <c r="D71" i="1"/>
  <c r="E71" i="1" s="1"/>
  <c r="D70" i="1"/>
  <c r="H70" i="1" s="1"/>
  <c r="D69" i="1"/>
  <c r="H69" i="1" s="1"/>
  <c r="D68" i="1"/>
  <c r="G68" i="1" s="1"/>
  <c r="G67" i="1"/>
  <c r="D67" i="1"/>
  <c r="F67" i="1" s="1"/>
  <c r="D66" i="1"/>
  <c r="G66" i="1" s="1"/>
  <c r="D65" i="1"/>
  <c r="G65" i="1" s="1"/>
  <c r="D64" i="1"/>
  <c r="H64" i="1" s="1"/>
  <c r="D63" i="1"/>
  <c r="E63" i="1" s="1"/>
  <c r="D62" i="1"/>
  <c r="E62" i="1" s="1"/>
  <c r="D61" i="1"/>
  <c r="H61" i="1" s="1"/>
  <c r="D60" i="1"/>
  <c r="G60" i="1" s="1"/>
  <c r="D59" i="1"/>
  <c r="H59" i="1" s="1"/>
  <c r="D58" i="1"/>
  <c r="G58" i="1" s="1"/>
  <c r="D57" i="1"/>
  <c r="G57" i="1" s="1"/>
  <c r="D56" i="1"/>
  <c r="H56" i="1" s="1"/>
  <c r="D55" i="1"/>
  <c r="E55" i="1" s="1"/>
  <c r="D54" i="1"/>
  <c r="E54" i="1" s="1"/>
  <c r="D53" i="1"/>
  <c r="H53" i="1" s="1"/>
  <c r="D52" i="1"/>
  <c r="G52" i="1" s="1"/>
  <c r="D51" i="1"/>
  <c r="H51" i="1" s="1"/>
  <c r="D50" i="1"/>
  <c r="G50" i="1" s="1"/>
  <c r="D49" i="1"/>
  <c r="G49" i="1" s="1"/>
  <c r="D48" i="1"/>
  <c r="H48" i="1" s="1"/>
  <c r="D47" i="1"/>
  <c r="E47" i="1" s="1"/>
  <c r="D46" i="1"/>
  <c r="E46" i="1" s="1"/>
  <c r="D45" i="1"/>
  <c r="H45" i="1" s="1"/>
  <c r="D44" i="1"/>
  <c r="G44" i="1" s="1"/>
  <c r="G43" i="1"/>
  <c r="D43" i="1"/>
  <c r="H43" i="1" s="1"/>
  <c r="D42" i="1"/>
  <c r="G42" i="1" s="1"/>
  <c r="D41" i="1"/>
  <c r="G41" i="1" s="1"/>
  <c r="D40" i="1"/>
  <c r="H40" i="1" s="1"/>
  <c r="D39" i="1"/>
  <c r="E39" i="1" s="1"/>
  <c r="H38" i="1"/>
  <c r="D38" i="1"/>
  <c r="E38" i="1" s="1"/>
  <c r="D37" i="1"/>
  <c r="H37" i="1" s="1"/>
  <c r="D36" i="1"/>
  <c r="G36" i="1" s="1"/>
  <c r="D35" i="1"/>
  <c r="H35" i="1" s="1"/>
  <c r="D34" i="1"/>
  <c r="G34" i="1" s="1"/>
  <c r="D33" i="1"/>
  <c r="G33" i="1" s="1"/>
  <c r="D32" i="1"/>
  <c r="H32" i="1" s="1"/>
  <c r="D31" i="1"/>
  <c r="E31" i="1" s="1"/>
  <c r="D30" i="1"/>
  <c r="E30" i="1" s="1"/>
  <c r="D29" i="1"/>
  <c r="H29" i="1" s="1"/>
  <c r="D28" i="1"/>
  <c r="G28" i="1" s="1"/>
  <c r="D27" i="1"/>
  <c r="G27" i="1" s="1"/>
  <c r="D26" i="1"/>
  <c r="G26" i="1" s="1"/>
  <c r="D25" i="1"/>
  <c r="G25" i="1" s="1"/>
  <c r="D24" i="1"/>
  <c r="H24" i="1" s="1"/>
  <c r="D23" i="1"/>
  <c r="E23" i="1" s="1"/>
  <c r="D22" i="1"/>
  <c r="E22" i="1" s="1"/>
  <c r="D21" i="1"/>
  <c r="H21" i="1" s="1"/>
  <c r="D20" i="1"/>
  <c r="G20" i="1" s="1"/>
  <c r="D19" i="1"/>
  <c r="G19" i="1" s="1"/>
  <c r="D18" i="1"/>
  <c r="G18" i="1" s="1"/>
  <c r="D17" i="1"/>
  <c r="G17" i="1" s="1"/>
  <c r="D16" i="1"/>
  <c r="H16" i="1" s="1"/>
  <c r="D15" i="1"/>
  <c r="E15" i="1" s="1"/>
  <c r="D14" i="1"/>
  <c r="E14" i="1" s="1"/>
  <c r="D13" i="1"/>
  <c r="H13" i="1" s="1"/>
  <c r="D12" i="1"/>
  <c r="G12" i="1" s="1"/>
  <c r="D11" i="1"/>
  <c r="H11" i="1" s="1"/>
  <c r="D10" i="1"/>
  <c r="G10" i="1" s="1"/>
  <c r="D9" i="1"/>
  <c r="G9" i="1" s="1"/>
  <c r="D8" i="1"/>
  <c r="H8" i="1" s="1"/>
  <c r="D7" i="1"/>
  <c r="E7" i="1" s="1"/>
  <c r="D6" i="1"/>
  <c r="E6" i="1" s="1"/>
  <c r="D5" i="1"/>
  <c r="H5" i="1" s="1"/>
  <c r="D4" i="1"/>
  <c r="G4" i="1" s="1"/>
  <c r="D3" i="1"/>
  <c r="F3" i="1" s="1"/>
  <c r="D2" i="1"/>
  <c r="G2" i="1" s="1"/>
  <c r="G46" i="1" l="1"/>
  <c r="H67" i="1"/>
  <c r="H46" i="1"/>
  <c r="E43" i="1"/>
  <c r="F38" i="1"/>
  <c r="F43" i="1"/>
  <c r="G6" i="1"/>
  <c r="E20" i="1"/>
  <c r="F27" i="1"/>
  <c r="F32" i="1"/>
  <c r="H44" i="1"/>
  <c r="H27" i="1"/>
  <c r="F64" i="1"/>
  <c r="E78" i="1"/>
  <c r="H6" i="1"/>
  <c r="E4" i="1"/>
  <c r="H30" i="1"/>
  <c r="F46" i="1"/>
  <c r="F51" i="1"/>
  <c r="H78" i="1"/>
  <c r="G3" i="1"/>
  <c r="G14" i="1"/>
  <c r="E19" i="1"/>
  <c r="F23" i="1"/>
  <c r="H3" i="1"/>
  <c r="E11" i="1"/>
  <c r="F19" i="1"/>
  <c r="E70" i="1"/>
  <c r="F7" i="1"/>
  <c r="G11" i="1"/>
  <c r="F15" i="1"/>
  <c r="H19" i="1"/>
  <c r="F24" i="1"/>
  <c r="F39" i="1"/>
  <c r="F70" i="1"/>
  <c r="F75" i="1"/>
  <c r="E80" i="1"/>
  <c r="F54" i="1"/>
  <c r="G70" i="1"/>
  <c r="F80" i="1"/>
  <c r="E8" i="1"/>
  <c r="E12" i="1"/>
  <c r="H36" i="1"/>
  <c r="H12" i="1"/>
  <c r="H17" i="1"/>
  <c r="H81" i="1"/>
  <c r="F6" i="1"/>
  <c r="H9" i="1"/>
  <c r="E27" i="1"/>
  <c r="E64" i="1"/>
  <c r="E68" i="1"/>
  <c r="F22" i="1"/>
  <c r="E40" i="1"/>
  <c r="H49" i="1"/>
  <c r="E52" i="1"/>
  <c r="F55" i="1"/>
  <c r="E59" i="1"/>
  <c r="H73" i="1"/>
  <c r="E76" i="1"/>
  <c r="E16" i="1"/>
  <c r="G22" i="1"/>
  <c r="H25" i="1"/>
  <c r="E28" i="1"/>
  <c r="F31" i="1"/>
  <c r="E35" i="1"/>
  <c r="F40" i="1"/>
  <c r="H52" i="1"/>
  <c r="F59" i="1"/>
  <c r="F62" i="1"/>
  <c r="H76" i="1"/>
  <c r="F79" i="1"/>
  <c r="F16" i="1"/>
  <c r="H22" i="1"/>
  <c r="H28" i="1"/>
  <c r="F35" i="1"/>
  <c r="E56" i="1"/>
  <c r="G59" i="1"/>
  <c r="G62" i="1"/>
  <c r="H65" i="1"/>
  <c r="F83" i="1"/>
  <c r="H4" i="1"/>
  <c r="F11" i="1"/>
  <c r="F14" i="1"/>
  <c r="E32" i="1"/>
  <c r="G35" i="1"/>
  <c r="G38" i="1"/>
  <c r="H41" i="1"/>
  <c r="E44" i="1"/>
  <c r="F47" i="1"/>
  <c r="E51" i="1"/>
  <c r="F56" i="1"/>
  <c r="H62" i="1"/>
  <c r="H68" i="1"/>
  <c r="F71" i="1"/>
  <c r="E75" i="1"/>
  <c r="E3" i="1"/>
  <c r="F8" i="1"/>
  <c r="H14" i="1"/>
  <c r="H20" i="1"/>
  <c r="F30" i="1"/>
  <c r="E48" i="1"/>
  <c r="G51" i="1"/>
  <c r="G54" i="1"/>
  <c r="H57" i="1"/>
  <c r="E60" i="1"/>
  <c r="F63" i="1"/>
  <c r="E67" i="1"/>
  <c r="E72" i="1"/>
  <c r="G75" i="1"/>
  <c r="F78" i="1"/>
  <c r="H80" i="1"/>
  <c r="E24" i="1"/>
  <c r="G30" i="1"/>
  <c r="H33" i="1"/>
  <c r="E36" i="1"/>
  <c r="F48" i="1"/>
  <c r="H54" i="1"/>
  <c r="H60" i="1"/>
  <c r="F72" i="1"/>
  <c r="H2" i="1"/>
  <c r="F4" i="1"/>
  <c r="G7" i="1"/>
  <c r="E9" i="1"/>
  <c r="H10" i="1"/>
  <c r="F12" i="1"/>
  <c r="G15" i="1"/>
  <c r="E17" i="1"/>
  <c r="H18" i="1"/>
  <c r="F20" i="1"/>
  <c r="G23" i="1"/>
  <c r="E25" i="1"/>
  <c r="H26" i="1"/>
  <c r="F28" i="1"/>
  <c r="G31" i="1"/>
  <c r="E33" i="1"/>
  <c r="H34" i="1"/>
  <c r="F36" i="1"/>
  <c r="G39" i="1"/>
  <c r="E41" i="1"/>
  <c r="H42" i="1"/>
  <c r="F44" i="1"/>
  <c r="G47" i="1"/>
  <c r="E49" i="1"/>
  <c r="H50" i="1"/>
  <c r="F52" i="1"/>
  <c r="G55" i="1"/>
  <c r="E57" i="1"/>
  <c r="H58" i="1"/>
  <c r="F60" i="1"/>
  <c r="G63" i="1"/>
  <c r="E65" i="1"/>
  <c r="H66" i="1"/>
  <c r="F68" i="1"/>
  <c r="G71" i="1"/>
  <c r="E73" i="1"/>
  <c r="H74" i="1"/>
  <c r="F76" i="1"/>
  <c r="G79" i="1"/>
  <c r="E81" i="1"/>
  <c r="H82" i="1"/>
  <c r="F84" i="1"/>
  <c r="H7" i="1"/>
  <c r="F9" i="1"/>
  <c r="H15" i="1"/>
  <c r="F17" i="1"/>
  <c r="H23" i="1"/>
  <c r="F25" i="1"/>
  <c r="H31" i="1"/>
  <c r="F33" i="1"/>
  <c r="H39" i="1"/>
  <c r="F41" i="1"/>
  <c r="H47" i="1"/>
  <c r="F49" i="1"/>
  <c r="H55" i="1"/>
  <c r="F57" i="1"/>
  <c r="H63" i="1"/>
  <c r="F65" i="1"/>
  <c r="H71" i="1"/>
  <c r="F73" i="1"/>
  <c r="H79" i="1"/>
  <c r="F81" i="1"/>
  <c r="G84" i="1"/>
  <c r="E83" i="1"/>
  <c r="H84" i="1"/>
  <c r="E5" i="1"/>
  <c r="E13" i="1"/>
  <c r="E21" i="1"/>
  <c r="E29" i="1"/>
  <c r="E37" i="1"/>
  <c r="E45" i="1"/>
  <c r="E53" i="1"/>
  <c r="E61" i="1"/>
  <c r="E69" i="1"/>
  <c r="E77" i="1"/>
  <c r="G83" i="1"/>
  <c r="E85" i="1"/>
  <c r="E2" i="1"/>
  <c r="F5" i="1"/>
  <c r="G8" i="1"/>
  <c r="E10" i="1"/>
  <c r="F13" i="1"/>
  <c r="G16" i="1"/>
  <c r="E18" i="1"/>
  <c r="F21" i="1"/>
  <c r="G24" i="1"/>
  <c r="E26" i="1"/>
  <c r="F29" i="1"/>
  <c r="G32" i="1"/>
  <c r="E34" i="1"/>
  <c r="F37" i="1"/>
  <c r="G40" i="1"/>
  <c r="E42" i="1"/>
  <c r="F45" i="1"/>
  <c r="G48" i="1"/>
  <c r="E50" i="1"/>
  <c r="F53" i="1"/>
  <c r="G56" i="1"/>
  <c r="E58" i="1"/>
  <c r="F61" i="1"/>
  <c r="G64" i="1"/>
  <c r="E66" i="1"/>
  <c r="F69" i="1"/>
  <c r="G72" i="1"/>
  <c r="E74" i="1"/>
  <c r="F77" i="1"/>
  <c r="E82" i="1"/>
  <c r="F85" i="1"/>
  <c r="F2" i="1"/>
  <c r="G5" i="1"/>
  <c r="F10" i="1"/>
  <c r="G13" i="1"/>
  <c r="F18" i="1"/>
  <c r="G21" i="1"/>
  <c r="F26" i="1"/>
  <c r="G29" i="1"/>
  <c r="F34" i="1"/>
  <c r="G37" i="1"/>
  <c r="F42" i="1"/>
  <c r="G45" i="1"/>
  <c r="F50" i="1"/>
  <c r="G53" i="1"/>
  <c r="F58" i="1"/>
  <c r="G61" i="1"/>
  <c r="F66" i="1"/>
  <c r="G69" i="1"/>
  <c r="F74" i="1"/>
  <c r="G77" i="1"/>
  <c r="F82" i="1"/>
  <c r="G85" i="1"/>
</calcChain>
</file>

<file path=xl/sharedStrings.xml><?xml version="1.0" encoding="utf-8"?>
<sst xmlns="http://schemas.openxmlformats.org/spreadsheetml/2006/main" count="1225" uniqueCount="682">
  <si>
    <t>Entity ID</t>
  </si>
  <si>
    <t>Department Name</t>
  </si>
  <si>
    <t>Incident Date/Time (UTC)</t>
  </si>
  <si>
    <t>Incident Date</t>
  </si>
  <si>
    <t>Incident Time</t>
  </si>
  <si>
    <t>Incident Month</t>
  </si>
  <si>
    <t>Incident Year</t>
  </si>
  <si>
    <t>Incident Hour</t>
  </si>
  <si>
    <t>Incident Number</t>
  </si>
  <si>
    <t>Primary Incident Type</t>
  </si>
  <si>
    <t>Secondary Incident Type</t>
  </si>
  <si>
    <t>Tertiary Incident Type</t>
  </si>
  <si>
    <t>Address</t>
  </si>
  <si>
    <t>City</t>
  </si>
  <si>
    <t>State</t>
  </si>
  <si>
    <t>Zip Code</t>
  </si>
  <si>
    <t>County</t>
  </si>
  <si>
    <t>Primary Location Use</t>
  </si>
  <si>
    <t>Secondary Location Use</t>
  </si>
  <si>
    <t>Latitude</t>
  </si>
  <si>
    <t>Longitude</t>
  </si>
  <si>
    <t>NERIS ID</t>
  </si>
  <si>
    <t>Structure Fire Cause - Battery_Power_storage</t>
  </si>
  <si>
    <t>Outside Fire Cause - Battery_Power_storage</t>
  </si>
  <si>
    <t>Electric Vehicle Status</t>
  </si>
  <si>
    <t>Electric Reignition</t>
  </si>
  <si>
    <t>Electric Suppression</t>
  </si>
  <si>
    <t>Electric Target</t>
  </si>
  <si>
    <t>Electric Hazard Types</t>
  </si>
  <si>
    <t>Electric Hazard Source/Target</t>
  </si>
  <si>
    <t>Electric Hazard Electrification Hazard</t>
  </si>
  <si>
    <t>Electric Hazard Battery Powered/Stored Energy Category</t>
  </si>
  <si>
    <t>Electric Hazard Specific Type</t>
  </si>
  <si>
    <t>Product Type</t>
  </si>
  <si>
    <t>Original Battery</t>
  </si>
  <si>
    <t>Installation Status</t>
  </si>
  <si>
    <t>Safety Listed</t>
  </si>
  <si>
    <t>Vehicle Battery</t>
  </si>
  <si>
    <t>Charging at Ignition</t>
  </si>
  <si>
    <t>Incident Indoor/Outdoor</t>
  </si>
  <si>
    <t>Impacted from Source</t>
  </si>
  <si>
    <t>Thermal Runaway</t>
  </si>
  <si>
    <t>FD Suppression</t>
  </si>
  <si>
    <t>Battery Cell</t>
  </si>
  <si>
    <t>Battery Chemistry</t>
  </si>
  <si>
    <t>Civilian Deaths</t>
  </si>
  <si>
    <t>Civilian Injuries</t>
  </si>
  <si>
    <t>Firefighter Deaths</t>
  </si>
  <si>
    <t>Firefighter Injuries</t>
  </si>
  <si>
    <t>FD25001274</t>
  </si>
  <si>
    <t>Falmouth Fire/ Rescue</t>
  </si>
  <si>
    <t>2026-09-03T14:15:43+00:00</t>
  </si>
  <si>
    <t>26-022485</t>
  </si>
  <si>
    <t>HAZSIT||HAZARD_NONCHEM||ELEC_HAZARD_SHORT_CIRCUIT</t>
  </si>
  <si>
    <t>37 GRAY LANE</t>
  </si>
  <si>
    <t>MA</t>
  </si>
  <si>
    <t>02543</t>
  </si>
  <si>
    <t>Barnstable</t>
  </si>
  <si>
    <t>RESIDENTIAL</t>
  </si>
  <si>
    <t>DETATCHED_SINGLE_FAMILY_DWELLING</t>
  </si>
  <si>
    <t>FD25001274|26-022485|1788444943</t>
  </si>
  <si>
    <t>ENERGY_STORAGE_SYSTEM||BATTERY</t>
  </si>
  <si>
    <t>SOURCE</t>
  </si>
  <si>
    <t>2026-04-22T14:02:28+00:00</t>
  </si>
  <si>
    <t>26-009364</t>
  </si>
  <si>
    <t>MEDICAL||INJURY||ELECTROCUTION</t>
  </si>
  <si>
    <t>389 GIFFORD STREET Apt 268</t>
  </si>
  <si>
    <t>02540</t>
  </si>
  <si>
    <t>HEALTH_CARE</t>
  </si>
  <si>
    <t>NURSING_HOME_ASSISTED_LIVING_RESIDENCE_ONSITE</t>
  </si>
  <si>
    <t>FD25001274|26-009364|1776866548</t>
  </si>
  <si>
    <t>CONSUMER_PRODUCTS||APPLIANCE_TOOL</t>
  </si>
  <si>
    <t>2026-04-15T11:21:00+00:00</t>
  </si>
  <si>
    <t>26-008780</t>
  </si>
  <si>
    <t>FIRE||STRUCTURE_FIRE||STRUCTURAL_INVOLVEMENT_FIRE</t>
  </si>
  <si>
    <t>259 CLUB VALLEY DRIVE</t>
  </si>
  <si>
    <t>02536</t>
  </si>
  <si>
    <t>FD25001274|26-008780|1776252060</t>
  </si>
  <si>
    <t>E_MOBILITY||POWER_ASSISTED_BICYCLE</t>
  </si>
  <si>
    <t>2026-04-14T08:57:35+00:00</t>
  </si>
  <si>
    <t>26-008689</t>
  </si>
  <si>
    <t>364 East FALMOUTH HIGHWAY</t>
  </si>
  <si>
    <t>MULTI_FAMILY_LOWRISE_DWELLING</t>
  </si>
  <si>
    <t>FD25001274|26-008689|1776157055</t>
  </si>
  <si>
    <t>2026-03-14T15:53:12+00:00</t>
  </si>
  <si>
    <t>26-006120</t>
  </si>
  <si>
    <t>19 OVERLOOK CIRCLE</t>
  </si>
  <si>
    <t>FD25001274|26-006120|1773503592</t>
  </si>
  <si>
    <t>2026-02-03T06:12:39+00:00</t>
  </si>
  <si>
    <t>26-002525</t>
  </si>
  <si>
    <t>PUBSERV||ALARMS_NONMED||OTHER_ALARM</t>
  </si>
  <si>
    <t>PUBSERV||DISASTER_WEATHER||DAMAGE_ASSESSMENT</t>
  </si>
  <si>
    <t>65 CLOWES DRIVE Apt C</t>
  </si>
  <si>
    <t>FD25001274|26-002525|1770099159</t>
  </si>
  <si>
    <t>2026-01-31T18:08:43+00:00</t>
  </si>
  <si>
    <t>26-002295</t>
  </si>
  <si>
    <t>389 GIFFORD STREET Apt Gym</t>
  </si>
  <si>
    <t>FD25001274|26-002295|1769882923</t>
  </si>
  <si>
    <t>CONSUMER_PRODUCTS||OTHER</t>
  </si>
  <si>
    <t>2026-01-06T11:22:34+00:00</t>
  </si>
  <si>
    <t>26-000370</t>
  </si>
  <si>
    <t>46 TASINA DRIVE</t>
  </si>
  <si>
    <t>FD25001274|26-000370|1767698554</t>
  </si>
  <si>
    <t>FD25001280</t>
  </si>
  <si>
    <t>Bourne Fire/Rescue And Emergency Services</t>
  </si>
  <si>
    <t>2026-06-16T16:02:19+00:00</t>
  </si>
  <si>
    <t>BRNE:2026:2498</t>
  </si>
  <si>
    <t>FIRE||SPECIAL_FIRE||EXPLOSION</t>
  </si>
  <si>
    <t>MEDICAL||INJURY||BURNS_EXPLOSION</t>
  </si>
  <si>
    <t>101 ACADEMY</t>
  </si>
  <si>
    <t>Barnstable County</t>
  </si>
  <si>
    <t>FD25001280|BRNE:2026:2498|1781625739</t>
  </si>
  <si>
    <t>FD25001583</t>
  </si>
  <si>
    <t>West Barnstable Fire Department</t>
  </si>
  <si>
    <t>2026-01-19T05:10:37+00:00</t>
  </si>
  <si>
    <t>2026-028</t>
  </si>
  <si>
    <t>282 CHURCH STREET</t>
  </si>
  <si>
    <t>02668</t>
  </si>
  <si>
    <t>FD25001583|2026-028|1768799437</t>
  </si>
  <si>
    <t>CONSUMER_PRODUCTS||POWER_BANK</t>
  </si>
  <si>
    <t>UNKNOWN</t>
  </si>
  <si>
    <t>FD25001798</t>
  </si>
  <si>
    <t>Dennis Fire Department</t>
  </si>
  <si>
    <t>2026-06-26T21:20:39+00:00</t>
  </si>
  <si>
    <t>26-0002912_639181261427754698</t>
  </si>
  <si>
    <t>HAZSIT||HAZARDOUS_MATERIALS||HAZMAT_RELEASE_TRANSPORT</t>
  </si>
  <si>
    <t>Beach</t>
  </si>
  <si>
    <t>West Dennis</t>
  </si>
  <si>
    <t>02670</t>
  </si>
  <si>
    <t>OUTDOOR</t>
  </si>
  <si>
    <t>WATERFRONT</t>
  </si>
  <si>
    <t>FD25001798|26-0002912_639181261427754698|1782508839</t>
  </si>
  <si>
    <t>ELECTRIC_VEHICLE||BOAT_RECREATIONAL||FULL_ELECTRIC</t>
  </si>
  <si>
    <t>2026-04-08T00:07:27+00:00</t>
  </si>
  <si>
    <t>26-0001677_639112080940376715</t>
  </si>
  <si>
    <t>Setucket</t>
  </si>
  <si>
    <t>South Dennis</t>
  </si>
  <si>
    <t>02660</t>
  </si>
  <si>
    <t>FD25001798|26-0001677_639112080940376715|1775606847</t>
  </si>
  <si>
    <t>ELECTRIC_VEHICLE||LIGHT_EV_NRR||FULL_ELECTRIC</t>
  </si>
  <si>
    <t>FD25003185</t>
  </si>
  <si>
    <t>Monterey Fire Department</t>
  </si>
  <si>
    <t>2026-03-25T17:30:00+00:00</t>
  </si>
  <si>
    <t>260325-133243-MFDMA_639188895246274548</t>
  </si>
  <si>
    <t>Main ROAD</t>
  </si>
  <si>
    <t>01245</t>
  </si>
  <si>
    <t>Berkshire County</t>
  </si>
  <si>
    <t>FD25003185|260325-133243-MFDMA_639188895246274548|1774459800</t>
  </si>
  <si>
    <t>FD25003648</t>
  </si>
  <si>
    <t>Cheshire Volunteer Fire Department</t>
  </si>
  <si>
    <t>2026-05-25T11:34:00+00:00</t>
  </si>
  <si>
    <t>26-29837_639153190790636655</t>
  </si>
  <si>
    <t>FIRE||TRANSPORTATION_FIRE||VEHICLE_FIRE_COMMERCIAL</t>
  </si>
  <si>
    <t>Potter Mountain</t>
  </si>
  <si>
    <t>Lanesborough</t>
  </si>
  <si>
    <t>01237</t>
  </si>
  <si>
    <t>OUTDOOR_INDUSTRIAL</t>
  </si>
  <si>
    <t>DUMP_LANDFILL</t>
  </si>
  <si>
    <t>FD25003648|26-29837_639153190790636655|1779708840</t>
  </si>
  <si>
    <t>ELECTRIC_VEHICLE||BUS_RR||FUEL_CELL</t>
  </si>
  <si>
    <t>FD25005059</t>
  </si>
  <si>
    <t>Swansea Fire Department</t>
  </si>
  <si>
    <t>2026-04-08T10:00:00+00:00</t>
  </si>
  <si>
    <t>cee7f654-7a78-4f47-8ed3-7c47661437e5</t>
  </si>
  <si>
    <t>RESCUE||STRUCTURE||BUILDING_STRUCTURE_COLLAPSE</t>
  </si>
  <si>
    <t>HAZSIT||HAZARD_NONCHEM||MOTOR_VEHICLE_COLLISION</t>
  </si>
  <si>
    <t>Swansea Mall</t>
  </si>
  <si>
    <t>Swansea</t>
  </si>
  <si>
    <t>02777</t>
  </si>
  <si>
    <t>Bristol County</t>
  </si>
  <si>
    <t>MEDICAL_OFFICE_CLINIC</t>
  </si>
  <si>
    <t>FD25005059|26-0000906|1775642400</t>
  </si>
  <si>
    <t>ELECTRIC_VEHICLE||CAR_RR||FULL_ELECTRIC</t>
  </si>
  <si>
    <t>FD25005492</t>
  </si>
  <si>
    <t>Town Of North Attleboro Fire Department</t>
  </si>
  <si>
    <t>2026-07-25T21:28:22+00:00</t>
  </si>
  <si>
    <t>2026003195</t>
  </si>
  <si>
    <t>Adamsdale</t>
  </si>
  <si>
    <t>North Attleboro</t>
  </si>
  <si>
    <t>02760</t>
  </si>
  <si>
    <t>FD25005492|2026003195|1785014961</t>
  </si>
  <si>
    <t>2026-05-19T12:07:08+00:00</t>
  </si>
  <si>
    <t>2026002048</t>
  </si>
  <si>
    <t>FIRE||TRANSPORTATION_FIRE||VEHICLE_FIRE_PASSENGER</t>
  </si>
  <si>
    <t>N Washington</t>
  </si>
  <si>
    <t>COMMERCIAL</t>
  </si>
  <si>
    <t>VEHICLE_REPAIR_SERVICES</t>
  </si>
  <si>
    <t>FD25005492|2026002048|1779192524</t>
  </si>
  <si>
    <t>2026-05-17T20:46:23+00:00</t>
  </si>
  <si>
    <t>2026002032</t>
  </si>
  <si>
    <t>NOEMERG||GOOD_INTENT||INVESTIGATE_HAZARDOUS_RELEASE</t>
  </si>
  <si>
    <t>ROADWAY_ACCESS</t>
  </si>
  <si>
    <t>PARKING_LOT_GARAGE</t>
  </si>
  <si>
    <t>FD25005492|2026002032|1779050862</t>
  </si>
  <si>
    <t>FD25005824</t>
  </si>
  <si>
    <t>Taunton Fire Department</t>
  </si>
  <si>
    <t>2026-04-17T10:08:35+00:00</t>
  </si>
  <si>
    <t>2026004441</t>
  </si>
  <si>
    <t>FIRE||STRUCTURE_FIRE||CONFINED_COOKING_APPLIANCE_FIRE</t>
  </si>
  <si>
    <t>County Apt 1</t>
  </si>
  <si>
    <t>Taunton</t>
  </si>
  <si>
    <t>02780</t>
  </si>
  <si>
    <t>RESTAURANT_CAFE</t>
  </si>
  <si>
    <t>FD25005824|2026004441|1776420547</t>
  </si>
  <si>
    <t>2026-03-07T17:50:24+00:00</t>
  </si>
  <si>
    <t>2026002718</t>
  </si>
  <si>
    <t>NOEMERG||GOOD_INTENT||SMOKE_FROM_NONHOSTILE_SOURCE</t>
  </si>
  <si>
    <t>Broadway Apt 6</t>
  </si>
  <si>
    <t>RETAIL_WHOLESALE_TRADE</t>
  </si>
  <si>
    <t>FD25005824|2026002718|1772905872</t>
  </si>
  <si>
    <t>FD25005831</t>
  </si>
  <si>
    <t>Fall River Fire Department</t>
  </si>
  <si>
    <t>2026-05-10T21:33:00+00:00</t>
  </si>
  <si>
    <t>23bc245c-413d-407e-84df-8a8f530c0985</t>
  </si>
  <si>
    <t>FIRE||STRUCTURE_FIRE||ROOM_AND_CONTENTS_FIRE</t>
  </si>
  <si>
    <t>N Main</t>
  </si>
  <si>
    <t>Fall River</t>
  </si>
  <si>
    <t>02720</t>
  </si>
  <si>
    <t>CONGREGATE_HOUSING</t>
  </si>
  <si>
    <t>FD25005831|26-2512-IN|1778448960</t>
  </si>
  <si>
    <t>CONSUMER_PRODUCTS||CELL_PHONE</t>
  </si>
  <si>
    <t>2026-02-17T21:04:00+00:00</t>
  </si>
  <si>
    <t>8289a8bb-dac1-4cae-8e12-c7dccfe0ff36</t>
  </si>
  <si>
    <t>HAZSIT||OVERPRESSURE||RUPTURE_WITHOUT_FIRE</t>
  </si>
  <si>
    <t>W Main</t>
  </si>
  <si>
    <t>Zanesville</t>
  </si>
  <si>
    <t>OH</t>
  </si>
  <si>
    <t>43701</t>
  </si>
  <si>
    <t>Muskingum County</t>
  </si>
  <si>
    <t>FD25005831|26-873-IN|1771362420</t>
  </si>
  <si>
    <t>FD25009914</t>
  </si>
  <si>
    <t>Merrimac Fire Department</t>
  </si>
  <si>
    <t>2026-05-23T14:49:46+00:00</t>
  </si>
  <si>
    <t>26-0594</t>
  </si>
  <si>
    <t>PUBSERV||CITIZEN_ASSIST||CITIZEN_ASSIST_SERVICE_CALL</t>
  </si>
  <si>
    <t>11 MERRIVILLAGE WAY</t>
  </si>
  <si>
    <t>01860</t>
  </si>
  <si>
    <t>FD25009914|26-0594|1779547786</t>
  </si>
  <si>
    <t>FD25011903</t>
  </si>
  <si>
    <t>Wendell Fire Department</t>
  </si>
  <si>
    <t>2026-07-27T20:25:36+00:00</t>
  </si>
  <si>
    <t>0e950018-3f32-44f8-85e8-735b6a861289</t>
  </si>
  <si>
    <t>West STREET</t>
  </si>
  <si>
    <t>Wendell</t>
  </si>
  <si>
    <t>01379</t>
  </si>
  <si>
    <t>Franklin County</t>
  </si>
  <si>
    <t>GROUND_VACANT_LAND</t>
  </si>
  <si>
    <t>FD25011903|1785870514|1785183936</t>
  </si>
  <si>
    <t>E_MOBILITY||ELECTRIC_SCOOTER_MOPED</t>
  </si>
  <si>
    <t>FD25013159</t>
  </si>
  <si>
    <t>Longmeadow Fire Department</t>
  </si>
  <si>
    <t>2026-05-27T15:59:00+00:00</t>
  </si>
  <si>
    <t>26-59563_639154988715847405</t>
  </si>
  <si>
    <t>CONVERSE STREET</t>
  </si>
  <si>
    <t>FD25013159|26-59563_639154988715847405|1779897610</t>
  </si>
  <si>
    <t>CONSUMER_PRODUCTS||APPLIANCE_TOOL||CONSUMER_PRODUCTS||APPLIANCE_TOOL</t>
  </si>
  <si>
    <t>UNKNOWN||UNKNOWN</t>
  </si>
  <si>
    <t>2026-01-12T03:51:00+00:00</t>
  </si>
  <si>
    <t>26-4251_639037914369429524</t>
  </si>
  <si>
    <t>422 Maple ROAD</t>
  </si>
  <si>
    <t>01106</t>
  </si>
  <si>
    <t>Hampden County</t>
  </si>
  <si>
    <t>FD25013159|26-4251_639037914369429524|1768189938</t>
  </si>
  <si>
    <t>CONSUMER_PRODUCTS||COMPUTER_TABLET</t>
  </si>
  <si>
    <t>FD25013812</t>
  </si>
  <si>
    <t>Southwick Fire Department</t>
  </si>
  <si>
    <t>2026-07-21T14:51:00+00:00</t>
  </si>
  <si>
    <t>26SWK-223-IN_639207915617597332</t>
  </si>
  <si>
    <t>FIRE||OUTSIDE_FIRE||TRASH_RUBBISH_FIRE</t>
  </si>
  <si>
    <t>Sheep Pasture</t>
  </si>
  <si>
    <t>Southwick</t>
  </si>
  <si>
    <t>01077</t>
  </si>
  <si>
    <t>AGRICULTURE_STRUCT</t>
  </si>
  <si>
    <t>VETERINARY_LIVESTOCK</t>
  </si>
  <si>
    <t>FD25013812|26SWK-223-IN_639207915617597332|1784645522</t>
  </si>
  <si>
    <t>CONSUMER_PRODUCTS||TOY</t>
  </si>
  <si>
    <t>FD25015088</t>
  </si>
  <si>
    <t>Amherst Fire Department</t>
  </si>
  <si>
    <t>2026-04-02T19:26:00+00:00</t>
  </si>
  <si>
    <t>26-6713_639203657477603018</t>
  </si>
  <si>
    <t>N Pleasant</t>
  </si>
  <si>
    <t>Amherst</t>
  </si>
  <si>
    <t>01003</t>
  </si>
  <si>
    <t>Hampshire County</t>
  </si>
  <si>
    <t>EDUCATION</t>
  </si>
  <si>
    <t>COLLEGES_UNIVERSITIES</t>
  </si>
  <si>
    <t>FD25015088|26-6713_639203657477603018|1775158005</t>
  </si>
  <si>
    <t>2026-03-29T16:23:00+00:00</t>
  </si>
  <si>
    <t>26-6347_639201957625560659</t>
  </si>
  <si>
    <t>State STREET</t>
  </si>
  <si>
    <t>01002</t>
  </si>
  <si>
    <t>FD25015088|26-6347_639201957625560659|1774801469</t>
  </si>
  <si>
    <t>FD25015152</t>
  </si>
  <si>
    <t>Worthington Fire-Rescue</t>
  </si>
  <si>
    <t>2026-01-20T19:59:00+00:00</t>
  </si>
  <si>
    <t>45c1d9ea-1bce-44a0-8968-b1a13ae3ed0e</t>
  </si>
  <si>
    <t>PUBSERV||ALARMS_NONMED||CO_ALARM</t>
  </si>
  <si>
    <t>Ridge</t>
  </si>
  <si>
    <t>Worthington</t>
  </si>
  <si>
    <t>01098</t>
  </si>
  <si>
    <t>FD25015152|1771181552|1768939140</t>
  </si>
  <si>
    <t>FD25015575</t>
  </si>
  <si>
    <t>Ware Fire Department</t>
  </si>
  <si>
    <t>2026-03-25T06:43:00+00:00</t>
  </si>
  <si>
    <t>26-33299_639100353018905952</t>
  </si>
  <si>
    <t>Monson Turnpike ROAD Apt 1018</t>
  </si>
  <si>
    <t>01082</t>
  </si>
  <si>
    <t>MANUFACTURED_MOBILE_HOME</t>
  </si>
  <si>
    <t>FD25015575|26-33299_639100353018905952|1774421034</t>
  </si>
  <si>
    <t>FD25017027</t>
  </si>
  <si>
    <t>Bedford Fire Department</t>
  </si>
  <si>
    <t>2026-07-10T21:00:09+00:00</t>
  </si>
  <si>
    <t>2026001842_639193954888045166</t>
  </si>
  <si>
    <t>FIRE||SPECIAL_FIRE||ESS_FIRE</t>
  </si>
  <si>
    <t>Redcoat ROAD</t>
  </si>
  <si>
    <t>01730</t>
  </si>
  <si>
    <t>ATTACHED_SINGLE_FAMILY_DWELLING</t>
  </si>
  <si>
    <t>FD25017027|2026001842_639193954888045166|1783717209</t>
  </si>
  <si>
    <t>2026-06-08T18:58:34+00:00</t>
  </si>
  <si>
    <t>2026001486_639166011917889069</t>
  </si>
  <si>
    <t>MEDICAL||INJURY||MOTOR_VEHICLE_COLLISION</t>
  </si>
  <si>
    <t>FIRE||TRANSPORTATION_FIRE||POWERED_MOBILITY_DEVICE_FIRE</t>
  </si>
  <si>
    <t>Great ROAD</t>
  </si>
  <si>
    <t>Middlesex County</t>
  </si>
  <si>
    <t>STREET</t>
  </si>
  <si>
    <t>FD25017027|2026001486_639166011917889069|1780945114</t>
  </si>
  <si>
    <t>2026-02-16T16:09:47+00:00</t>
  </si>
  <si>
    <t>2026000428_639068857105474461</t>
  </si>
  <si>
    <t>Springs ROAD Apt BUILDING 6 room 239</t>
  </si>
  <si>
    <t>Middlesex</t>
  </si>
  <si>
    <t>ALCOHOL_DRUG_REHABILITATION_CENTER</t>
  </si>
  <si>
    <t>FD25017027|2026000428_639068857105474461|1771258187</t>
  </si>
  <si>
    <t>FD25017041</t>
  </si>
  <si>
    <t>Reading Fire Department</t>
  </si>
  <si>
    <t>2026-01-03T17:53:52+00:00</t>
  </si>
  <si>
    <t>26-164959_639030635072314838</t>
  </si>
  <si>
    <t>10 Summer AVENUE</t>
  </si>
  <si>
    <t>01867</t>
  </si>
  <si>
    <t>FD25017041|26-164959_639030635072314838|1767462832</t>
  </si>
  <si>
    <t>FD25017050</t>
  </si>
  <si>
    <t>Marlborough Fire Department</t>
  </si>
  <si>
    <t>2026-03-29T14:22:07+00:00</t>
  </si>
  <si>
    <t>2026002230</t>
  </si>
  <si>
    <t>55 HOWLAND ST</t>
  </si>
  <si>
    <t>MARLBOROUGH</t>
  </si>
  <si>
    <t>01752</t>
  </si>
  <si>
    <t>FD25017050|2026002230|1774794127</t>
  </si>
  <si>
    <t>FD25017095</t>
  </si>
  <si>
    <t>Town Of Acton/Fire Department</t>
  </si>
  <si>
    <t>2026-03-10T09:00:28+00:00</t>
  </si>
  <si>
    <t>26-4772_639087330026829243</t>
  </si>
  <si>
    <t>Main STREET</t>
  </si>
  <si>
    <t>01720</t>
  </si>
  <si>
    <t>FD25017095|26-4772_639087330026829243|1773133252</t>
  </si>
  <si>
    <t>ENERGY_STORAGE_SYSTEM||OTHER</t>
  </si>
  <si>
    <t>FD25017107</t>
  </si>
  <si>
    <t>Melrose Fire Department</t>
  </si>
  <si>
    <t>2026-07-26T21:12:34+00:00</t>
  </si>
  <si>
    <t>26-2422</t>
  </si>
  <si>
    <t>50 PARK</t>
  </si>
  <si>
    <t>02176</t>
  </si>
  <si>
    <t>FD25017107|26-2422|1785100354</t>
  </si>
  <si>
    <t>FD25017248</t>
  </si>
  <si>
    <t>Sherborn Fire And Rescue Department</t>
  </si>
  <si>
    <t>2026-01-31T05:34:00+00:00</t>
  </si>
  <si>
    <t>26-20326</t>
  </si>
  <si>
    <t>HAZSIT||HAZARD_NONCHEM||ELEC_POWER_LINE_DOWN_ARCHING_MALFUNC</t>
  </si>
  <si>
    <t>Woodland</t>
  </si>
  <si>
    <t>Sherborn</t>
  </si>
  <si>
    <t>01770</t>
  </si>
  <si>
    <t>FD25017248|26-20326|1769837640</t>
  </si>
  <si>
    <t>FD25017266</t>
  </si>
  <si>
    <t>Arlington Fire Department</t>
  </si>
  <si>
    <t>2026-03-19T13:30:39+00:00</t>
  </si>
  <si>
    <t>2026-6008180</t>
  </si>
  <si>
    <t>7 WINTER</t>
  </si>
  <si>
    <t>02474</t>
  </si>
  <si>
    <t>FD25017266|2026-6008180|1773927039</t>
  </si>
  <si>
    <t>FD25017401</t>
  </si>
  <si>
    <t>Groton Fire Department</t>
  </si>
  <si>
    <t>2026-08-05T16:13:00+00:00</t>
  </si>
  <si>
    <t>26-41258_639217213465817871</t>
  </si>
  <si>
    <t>Gay</t>
  </si>
  <si>
    <t>Groton</t>
  </si>
  <si>
    <t>01450</t>
  </si>
  <si>
    <t>FD25017401|26-41258_639217213465817871|1785946507</t>
  </si>
  <si>
    <t>FD25017868</t>
  </si>
  <si>
    <t>Hopkinton Fire Department</t>
  </si>
  <si>
    <t>2026-05-20T10:15:34+00:00</t>
  </si>
  <si>
    <t>2026001071</t>
  </si>
  <si>
    <t>394 Wood St</t>
  </si>
  <si>
    <t>01748</t>
  </si>
  <si>
    <t>Hopkinton</t>
  </si>
  <si>
    <t>UTILITY_MISC</t>
  </si>
  <si>
    <t>TRASH_RECYCLING_FACILITY</t>
  </si>
  <si>
    <t>FD25017868|2026001071|1779272150</t>
  </si>
  <si>
    <t>2026-05-13T16:53:12+00:00</t>
  </si>
  <si>
    <t>2026001029</t>
  </si>
  <si>
    <t>Lumber St/W Main St</t>
  </si>
  <si>
    <t>FD25017868|2026001029|1778691192</t>
  </si>
  <si>
    <t>2026-04-17T17:01:53+00:00</t>
  </si>
  <si>
    <t>2026000816</t>
  </si>
  <si>
    <t>32 W Main St</t>
  </si>
  <si>
    <t>FD25017868|2026000816|1776445332</t>
  </si>
  <si>
    <t>FD25017955</t>
  </si>
  <si>
    <t>Stow Fire</t>
  </si>
  <si>
    <t>2026-08-02T21:36:00+00:00</t>
  </si>
  <si>
    <t>50e9ffbb-dd6d-4f62-8a00-70b42b453712</t>
  </si>
  <si>
    <t>Hudson</t>
  </si>
  <si>
    <t>Stow</t>
  </si>
  <si>
    <t>01775</t>
  </si>
  <si>
    <t>FD25017955|26-694|1785706560</t>
  </si>
  <si>
    <t>2026-03-10T15:19:00+00:00</t>
  </si>
  <si>
    <t>c4850898-e42a-4ebf-8d32-40e349c173f0</t>
  </si>
  <si>
    <t>Old Orchard</t>
  </si>
  <si>
    <t>Boxborough</t>
  </si>
  <si>
    <t>01719</t>
  </si>
  <si>
    <t>FD25017955|26-218|1773155940</t>
  </si>
  <si>
    <t>CONSUMER_PRODUCTS||POWER_BANK||CONSUMER_PRODUCTS||APPLIANCE_TOOL</t>
  </si>
  <si>
    <t>cb3729e7-33f7-4ecf-8b72-a40a67a7b321</t>
  </si>
  <si>
    <t>FD25017955|1773232383|1773155940</t>
  </si>
  <si>
    <t>FD25021451</t>
  </si>
  <si>
    <t>City Of Quincy Fire Department</t>
  </si>
  <si>
    <t>2026-05-17T16:36:35+00:00</t>
  </si>
  <si>
    <t>26-04241</t>
  </si>
  <si>
    <t>Macy</t>
  </si>
  <si>
    <t>Quincy</t>
  </si>
  <si>
    <t>02169</t>
  </si>
  <si>
    <t>Norfolk County</t>
  </si>
  <si>
    <t>FD25021451|26-04241|1779035795</t>
  </si>
  <si>
    <t>2026-03-25T22:56:54+00:00</t>
  </si>
  <si>
    <t>26-02611</t>
  </si>
  <si>
    <t>HAZSIT||INVESTIGATION||SMOKE_INVESTIGATION</t>
  </si>
  <si>
    <t>Newport</t>
  </si>
  <si>
    <t>02171</t>
  </si>
  <si>
    <t>FD25021451|26-02611|1774479414</t>
  </si>
  <si>
    <t>FD25021556</t>
  </si>
  <si>
    <t>Braintree Fire Department</t>
  </si>
  <si>
    <t>2026-05-16T21:11:42+00:00</t>
  </si>
  <si>
    <t>2026002893</t>
  </si>
  <si>
    <t>FIRE||OUTSIDE_FIRE||OTHER_OUTSIDE_FIRE</t>
  </si>
  <si>
    <t>1681 WASHINGTON  ST</t>
  </si>
  <si>
    <t>BRAINTREE</t>
  </si>
  <si>
    <t>02184</t>
  </si>
  <si>
    <t>OFFICE_OTHER_TECHNICAL_SERVICES</t>
  </si>
  <si>
    <t>FD25021556|2026002893|1778965963</t>
  </si>
  <si>
    <t>2026-02-12T09:25:00+00:00</t>
  </si>
  <si>
    <t>2026000889</t>
  </si>
  <si>
    <t>FIRE||TRANSPORTATION_FIRE||VEHICLE_FIRE_RV</t>
  </si>
  <si>
    <t>180 FORBES RD</t>
  </si>
  <si>
    <t>FD25021556|2026000889|1770888330</t>
  </si>
  <si>
    <t>ELECTRIC_VEHICLE||BUS_RR||HYBRID</t>
  </si>
  <si>
    <t>FD25021583</t>
  </si>
  <si>
    <t>Plainville Fire Department</t>
  </si>
  <si>
    <t>2026-07-22T23:08:04+00:00</t>
  </si>
  <si>
    <t>2026-59630</t>
  </si>
  <si>
    <t>14 BELCHER</t>
  </si>
  <si>
    <t>02762</t>
  </si>
  <si>
    <t>FD25021583|2026-59630|1784761684</t>
  </si>
  <si>
    <t>FD25023004</t>
  </si>
  <si>
    <t>Hingham Fire Department</t>
  </si>
  <si>
    <t>2026-06-16T15:31:00+00:00</t>
  </si>
  <si>
    <t>HFM-26-02592</t>
  </si>
  <si>
    <t>24 VOLUSIA</t>
  </si>
  <si>
    <t>02043</t>
  </si>
  <si>
    <t>Plymouth County</t>
  </si>
  <si>
    <t>FD25023004|HFM-26-02592|1781623860</t>
  </si>
  <si>
    <t>2026-05-27T13:55:00+00:00</t>
  </si>
  <si>
    <t>HFM-26-02215</t>
  </si>
  <si>
    <t>17 UNION</t>
  </si>
  <si>
    <t>K_12_SCHOOLS</t>
  </si>
  <si>
    <t>FD25023004|HFM-26-02215|1779890100</t>
  </si>
  <si>
    <t>FD25023053</t>
  </si>
  <si>
    <t>West Bridgewater Fire Department</t>
  </si>
  <si>
    <t>2026-06-08T14:09:00+00:00</t>
  </si>
  <si>
    <t>260608-104808-WBFDMA_639165424224223295</t>
  </si>
  <si>
    <t>Cross STREET</t>
  </si>
  <si>
    <t>02379</t>
  </si>
  <si>
    <t>FD25023053|260608-104808-WBFDMA_639165424224223295|1780927740</t>
  </si>
  <si>
    <t>2026-01-06T18:17:00+00:00</t>
  </si>
  <si>
    <t>260106-181707-WBFDMA_639033255016972241</t>
  </si>
  <si>
    <t>155 W Center STREET</t>
  </si>
  <si>
    <t>FD25023053|260106-181707-WBFDMA_639033255016972241|1767723420</t>
  </si>
  <si>
    <t>FD25023065</t>
  </si>
  <si>
    <t>Plymouth Fire Department</t>
  </si>
  <si>
    <t>2026-09-02T16:47:36+00:00</t>
  </si>
  <si>
    <t>2026009962</t>
  </si>
  <si>
    <t>64 PALMER ROAD</t>
  </si>
  <si>
    <t>PLYMOUTH</t>
  </si>
  <si>
    <t>02360</t>
  </si>
  <si>
    <t>FD25023065|2026009962|1788367656</t>
  </si>
  <si>
    <t>FD25023455</t>
  </si>
  <si>
    <t>Wareham Fire Department</t>
  </si>
  <si>
    <t>2026-07-27T15:45:00+00:00</t>
  </si>
  <si>
    <t>WFM-2026-1939</t>
  </si>
  <si>
    <t>Glen Charlie</t>
  </si>
  <si>
    <t>East Wareham</t>
  </si>
  <si>
    <t>02538</t>
  </si>
  <si>
    <t>CAMP_SITE</t>
  </si>
  <si>
    <t>FD25023455|WFM-2026-1939|1785167100</t>
  </si>
  <si>
    <t>ELECTRIC_VEHICLE||LIGHT_EV_NRR||FUEL_CELL</t>
  </si>
  <si>
    <t>FD25023793</t>
  </si>
  <si>
    <t>Marshfield Fire Department</t>
  </si>
  <si>
    <t>2026-03-14T20:26:00+00:00</t>
  </si>
  <si>
    <t>26-1054_639091206313504123</t>
  </si>
  <si>
    <t>Tea Rock LANE</t>
  </si>
  <si>
    <t>02050</t>
  </si>
  <si>
    <t>FD25023793|26-1054_639091206313504123|1773519960</t>
  </si>
  <si>
    <t>FD25025316</t>
  </si>
  <si>
    <t>Boston Fire Department</t>
  </si>
  <si>
    <t>2026-09-01T02:54:51+00:00</t>
  </si>
  <si>
    <t>26-0062237</t>
  </si>
  <si>
    <t>HAMILTON ST</t>
  </si>
  <si>
    <t>02125</t>
  </si>
  <si>
    <t>SUFFOLK</t>
  </si>
  <si>
    <t>FD25025316|26-0062237|1788231291</t>
  </si>
  <si>
    <t>2026-08-31T13:01:06+00:00</t>
  </si>
  <si>
    <t>26-0062028</t>
  </si>
  <si>
    <t>N BEACON ST</t>
  </si>
  <si>
    <t>02135</t>
  </si>
  <si>
    <t>FD25025316|26-0062028|1788181266</t>
  </si>
  <si>
    <t>2026-08-28T04:22:03+00:00</t>
  </si>
  <si>
    <t>26-0061151</t>
  </si>
  <si>
    <t>HARRISON AVE</t>
  </si>
  <si>
    <t>02118</t>
  </si>
  <si>
    <t>MULTI_FAMILY_HIGHRISE_DWELLING</t>
  </si>
  <si>
    <t>FD25025316|26-0061151|1787890923</t>
  </si>
  <si>
    <t>2026-08-27T17:24:00+00:00</t>
  </si>
  <si>
    <t>26-0061002</t>
  </si>
  <si>
    <t>BOYLSTON ST</t>
  </si>
  <si>
    <t>02130</t>
  </si>
  <si>
    <t>FD25025316|26-0061002|1787851440</t>
  </si>
  <si>
    <t>2026-08-24T21:37:11+00:00</t>
  </si>
  <si>
    <t>26-0060313</t>
  </si>
  <si>
    <t>HAZSIT||OVERPRESSURE||NO_RUPTURE</t>
  </si>
  <si>
    <t>COLUMBIA RD</t>
  </si>
  <si>
    <t>02127</t>
  </si>
  <si>
    <t>FD25025316|26-0060313|1787607431</t>
  </si>
  <si>
    <t>2026-08-24T10:44:00+00:00</t>
  </si>
  <si>
    <t>26-0060150</t>
  </si>
  <si>
    <t>FIRE||OUTSIDE_FIRE||UTILITY_INFRASTRUCTURE_FIRE</t>
  </si>
  <si>
    <t>FREEPORT ST / ELLSWORTH ST</t>
  </si>
  <si>
    <t>02122</t>
  </si>
  <si>
    <t>FD25025316|26-0060150|1787568240</t>
  </si>
  <si>
    <t>2026-08-18T16:12:58+00:00</t>
  </si>
  <si>
    <t>26-0058698</t>
  </si>
  <si>
    <t>S HUNTINGTON AVE</t>
  </si>
  <si>
    <t>SIDEWALK</t>
  </si>
  <si>
    <t>FD25025316|26-0058698|1787069578</t>
  </si>
  <si>
    <t>2026-08-18T14:49:09+00:00</t>
  </si>
  <si>
    <t>26-0058670</t>
  </si>
  <si>
    <t>FD25025316|26-0058670|1787064549</t>
  </si>
  <si>
    <t>2026-08-17T05:42:09+00:00</t>
  </si>
  <si>
    <t>26-0058323</t>
  </si>
  <si>
    <t>BRAY ST / COLUMBUS AVE</t>
  </si>
  <si>
    <t>02119</t>
  </si>
  <si>
    <t>DETATCHED_GARAGE</t>
  </si>
  <si>
    <t>FD25025316|26-0058323|1786945329</t>
  </si>
  <si>
    <t>2026-08-13T11:19:33+00:00</t>
  </si>
  <si>
    <t>26-0057325</t>
  </si>
  <si>
    <t>ASHMONT ST / RUNDEL PARK</t>
  </si>
  <si>
    <t>02124</t>
  </si>
  <si>
    <t>FD25025316|26-0057325|1786619973</t>
  </si>
  <si>
    <t>2026-08-08T21:16:11+00:00</t>
  </si>
  <si>
    <t>26-0056139</t>
  </si>
  <si>
    <t>WASHINGTON ST</t>
  </si>
  <si>
    <t>FD25025316|26-0056139|1786223771</t>
  </si>
  <si>
    <t>2026-08-07T02:52:37+00:00</t>
  </si>
  <si>
    <t>26-0055624</t>
  </si>
  <si>
    <t>BLUEFIELD TER</t>
  </si>
  <si>
    <t>02126</t>
  </si>
  <si>
    <t>FD25025316|26-0055624|1786071157</t>
  </si>
  <si>
    <t>CONSUMER_PRODUCTS||OTHER||CONSUMER_PRODUCTS||APPLIANCE_TOOL</t>
  </si>
  <si>
    <t>2026-08-03T13:35:50+00:00</t>
  </si>
  <si>
    <t>26-0054565</t>
  </si>
  <si>
    <t>BEACON ST / FAIRMOUNT AVE</t>
  </si>
  <si>
    <t>02136</t>
  </si>
  <si>
    <t>FD25025316|26-0054565|1785764150</t>
  </si>
  <si>
    <t>2026-07-28T05:02:47+00:00</t>
  </si>
  <si>
    <t>26-0052873</t>
  </si>
  <si>
    <t>BENNINGTON ST</t>
  </si>
  <si>
    <t>02128</t>
  </si>
  <si>
    <t>FD25025316|26-0052873|1785214967</t>
  </si>
  <si>
    <t>2026-07-22T05:07:06+00:00</t>
  </si>
  <si>
    <t>26-0051157</t>
  </si>
  <si>
    <t>HAZSIT||HAZARDOUS_MATERIALS||GAS_LEAK_ODOR</t>
  </si>
  <si>
    <t>STELLMAN RD</t>
  </si>
  <si>
    <t>02131</t>
  </si>
  <si>
    <t>FD25025316|26-0051157|1784696826</t>
  </si>
  <si>
    <t>2026-07-21T00:33:29+00:00</t>
  </si>
  <si>
    <t>26-0050860</t>
  </si>
  <si>
    <t>CLINTON ST</t>
  </si>
  <si>
    <t>02109</t>
  </si>
  <si>
    <t>FD25025316|26-0050860|1784594009</t>
  </si>
  <si>
    <t>2026-07-20T23:47:20+00:00</t>
  </si>
  <si>
    <t>26-0050848</t>
  </si>
  <si>
    <t>AURIGA ST</t>
  </si>
  <si>
    <t>FD25025316|26-0050848|1784591240</t>
  </si>
  <si>
    <t>FD25027451</t>
  </si>
  <si>
    <t>Town Of Northborough Fire Department</t>
  </si>
  <si>
    <t>2026-08-15T21:42:16+00:00</t>
  </si>
  <si>
    <t>26-0001637_639224322613616029</t>
  </si>
  <si>
    <t>Church Apt A 4</t>
  </si>
  <si>
    <t>Northborough</t>
  </si>
  <si>
    <t>01532</t>
  </si>
  <si>
    <t>Worcester County</t>
  </si>
  <si>
    <t>FD25027451|26-0001637_639224322613616029|1786830136</t>
  </si>
  <si>
    <t>FD25027606</t>
  </si>
  <si>
    <t>Town Of Sturbridge Fire Department</t>
  </si>
  <si>
    <t>2026-07-21T13:32:00+00:00</t>
  </si>
  <si>
    <t>26-14622_639203448685322953</t>
  </si>
  <si>
    <t>Charlton</t>
  </si>
  <si>
    <t>Sturbridge</t>
  </si>
  <si>
    <t>01566</t>
  </si>
  <si>
    <t>ENERGY_FACILITY_INFRASTRUCTURE</t>
  </si>
  <si>
    <t>FD25027606|26-14622_639203448685322953|1784640858</t>
  </si>
  <si>
    <t>FD25027671</t>
  </si>
  <si>
    <t>Berlin Fire Department</t>
  </si>
  <si>
    <t>2026-04-13T00:12:26+00:00</t>
  </si>
  <si>
    <t>26-28355_639119451938919057</t>
  </si>
  <si>
    <t>Bailey</t>
  </si>
  <si>
    <t>Berlin</t>
  </si>
  <si>
    <t>01503</t>
  </si>
  <si>
    <t>FD25027671|26-28355_639119451938919057|1776039146</t>
  </si>
  <si>
    <t>FD25027786</t>
  </si>
  <si>
    <t>Bolton Fire Department</t>
  </si>
  <si>
    <t>2026-03-06T22:17:22+00:00</t>
  </si>
  <si>
    <t>26-17166_639084497616683794</t>
  </si>
  <si>
    <t>Green ROAD</t>
  </si>
  <si>
    <t>01740</t>
  </si>
  <si>
    <t>FD25027786|26-17166_639084497616683794|1772835442</t>
  </si>
  <si>
    <t>TARGET</t>
  </si>
  <si>
    <t>FD25027805</t>
  </si>
  <si>
    <t>Petersham Fire Department</t>
  </si>
  <si>
    <t>2026-06-21T01:11:48+00:00</t>
  </si>
  <si>
    <t>0ef277c6-baa5-4b2d-813f-baccc27bee67</t>
  </si>
  <si>
    <t>FD25027805|1782342373|1782004308</t>
  </si>
  <si>
    <t>FD25027809</t>
  </si>
  <si>
    <t>Lunenburg Fire Department</t>
  </si>
  <si>
    <t>2026-07-30T11:50:32+00:00</t>
  </si>
  <si>
    <t>26-60265_639210171641425597</t>
  </si>
  <si>
    <t>Hemlock DRIVE</t>
  </si>
  <si>
    <t>01462</t>
  </si>
  <si>
    <t>FD25027809|26-60265_639210171641425597|1785412232</t>
  </si>
  <si>
    <t>FD25027937</t>
  </si>
  <si>
    <t>Harvard Fire Department</t>
  </si>
  <si>
    <t>2026-03-06T01:48:33+00:00</t>
  </si>
  <si>
    <t>26-16944_639098633166085420</t>
  </si>
  <si>
    <t>Prospect Hill ROAD</t>
  </si>
  <si>
    <t>01451</t>
  </si>
  <si>
    <t>FD25027937|26-16944_639098633166085420|1772761713</t>
  </si>
  <si>
    <t>FD25027955</t>
  </si>
  <si>
    <t>Southborough Fire Department</t>
  </si>
  <si>
    <t>2026-03-27T01:58:00+00:00</t>
  </si>
  <si>
    <t>26-5199_639107364267222438</t>
  </si>
  <si>
    <t>E Main STREET</t>
  </si>
  <si>
    <t>01772</t>
  </si>
  <si>
    <t>FD25027955|26-5199_639107364267222438|1774576750</t>
  </si>
  <si>
    <t>Metric</t>
  </si>
  <si>
    <t>Count</t>
  </si>
  <si>
    <t>Total Incidents Reported</t>
  </si>
  <si>
    <t>Battery-Related Structure Fires</t>
  </si>
  <si>
    <t>Battery-Related Outside Fires</t>
  </si>
  <si>
    <t>Electric Vehicle Related</t>
  </si>
  <si>
    <t>Incidents with Electric Hazards</t>
  </si>
  <si>
    <t>Thermal Runaway Events</t>
  </si>
  <si>
    <t>Incidents with Original Battery Info</t>
  </si>
  <si>
    <t>Incidents with Battery Chemistry Info</t>
  </si>
  <si>
    <t>Report source</t>
  </si>
  <si>
    <t>IncidentPull_LithiumIonBatteries.py</t>
  </si>
  <si>
    <t>Report date/range</t>
  </si>
  <si>
    <t>2026-01-03T17:53:52+00:00 through 2026-09-03T14:15:43+00:00 (observed incident timestamps)</t>
  </si>
  <si>
    <t>Generated at</t>
  </si>
  <si>
    <t>2026-09-04T13:50:29-04:00</t>
  </si>
  <si>
    <t>Report Type</t>
  </si>
  <si>
    <t>Lithium-ion Battery Fires</t>
  </si>
  <si>
    <t>Date Range</t>
  </si>
  <si>
    <t>Occurred in current calendar year to date</t>
  </si>
  <si>
    <t>Entity Filter</t>
  </si>
  <si>
    <t>Statewide</t>
  </si>
  <si>
    <t>Included sheets</t>
  </si>
  <si>
    <t>Incident Details, Summary, Report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</si>
</sst>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h:mm"/>
    <numFmt numFmtId="165" formatCode="hh: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5"/>
  <sheetViews>
    <sheetView tabSelected="1" workbookViewId="0">
      <pane ySplit="1" topLeftCell="A59" activePane="bottomLeft" state="frozen"/>
      <selection pane="bottomLeft" activeCell="B61" sqref="B61:E77"/>
    </sheetView>
  </sheetViews>
  <sheetFormatPr defaultRowHeight="15" x14ac:dyDescent="0.25"/>
  <cols>
    <col min="1" max="1" width="12" customWidth="1"/>
    <col min="2" max="2" width="43" customWidth="1"/>
    <col min="3" max="3" width="27" customWidth="1"/>
    <col min="4" max="4" width="60" customWidth="1"/>
    <col min="5" max="5" width="27" customWidth="1"/>
    <col min="6" max="6" width="32" customWidth="1"/>
    <col min="7" max="8" width="26" customWidth="1"/>
    <col min="9" max="9" width="40" customWidth="1"/>
    <col min="10" max="10" width="60" customWidth="1"/>
    <col min="11" max="11" width="57" customWidth="1"/>
    <col min="12" max="12" width="24" customWidth="1"/>
    <col min="13" max="13" width="38" customWidth="1"/>
    <col min="14" max="14" width="17" customWidth="1"/>
    <col min="15" max="16" width="12" customWidth="1"/>
    <col min="17" max="17" width="19" customWidth="1"/>
    <col min="18" max="18" width="22" customWidth="1"/>
    <col min="19" max="19" width="47" customWidth="1"/>
    <col min="20" max="21" width="12" customWidth="1"/>
    <col min="22" max="22" width="60" customWidth="1"/>
    <col min="23" max="23" width="46" customWidth="1"/>
    <col min="24" max="24" width="44" customWidth="1"/>
    <col min="25" max="25" width="25" customWidth="1"/>
    <col min="26" max="26" width="21" customWidth="1"/>
    <col min="27" max="27" width="22" customWidth="1"/>
    <col min="28" max="28" width="17" customWidth="1"/>
    <col min="29" max="29" width="60" customWidth="1"/>
    <col min="30" max="30" width="31" customWidth="1"/>
    <col min="31" max="31" width="40" customWidth="1"/>
    <col min="32" max="32" width="56" customWidth="1"/>
    <col min="33" max="33" width="31" customWidth="1"/>
    <col min="34" max="34" width="14" customWidth="1"/>
    <col min="35" max="35" width="18" customWidth="1"/>
    <col min="36" max="36" width="21" customWidth="1"/>
    <col min="37" max="37" width="15" customWidth="1"/>
    <col min="38" max="38" width="17" customWidth="1"/>
    <col min="39" max="39" width="22" customWidth="1"/>
    <col min="40" max="40" width="25" customWidth="1"/>
    <col min="41" max="41" width="22" customWidth="1"/>
    <col min="42" max="42" width="17" customWidth="1"/>
    <col min="43" max="43" width="16" customWidth="1"/>
    <col min="44" max="44" width="14" customWidth="1"/>
    <col min="45" max="45" width="19" customWidth="1"/>
    <col min="46" max="46" width="17" customWidth="1"/>
    <col min="47" max="47" width="19" customWidth="1"/>
    <col min="48" max="48" width="20" customWidth="1"/>
    <col min="49" max="49" width="22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t="s">
        <v>49</v>
      </c>
      <c r="B2" t="s">
        <v>50</v>
      </c>
      <c r="C2" t="s">
        <v>51</v>
      </c>
      <c r="D2" s="2">
        <f t="shared" ref="D2:D33" si="0">IF(C2="","",DATE(VALUE(LEFT(C2,4)),VALUE(MID(C2,6,2)),VALUE(MID(C2,9,2)))+TIME(VALUE(MID(C2,12,2)),VALUE(MID(C2,15,2)),VALUE(MID(C2,18,2)))-IF(AND(DATE(VALUE(LEFT(C2,4)),VALUE(MID(C2,6,2)),VALUE(MID(C2,9,2)))+TIME(VALUE(MID(C2,12,2)),VALUE(MID(C2,15,2)),VALUE(MID(C2,18,2)))&gt;=DATE(VALUE(LEFT(C2,4)),3,1)+MOD(8-WEEKDAY(DATE(VALUE(LEFT(C2,4)),3,1)),7)+7+TIME(7,0,0),DATE(VALUE(LEFT(C2,4)),3,1)+MOD(8-WEEKDAY(DATE(VALUE(LEFT(C2,4)),3,1)),7)+7+TIME(7,0,0)&lt;DATE(VALUE(LEFT(C2,4)),11,1)+MOD(8-WEEKDAY(DATE(VALUE(LEFT(C2,4)),11,1)),7)+TIME(6,0,0)), TIME(4,0,0),TIME(5,0,0)))</f>
        <v>46268.427581018521</v>
      </c>
      <c r="E2" s="3">
        <f t="shared" ref="E2:E33" si="1">IF(D2="","",MOD(D2,1))</f>
        <v>0.42758101852086838</v>
      </c>
      <c r="F2" t="str">
        <f t="shared" ref="F2:F33" si="2">IF(D2="","",TEXT(D2,"mmm"))</f>
        <v>Sep</v>
      </c>
      <c r="G2">
        <f t="shared" ref="G2:G33" si="3">IF(D2="","",YEAR(D2))</f>
        <v>2026</v>
      </c>
      <c r="H2">
        <f t="shared" ref="H2:H33" si="4">IF(D2="","",HOUR(D2))</f>
        <v>10</v>
      </c>
      <c r="I2" t="s">
        <v>52</v>
      </c>
      <c r="J2" t="s">
        <v>53</v>
      </c>
      <c r="M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V2" t="s">
        <v>60</v>
      </c>
      <c r="AC2" t="s">
        <v>61</v>
      </c>
      <c r="AD2" t="s">
        <v>62</v>
      </c>
      <c r="AT2">
        <v>0</v>
      </c>
      <c r="AU2">
        <v>0</v>
      </c>
      <c r="AV2">
        <v>0</v>
      </c>
      <c r="AW2">
        <v>0</v>
      </c>
    </row>
    <row r="3" spans="1:49" x14ac:dyDescent="0.25">
      <c r="A3" t="s">
        <v>49</v>
      </c>
      <c r="B3" t="s">
        <v>50</v>
      </c>
      <c r="C3" t="s">
        <v>63</v>
      </c>
      <c r="D3" s="2">
        <f t="shared" si="0"/>
        <v>46134.418379629635</v>
      </c>
      <c r="E3" s="3">
        <f t="shared" si="1"/>
        <v>0.41837962963472819</v>
      </c>
      <c r="F3" t="str">
        <f t="shared" si="2"/>
        <v>Apr</v>
      </c>
      <c r="G3">
        <f t="shared" si="3"/>
        <v>2026</v>
      </c>
      <c r="H3">
        <f t="shared" si="4"/>
        <v>10</v>
      </c>
      <c r="I3" t="s">
        <v>64</v>
      </c>
      <c r="J3" t="s">
        <v>65</v>
      </c>
      <c r="M3" t="s">
        <v>66</v>
      </c>
      <c r="O3" t="s">
        <v>55</v>
      </c>
      <c r="P3" t="s">
        <v>67</v>
      </c>
      <c r="Q3" t="s">
        <v>57</v>
      </c>
      <c r="R3" t="s">
        <v>68</v>
      </c>
      <c r="S3" t="s">
        <v>69</v>
      </c>
      <c r="V3" t="s">
        <v>70</v>
      </c>
      <c r="AC3" t="s">
        <v>71</v>
      </c>
      <c r="AD3" t="s">
        <v>62</v>
      </c>
      <c r="AT3">
        <v>0</v>
      </c>
      <c r="AU3">
        <v>0</v>
      </c>
      <c r="AV3">
        <v>0</v>
      </c>
      <c r="AW3">
        <v>0</v>
      </c>
    </row>
    <row r="4" spans="1:49" x14ac:dyDescent="0.25">
      <c r="A4" t="s">
        <v>49</v>
      </c>
      <c r="B4" t="s">
        <v>50</v>
      </c>
      <c r="C4" t="s">
        <v>72</v>
      </c>
      <c r="D4" s="2">
        <f t="shared" si="0"/>
        <v>46127.306250000001</v>
      </c>
      <c r="E4" s="3">
        <f t="shared" si="1"/>
        <v>0.30625000000145519</v>
      </c>
      <c r="F4" t="str">
        <f t="shared" si="2"/>
        <v>Apr</v>
      </c>
      <c r="G4">
        <f t="shared" si="3"/>
        <v>2026</v>
      </c>
      <c r="H4">
        <f t="shared" si="4"/>
        <v>7</v>
      </c>
      <c r="I4" t="s">
        <v>73</v>
      </c>
      <c r="J4" t="s">
        <v>74</v>
      </c>
      <c r="M4" t="s">
        <v>75</v>
      </c>
      <c r="O4" t="s">
        <v>55</v>
      </c>
      <c r="P4" t="s">
        <v>76</v>
      </c>
      <c r="Q4" t="s">
        <v>57</v>
      </c>
      <c r="R4" t="s">
        <v>58</v>
      </c>
      <c r="S4" t="s">
        <v>59</v>
      </c>
      <c r="V4" t="s">
        <v>77</v>
      </c>
      <c r="AC4" t="s">
        <v>78</v>
      </c>
      <c r="AD4" t="s">
        <v>62</v>
      </c>
      <c r="AT4">
        <v>0</v>
      </c>
      <c r="AU4">
        <v>0</v>
      </c>
      <c r="AV4">
        <v>0</v>
      </c>
      <c r="AW4">
        <v>1</v>
      </c>
    </row>
    <row r="5" spans="1:49" x14ac:dyDescent="0.25">
      <c r="A5" t="s">
        <v>49</v>
      </c>
      <c r="B5" t="s">
        <v>50</v>
      </c>
      <c r="C5" t="s">
        <v>79</v>
      </c>
      <c r="D5" s="2">
        <f t="shared" si="0"/>
        <v>46126.206655092596</v>
      </c>
      <c r="E5" s="3">
        <f t="shared" si="1"/>
        <v>0.20665509259561077</v>
      </c>
      <c r="F5" t="str">
        <f t="shared" si="2"/>
        <v>Apr</v>
      </c>
      <c r="G5">
        <f t="shared" si="3"/>
        <v>2026</v>
      </c>
      <c r="H5">
        <f t="shared" si="4"/>
        <v>4</v>
      </c>
      <c r="I5" t="s">
        <v>80</v>
      </c>
      <c r="J5" t="s">
        <v>53</v>
      </c>
      <c r="M5" t="s">
        <v>81</v>
      </c>
      <c r="O5" t="s">
        <v>55</v>
      </c>
      <c r="P5" t="s">
        <v>76</v>
      </c>
      <c r="Q5" t="s">
        <v>57</v>
      </c>
      <c r="R5" t="s">
        <v>58</v>
      </c>
      <c r="S5" t="s">
        <v>82</v>
      </c>
      <c r="V5" t="s">
        <v>83</v>
      </c>
      <c r="AC5" t="s">
        <v>71</v>
      </c>
      <c r="AD5" t="s">
        <v>62</v>
      </c>
      <c r="AT5">
        <v>0</v>
      </c>
      <c r="AU5">
        <v>0</v>
      </c>
      <c r="AV5">
        <v>0</v>
      </c>
      <c r="AW5">
        <v>0</v>
      </c>
    </row>
    <row r="6" spans="1:49" x14ac:dyDescent="0.25">
      <c r="A6" t="s">
        <v>49</v>
      </c>
      <c r="B6" t="s">
        <v>50</v>
      </c>
      <c r="C6" t="s">
        <v>84</v>
      </c>
      <c r="D6" s="2">
        <f t="shared" si="0"/>
        <v>46095.49527777778</v>
      </c>
      <c r="E6" s="3">
        <f t="shared" si="1"/>
        <v>0.49527777777984738</v>
      </c>
      <c r="F6" t="str">
        <f t="shared" si="2"/>
        <v>Mar</v>
      </c>
      <c r="G6">
        <f t="shared" si="3"/>
        <v>2026</v>
      </c>
      <c r="H6">
        <f t="shared" si="4"/>
        <v>11</v>
      </c>
      <c r="I6" t="s">
        <v>85</v>
      </c>
      <c r="J6" t="s">
        <v>53</v>
      </c>
      <c r="M6" t="s">
        <v>86</v>
      </c>
      <c r="O6" t="s">
        <v>55</v>
      </c>
      <c r="P6" t="s">
        <v>76</v>
      </c>
      <c r="R6" t="s">
        <v>58</v>
      </c>
      <c r="S6" t="s">
        <v>59</v>
      </c>
      <c r="V6" t="s">
        <v>87</v>
      </c>
      <c r="AC6" t="s">
        <v>71</v>
      </c>
      <c r="AT6">
        <v>0</v>
      </c>
      <c r="AU6">
        <v>0</v>
      </c>
      <c r="AV6">
        <v>0</v>
      </c>
      <c r="AW6">
        <v>0</v>
      </c>
    </row>
    <row r="7" spans="1:49" x14ac:dyDescent="0.25">
      <c r="A7" t="s">
        <v>49</v>
      </c>
      <c r="B7" t="s">
        <v>50</v>
      </c>
      <c r="C7" t="s">
        <v>88</v>
      </c>
      <c r="D7" s="2">
        <f t="shared" si="0"/>
        <v>46056.050451388888</v>
      </c>
      <c r="E7" s="3">
        <f t="shared" si="1"/>
        <v>5.0451388888177462E-2</v>
      </c>
      <c r="F7" t="str">
        <f t="shared" si="2"/>
        <v>Feb</v>
      </c>
      <c r="G7">
        <f t="shared" si="3"/>
        <v>2026</v>
      </c>
      <c r="H7">
        <f t="shared" si="4"/>
        <v>1</v>
      </c>
      <c r="I7" t="s">
        <v>89</v>
      </c>
      <c r="J7" t="s">
        <v>90</v>
      </c>
      <c r="K7" t="s">
        <v>91</v>
      </c>
      <c r="M7" t="s">
        <v>92</v>
      </c>
      <c r="O7" t="s">
        <v>55</v>
      </c>
      <c r="P7" t="s">
        <v>67</v>
      </c>
      <c r="Q7" t="s">
        <v>57</v>
      </c>
      <c r="R7" t="s">
        <v>58</v>
      </c>
      <c r="S7" t="s">
        <v>59</v>
      </c>
      <c r="V7" t="s">
        <v>93</v>
      </c>
      <c r="AC7" t="s">
        <v>71</v>
      </c>
      <c r="AT7">
        <v>0</v>
      </c>
      <c r="AU7">
        <v>0</v>
      </c>
      <c r="AV7">
        <v>0</v>
      </c>
      <c r="AW7">
        <v>0</v>
      </c>
    </row>
    <row r="8" spans="1:49" x14ac:dyDescent="0.25">
      <c r="A8" t="s">
        <v>49</v>
      </c>
      <c r="B8" t="s">
        <v>50</v>
      </c>
      <c r="C8" t="s">
        <v>94</v>
      </c>
      <c r="D8" s="2">
        <f t="shared" si="0"/>
        <v>46053.547719907408</v>
      </c>
      <c r="E8" s="3">
        <f t="shared" si="1"/>
        <v>0.54771990740846377</v>
      </c>
      <c r="F8" t="str">
        <f t="shared" si="2"/>
        <v>Jan</v>
      </c>
      <c r="G8">
        <f t="shared" si="3"/>
        <v>2026</v>
      </c>
      <c r="H8">
        <f t="shared" si="4"/>
        <v>13</v>
      </c>
      <c r="I8" t="s">
        <v>95</v>
      </c>
      <c r="J8" t="s">
        <v>90</v>
      </c>
      <c r="M8" t="s">
        <v>96</v>
      </c>
      <c r="O8" t="s">
        <v>55</v>
      </c>
      <c r="P8" t="s">
        <v>67</v>
      </c>
      <c r="Q8" t="s">
        <v>57</v>
      </c>
      <c r="R8" t="s">
        <v>68</v>
      </c>
      <c r="S8" t="s">
        <v>69</v>
      </c>
      <c r="V8" t="s">
        <v>97</v>
      </c>
      <c r="AC8" t="s">
        <v>98</v>
      </c>
      <c r="AD8" t="s">
        <v>62</v>
      </c>
      <c r="AT8">
        <v>0</v>
      </c>
      <c r="AU8">
        <v>0</v>
      </c>
      <c r="AV8">
        <v>0</v>
      </c>
      <c r="AW8">
        <v>0</v>
      </c>
    </row>
    <row r="9" spans="1:49" x14ac:dyDescent="0.25">
      <c r="A9" t="s">
        <v>49</v>
      </c>
      <c r="B9" t="s">
        <v>50</v>
      </c>
      <c r="C9" t="s">
        <v>99</v>
      </c>
      <c r="D9" s="2">
        <f t="shared" si="0"/>
        <v>46028.265671296293</v>
      </c>
      <c r="E9" s="3">
        <f t="shared" si="1"/>
        <v>0.26567129629256669</v>
      </c>
      <c r="F9" t="str">
        <f t="shared" si="2"/>
        <v>Jan</v>
      </c>
      <c r="G9">
        <f t="shared" si="3"/>
        <v>2026</v>
      </c>
      <c r="H9">
        <f t="shared" si="4"/>
        <v>6</v>
      </c>
      <c r="I9" t="s">
        <v>100</v>
      </c>
      <c r="J9" t="s">
        <v>53</v>
      </c>
      <c r="M9" t="s">
        <v>101</v>
      </c>
      <c r="O9" t="s">
        <v>55</v>
      </c>
      <c r="P9" t="s">
        <v>76</v>
      </c>
      <c r="R9" t="s">
        <v>58</v>
      </c>
      <c r="S9" t="s">
        <v>59</v>
      </c>
      <c r="V9" t="s">
        <v>102</v>
      </c>
      <c r="AC9" t="s">
        <v>71</v>
      </c>
      <c r="AD9" t="s">
        <v>62</v>
      </c>
      <c r="AT9">
        <v>0</v>
      </c>
      <c r="AU9">
        <v>0</v>
      </c>
      <c r="AV9">
        <v>0</v>
      </c>
      <c r="AW9">
        <v>0</v>
      </c>
    </row>
    <row r="10" spans="1:49" x14ac:dyDescent="0.25">
      <c r="A10" t="s">
        <v>103</v>
      </c>
      <c r="B10" t="s">
        <v>104</v>
      </c>
      <c r="C10" t="s">
        <v>105</v>
      </c>
      <c r="D10" s="2">
        <f t="shared" si="0"/>
        <v>46189.501608796301</v>
      </c>
      <c r="E10" s="3">
        <f t="shared" si="1"/>
        <v>0.50160879630129784</v>
      </c>
      <c r="F10" t="str">
        <f t="shared" si="2"/>
        <v>Jun</v>
      </c>
      <c r="G10">
        <f t="shared" si="3"/>
        <v>2026</v>
      </c>
      <c r="H10">
        <f t="shared" si="4"/>
        <v>12</v>
      </c>
      <c r="I10" t="s">
        <v>106</v>
      </c>
      <c r="J10" t="s">
        <v>107</v>
      </c>
      <c r="K10" t="s">
        <v>108</v>
      </c>
      <c r="M10" t="s">
        <v>109</v>
      </c>
      <c r="O10" t="s">
        <v>55</v>
      </c>
      <c r="Q10" t="s">
        <v>110</v>
      </c>
      <c r="V10" t="s">
        <v>111</v>
      </c>
      <c r="AC10" t="s">
        <v>61</v>
      </c>
      <c r="AT10">
        <v>0</v>
      </c>
      <c r="AU10">
        <v>0</v>
      </c>
      <c r="AV10">
        <v>0</v>
      </c>
      <c r="AW10">
        <v>0</v>
      </c>
    </row>
    <row r="11" spans="1:49" x14ac:dyDescent="0.25">
      <c r="A11" t="s">
        <v>112</v>
      </c>
      <c r="B11" t="s">
        <v>113</v>
      </c>
      <c r="C11" t="s">
        <v>114</v>
      </c>
      <c r="D11" s="2">
        <f t="shared" si="0"/>
        <v>46041.007372685184</v>
      </c>
      <c r="E11" s="3">
        <f t="shared" si="1"/>
        <v>7.3726851842366159E-3</v>
      </c>
      <c r="F11" t="str">
        <f t="shared" si="2"/>
        <v>Jan</v>
      </c>
      <c r="G11">
        <f t="shared" si="3"/>
        <v>2026</v>
      </c>
      <c r="H11">
        <f t="shared" si="4"/>
        <v>0</v>
      </c>
      <c r="I11" t="s">
        <v>115</v>
      </c>
      <c r="J11" t="s">
        <v>53</v>
      </c>
      <c r="M11" t="s">
        <v>116</v>
      </c>
      <c r="O11" t="s">
        <v>55</v>
      </c>
      <c r="P11" t="s">
        <v>117</v>
      </c>
      <c r="Q11" t="s">
        <v>57</v>
      </c>
      <c r="R11" t="s">
        <v>58</v>
      </c>
      <c r="S11" t="s">
        <v>59</v>
      </c>
      <c r="V11" t="s">
        <v>118</v>
      </c>
      <c r="AC11" t="s">
        <v>119</v>
      </c>
      <c r="AD11" t="s">
        <v>120</v>
      </c>
      <c r="AT11">
        <v>0</v>
      </c>
      <c r="AU11">
        <v>0</v>
      </c>
      <c r="AV11">
        <v>0</v>
      </c>
      <c r="AW11">
        <v>0</v>
      </c>
    </row>
    <row r="12" spans="1:49" x14ac:dyDescent="0.25">
      <c r="A12" t="s">
        <v>121</v>
      </c>
      <c r="B12" t="s">
        <v>122</v>
      </c>
      <c r="C12" t="s">
        <v>123</v>
      </c>
      <c r="D12" s="2">
        <f t="shared" si="0"/>
        <v>46199.722673611112</v>
      </c>
      <c r="E12" s="3">
        <f t="shared" si="1"/>
        <v>0.7226736111115315</v>
      </c>
      <c r="F12" t="str">
        <f t="shared" si="2"/>
        <v>Jun</v>
      </c>
      <c r="G12">
        <f t="shared" si="3"/>
        <v>2026</v>
      </c>
      <c r="H12">
        <f t="shared" si="4"/>
        <v>17</v>
      </c>
      <c r="I12" t="s">
        <v>124</v>
      </c>
      <c r="J12" t="s">
        <v>125</v>
      </c>
      <c r="M12" t="s">
        <v>126</v>
      </c>
      <c r="N12" t="s">
        <v>127</v>
      </c>
      <c r="O12" t="s">
        <v>55</v>
      </c>
      <c r="P12" t="s">
        <v>128</v>
      </c>
      <c r="Q12" t="s">
        <v>110</v>
      </c>
      <c r="R12" t="s">
        <v>129</v>
      </c>
      <c r="S12" t="s">
        <v>130</v>
      </c>
      <c r="V12" t="s">
        <v>131</v>
      </c>
      <c r="AC12" t="s">
        <v>132</v>
      </c>
      <c r="AD12" t="s">
        <v>62</v>
      </c>
      <c r="AT12">
        <v>0</v>
      </c>
      <c r="AU12">
        <v>0</v>
      </c>
      <c r="AV12">
        <v>0</v>
      </c>
      <c r="AW12">
        <v>0</v>
      </c>
    </row>
    <row r="13" spans="1:49" x14ac:dyDescent="0.25">
      <c r="A13" t="s">
        <v>121</v>
      </c>
      <c r="B13" t="s">
        <v>122</v>
      </c>
      <c r="C13" t="s">
        <v>133</v>
      </c>
      <c r="D13" s="2">
        <f t="shared" si="0"/>
        <v>46119.838506944448</v>
      </c>
      <c r="E13" s="3">
        <f t="shared" si="1"/>
        <v>0.83850694444845431</v>
      </c>
      <c r="F13" t="str">
        <f t="shared" si="2"/>
        <v>Apr</v>
      </c>
      <c r="G13">
        <f t="shared" si="3"/>
        <v>2026</v>
      </c>
      <c r="H13">
        <f t="shared" si="4"/>
        <v>20</v>
      </c>
      <c r="I13" t="s">
        <v>134</v>
      </c>
      <c r="J13" t="s">
        <v>53</v>
      </c>
      <c r="M13" t="s">
        <v>135</v>
      </c>
      <c r="N13" t="s">
        <v>136</v>
      </c>
      <c r="O13" t="s">
        <v>55</v>
      </c>
      <c r="P13" t="s">
        <v>137</v>
      </c>
      <c r="Q13" t="s">
        <v>110</v>
      </c>
      <c r="R13" t="s">
        <v>58</v>
      </c>
      <c r="S13" t="s">
        <v>59</v>
      </c>
      <c r="V13" t="s">
        <v>138</v>
      </c>
      <c r="AC13" t="s">
        <v>139</v>
      </c>
      <c r="AD13" t="s">
        <v>120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 t="s">
        <v>140</v>
      </c>
      <c r="B14" t="s">
        <v>141</v>
      </c>
      <c r="C14" t="s">
        <v>142</v>
      </c>
      <c r="D14" s="2">
        <f t="shared" si="0"/>
        <v>46106.5625</v>
      </c>
      <c r="E14" s="3">
        <f t="shared" si="1"/>
        <v>0.5625</v>
      </c>
      <c r="F14" t="str">
        <f t="shared" si="2"/>
        <v>Mar</v>
      </c>
      <c r="G14">
        <f t="shared" si="3"/>
        <v>2026</v>
      </c>
      <c r="H14">
        <f t="shared" si="4"/>
        <v>13</v>
      </c>
      <c r="I14" t="s">
        <v>143</v>
      </c>
      <c r="J14" t="s">
        <v>107</v>
      </c>
      <c r="M14" t="s">
        <v>144</v>
      </c>
      <c r="O14" t="s">
        <v>55</v>
      </c>
      <c r="P14" t="s">
        <v>145</v>
      </c>
      <c r="Q14" t="s">
        <v>146</v>
      </c>
      <c r="R14" t="s">
        <v>58</v>
      </c>
      <c r="S14" t="s">
        <v>59</v>
      </c>
      <c r="V14" t="s">
        <v>147</v>
      </c>
      <c r="AC14" t="s">
        <v>61</v>
      </c>
      <c r="AD14" t="s">
        <v>62</v>
      </c>
      <c r="AT14">
        <v>0</v>
      </c>
      <c r="AU14">
        <v>0</v>
      </c>
      <c r="AV14">
        <v>0</v>
      </c>
      <c r="AW14">
        <v>0</v>
      </c>
    </row>
    <row r="15" spans="1:49" x14ac:dyDescent="0.25">
      <c r="A15" t="s">
        <v>148</v>
      </c>
      <c r="B15" t="s">
        <v>149</v>
      </c>
      <c r="C15" t="s">
        <v>150</v>
      </c>
      <c r="D15" s="2">
        <f t="shared" si="0"/>
        <v>46167.31527777778</v>
      </c>
      <c r="E15" s="3">
        <f t="shared" si="1"/>
        <v>0.31527777777955635</v>
      </c>
      <c r="F15" t="str">
        <f t="shared" si="2"/>
        <v>May</v>
      </c>
      <c r="G15">
        <f t="shared" si="3"/>
        <v>2026</v>
      </c>
      <c r="H15">
        <f t="shared" si="4"/>
        <v>7</v>
      </c>
      <c r="I15" t="s">
        <v>151</v>
      </c>
      <c r="J15" t="s">
        <v>152</v>
      </c>
      <c r="M15" t="s">
        <v>153</v>
      </c>
      <c r="N15" t="s">
        <v>154</v>
      </c>
      <c r="O15" t="s">
        <v>55</v>
      </c>
      <c r="P15" t="s">
        <v>155</v>
      </c>
      <c r="Q15" t="s">
        <v>146</v>
      </c>
      <c r="R15" t="s">
        <v>156</v>
      </c>
      <c r="S15" t="s">
        <v>157</v>
      </c>
      <c r="V15" t="s">
        <v>158</v>
      </c>
      <c r="AC15" t="s">
        <v>159</v>
      </c>
      <c r="AD15" t="s">
        <v>62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 t="s">
        <v>160</v>
      </c>
      <c r="B16" t="s">
        <v>161</v>
      </c>
      <c r="C16" t="s">
        <v>162</v>
      </c>
      <c r="D16" s="2">
        <f t="shared" si="0"/>
        <v>46120.25</v>
      </c>
      <c r="E16" s="3">
        <f t="shared" si="1"/>
        <v>0.25</v>
      </c>
      <c r="F16" t="str">
        <f t="shared" si="2"/>
        <v>Apr</v>
      </c>
      <c r="G16">
        <f t="shared" si="3"/>
        <v>2026</v>
      </c>
      <c r="H16">
        <f t="shared" si="4"/>
        <v>6</v>
      </c>
      <c r="I16" t="s">
        <v>163</v>
      </c>
      <c r="J16" t="s">
        <v>164</v>
      </c>
      <c r="K16" t="s">
        <v>165</v>
      </c>
      <c r="M16" t="s">
        <v>166</v>
      </c>
      <c r="N16" t="s">
        <v>167</v>
      </c>
      <c r="O16" t="s">
        <v>55</v>
      </c>
      <c r="P16" t="s">
        <v>168</v>
      </c>
      <c r="Q16" t="s">
        <v>169</v>
      </c>
      <c r="R16" t="s">
        <v>68</v>
      </c>
      <c r="S16" t="s">
        <v>170</v>
      </c>
      <c r="V16" t="s">
        <v>171</v>
      </c>
      <c r="AC16" t="s">
        <v>172</v>
      </c>
      <c r="AT16">
        <v>0</v>
      </c>
      <c r="AU16">
        <v>0</v>
      </c>
      <c r="AV16">
        <v>0</v>
      </c>
      <c r="AW16">
        <v>0</v>
      </c>
    </row>
    <row r="17" spans="1:49" x14ac:dyDescent="0.25">
      <c r="A17" t="s">
        <v>173</v>
      </c>
      <c r="B17" t="s">
        <v>174</v>
      </c>
      <c r="C17" t="s">
        <v>175</v>
      </c>
      <c r="D17" s="2">
        <f t="shared" si="0"/>
        <v>46228.728032407409</v>
      </c>
      <c r="E17" s="3">
        <f t="shared" si="1"/>
        <v>0.72803240740904585</v>
      </c>
      <c r="F17" t="str">
        <f t="shared" si="2"/>
        <v>Jul</v>
      </c>
      <c r="G17">
        <f t="shared" si="3"/>
        <v>2026</v>
      </c>
      <c r="H17">
        <f t="shared" si="4"/>
        <v>17</v>
      </c>
      <c r="I17" t="s">
        <v>176</v>
      </c>
      <c r="J17" t="s">
        <v>53</v>
      </c>
      <c r="M17" t="s">
        <v>177</v>
      </c>
      <c r="N17" t="s">
        <v>178</v>
      </c>
      <c r="O17" t="s">
        <v>55</v>
      </c>
      <c r="P17" t="s">
        <v>179</v>
      </c>
      <c r="Q17" t="s">
        <v>169</v>
      </c>
      <c r="R17" t="s">
        <v>58</v>
      </c>
      <c r="S17" t="s">
        <v>59</v>
      </c>
      <c r="V17" t="s">
        <v>180</v>
      </c>
      <c r="AC17" t="s">
        <v>119</v>
      </c>
      <c r="AT17">
        <v>0</v>
      </c>
      <c r="AU17">
        <v>0</v>
      </c>
      <c r="AV17">
        <v>0</v>
      </c>
      <c r="AW17">
        <v>0</v>
      </c>
    </row>
    <row r="18" spans="1:49" x14ac:dyDescent="0.25">
      <c r="A18" t="s">
        <v>173</v>
      </c>
      <c r="B18" t="s">
        <v>174</v>
      </c>
      <c r="C18" t="s">
        <v>181</v>
      </c>
      <c r="D18" s="2">
        <f t="shared" si="0"/>
        <v>46161.338287037041</v>
      </c>
      <c r="E18" s="3">
        <f t="shared" si="1"/>
        <v>0.33828703704057261</v>
      </c>
      <c r="F18" t="str">
        <f t="shared" si="2"/>
        <v>May</v>
      </c>
      <c r="G18">
        <f t="shared" si="3"/>
        <v>2026</v>
      </c>
      <c r="H18">
        <f t="shared" si="4"/>
        <v>8</v>
      </c>
      <c r="I18" t="s">
        <v>182</v>
      </c>
      <c r="J18" t="s">
        <v>183</v>
      </c>
      <c r="M18" t="s">
        <v>184</v>
      </c>
      <c r="N18" t="s">
        <v>178</v>
      </c>
      <c r="O18" t="s">
        <v>55</v>
      </c>
      <c r="P18" t="s">
        <v>179</v>
      </c>
      <c r="Q18" t="s">
        <v>169</v>
      </c>
      <c r="R18" t="s">
        <v>185</v>
      </c>
      <c r="S18" t="s">
        <v>186</v>
      </c>
      <c r="V18" t="s">
        <v>187</v>
      </c>
      <c r="AC18" t="s">
        <v>172</v>
      </c>
      <c r="AT18">
        <v>0</v>
      </c>
      <c r="AU18">
        <v>0</v>
      </c>
      <c r="AV18">
        <v>0</v>
      </c>
      <c r="AW18">
        <v>0</v>
      </c>
    </row>
    <row r="19" spans="1:49" x14ac:dyDescent="0.25">
      <c r="A19" t="s">
        <v>173</v>
      </c>
      <c r="B19" t="s">
        <v>174</v>
      </c>
      <c r="C19" t="s">
        <v>188</v>
      </c>
      <c r="D19" s="2">
        <f t="shared" si="0"/>
        <v>46159.698877314819</v>
      </c>
      <c r="E19" s="3">
        <f t="shared" si="1"/>
        <v>0.69887731481867377</v>
      </c>
      <c r="F19" t="str">
        <f t="shared" si="2"/>
        <v>May</v>
      </c>
      <c r="G19">
        <f t="shared" si="3"/>
        <v>2026</v>
      </c>
      <c r="H19">
        <f t="shared" si="4"/>
        <v>16</v>
      </c>
      <c r="I19" t="s">
        <v>189</v>
      </c>
      <c r="J19" t="s">
        <v>190</v>
      </c>
      <c r="M19" t="s">
        <v>184</v>
      </c>
      <c r="N19" t="s">
        <v>178</v>
      </c>
      <c r="O19" t="s">
        <v>55</v>
      </c>
      <c r="P19" t="s">
        <v>179</v>
      </c>
      <c r="Q19" t="s">
        <v>169</v>
      </c>
      <c r="R19" t="s">
        <v>191</v>
      </c>
      <c r="S19" t="s">
        <v>192</v>
      </c>
      <c r="V19" t="s">
        <v>193</v>
      </c>
      <c r="AC19" t="s">
        <v>172</v>
      </c>
      <c r="AT19">
        <v>0</v>
      </c>
      <c r="AU19">
        <v>0</v>
      </c>
      <c r="AV19">
        <v>0</v>
      </c>
      <c r="AW19">
        <v>0</v>
      </c>
    </row>
    <row r="20" spans="1:49" x14ac:dyDescent="0.25">
      <c r="A20" t="s">
        <v>194</v>
      </c>
      <c r="B20" t="s">
        <v>195</v>
      </c>
      <c r="C20" t="s">
        <v>196</v>
      </c>
      <c r="D20" s="2">
        <f t="shared" si="0"/>
        <v>46129.255960648152</v>
      </c>
      <c r="E20" s="3">
        <f t="shared" si="1"/>
        <v>0.25596064815181307</v>
      </c>
      <c r="F20" t="str">
        <f t="shared" si="2"/>
        <v>Apr</v>
      </c>
      <c r="G20">
        <f t="shared" si="3"/>
        <v>2026</v>
      </c>
      <c r="H20">
        <f t="shared" si="4"/>
        <v>6</v>
      </c>
      <c r="I20" t="s">
        <v>197</v>
      </c>
      <c r="J20" t="s">
        <v>198</v>
      </c>
      <c r="M20" t="s">
        <v>199</v>
      </c>
      <c r="N20" t="s">
        <v>200</v>
      </c>
      <c r="O20" t="s">
        <v>55</v>
      </c>
      <c r="P20" t="s">
        <v>201</v>
      </c>
      <c r="Q20" t="s">
        <v>169</v>
      </c>
      <c r="R20" t="s">
        <v>185</v>
      </c>
      <c r="S20" t="s">
        <v>202</v>
      </c>
      <c r="V20" t="s">
        <v>203</v>
      </c>
      <c r="AC20" t="s">
        <v>98</v>
      </c>
      <c r="AT20">
        <v>0</v>
      </c>
      <c r="AU20">
        <v>0</v>
      </c>
      <c r="AV20">
        <v>0</v>
      </c>
      <c r="AW20">
        <v>0</v>
      </c>
    </row>
    <row r="21" spans="1:49" x14ac:dyDescent="0.25">
      <c r="A21" t="s">
        <v>194</v>
      </c>
      <c r="B21" t="s">
        <v>195</v>
      </c>
      <c r="C21" t="s">
        <v>204</v>
      </c>
      <c r="D21" s="2">
        <f t="shared" si="0"/>
        <v>46088.534999999996</v>
      </c>
      <c r="E21" s="3">
        <f t="shared" si="1"/>
        <v>0.5349999999962165</v>
      </c>
      <c r="F21" t="str">
        <f t="shared" si="2"/>
        <v>Mar</v>
      </c>
      <c r="G21">
        <f t="shared" si="3"/>
        <v>2026</v>
      </c>
      <c r="H21">
        <f t="shared" si="4"/>
        <v>12</v>
      </c>
      <c r="I21" t="s">
        <v>205</v>
      </c>
      <c r="J21" t="s">
        <v>206</v>
      </c>
      <c r="M21" t="s">
        <v>207</v>
      </c>
      <c r="N21" t="s">
        <v>200</v>
      </c>
      <c r="O21" t="s">
        <v>55</v>
      </c>
      <c r="P21" t="s">
        <v>201</v>
      </c>
      <c r="Q21" t="s">
        <v>169</v>
      </c>
      <c r="R21" t="s">
        <v>185</v>
      </c>
      <c r="S21" t="s">
        <v>208</v>
      </c>
      <c r="V21" t="s">
        <v>209</v>
      </c>
      <c r="AC21" t="s">
        <v>71</v>
      </c>
      <c r="AT21">
        <v>0</v>
      </c>
      <c r="AU21">
        <v>0</v>
      </c>
      <c r="AV21">
        <v>0</v>
      </c>
      <c r="AW21">
        <v>0</v>
      </c>
    </row>
    <row r="22" spans="1:49" x14ac:dyDescent="0.25">
      <c r="A22" t="s">
        <v>210</v>
      </c>
      <c r="B22" t="s">
        <v>211</v>
      </c>
      <c r="C22" t="s">
        <v>212</v>
      </c>
      <c r="D22" s="2">
        <f t="shared" si="0"/>
        <v>46152.731250000004</v>
      </c>
      <c r="E22" s="3">
        <f t="shared" si="1"/>
        <v>0.73125000000436557</v>
      </c>
      <c r="F22" t="str">
        <f t="shared" si="2"/>
        <v>May</v>
      </c>
      <c r="G22">
        <f t="shared" si="3"/>
        <v>2026</v>
      </c>
      <c r="H22">
        <f t="shared" si="4"/>
        <v>17</v>
      </c>
      <c r="I22" t="s">
        <v>213</v>
      </c>
      <c r="J22" t="s">
        <v>214</v>
      </c>
      <c r="M22" t="s">
        <v>215</v>
      </c>
      <c r="N22" t="s">
        <v>216</v>
      </c>
      <c r="O22" t="s">
        <v>55</v>
      </c>
      <c r="P22" t="s">
        <v>217</v>
      </c>
      <c r="Q22" t="s">
        <v>169</v>
      </c>
      <c r="R22" t="s">
        <v>58</v>
      </c>
      <c r="S22" t="s">
        <v>218</v>
      </c>
      <c r="V22" t="s">
        <v>219</v>
      </c>
      <c r="AC22" t="s">
        <v>220</v>
      </c>
      <c r="AD22" t="s">
        <v>120</v>
      </c>
      <c r="AT22">
        <v>0</v>
      </c>
      <c r="AU22">
        <v>0</v>
      </c>
      <c r="AV22">
        <v>0</v>
      </c>
      <c r="AW22">
        <v>0</v>
      </c>
    </row>
    <row r="23" spans="1:49" x14ac:dyDescent="0.25">
      <c r="A23" t="s">
        <v>210</v>
      </c>
      <c r="B23" t="s">
        <v>211</v>
      </c>
      <c r="C23" t="s">
        <v>221</v>
      </c>
      <c r="D23" s="2">
        <f t="shared" si="0"/>
        <v>46070.669444444444</v>
      </c>
      <c r="E23" s="3">
        <f t="shared" si="1"/>
        <v>0.66944444444379769</v>
      </c>
      <c r="F23" t="str">
        <f t="shared" si="2"/>
        <v>Feb</v>
      </c>
      <c r="G23">
        <f t="shared" si="3"/>
        <v>2026</v>
      </c>
      <c r="H23">
        <f t="shared" si="4"/>
        <v>16</v>
      </c>
      <c r="I23" t="s">
        <v>222</v>
      </c>
      <c r="J23" t="s">
        <v>223</v>
      </c>
      <c r="M23" t="s">
        <v>224</v>
      </c>
      <c r="N23" t="s">
        <v>225</v>
      </c>
      <c r="O23" t="s">
        <v>226</v>
      </c>
      <c r="P23" t="s">
        <v>227</v>
      </c>
      <c r="Q23" t="s">
        <v>228</v>
      </c>
      <c r="R23" t="s">
        <v>185</v>
      </c>
      <c r="S23" t="s">
        <v>208</v>
      </c>
      <c r="V23" t="s">
        <v>229</v>
      </c>
      <c r="AC23" t="s">
        <v>78</v>
      </c>
      <c r="AD23" t="s">
        <v>62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 t="s">
        <v>230</v>
      </c>
      <c r="B24" t="s">
        <v>231</v>
      </c>
      <c r="C24" t="s">
        <v>232</v>
      </c>
      <c r="D24" s="2">
        <f t="shared" si="0"/>
        <v>46165.451226851852</v>
      </c>
      <c r="E24" s="3">
        <f t="shared" si="1"/>
        <v>0.45122685185197042</v>
      </c>
      <c r="F24" t="str">
        <f t="shared" si="2"/>
        <v>May</v>
      </c>
      <c r="G24">
        <f t="shared" si="3"/>
        <v>2026</v>
      </c>
      <c r="H24">
        <f t="shared" si="4"/>
        <v>10</v>
      </c>
      <c r="I24" t="s">
        <v>233</v>
      </c>
      <c r="J24" t="s">
        <v>234</v>
      </c>
      <c r="M24" t="s">
        <v>235</v>
      </c>
      <c r="O24" t="s">
        <v>55</v>
      </c>
      <c r="P24" t="s">
        <v>236</v>
      </c>
      <c r="R24" t="s">
        <v>58</v>
      </c>
      <c r="S24" t="s">
        <v>82</v>
      </c>
      <c r="V24" t="s">
        <v>237</v>
      </c>
      <c r="AC24" t="s">
        <v>71</v>
      </c>
      <c r="AD24" t="s">
        <v>120</v>
      </c>
      <c r="AT24">
        <v>0</v>
      </c>
      <c r="AU24">
        <v>0</v>
      </c>
      <c r="AV24">
        <v>0</v>
      </c>
      <c r="AW24">
        <v>0</v>
      </c>
    </row>
    <row r="25" spans="1:49" x14ac:dyDescent="0.25">
      <c r="A25" t="s">
        <v>238</v>
      </c>
      <c r="B25" t="s">
        <v>239</v>
      </c>
      <c r="C25" t="s">
        <v>240</v>
      </c>
      <c r="D25" s="2">
        <f t="shared" si="0"/>
        <v>46230.68444444445</v>
      </c>
      <c r="E25" s="3">
        <f t="shared" si="1"/>
        <v>0.68444444445049157</v>
      </c>
      <c r="F25" t="str">
        <f t="shared" si="2"/>
        <v>Jul</v>
      </c>
      <c r="G25">
        <f t="shared" si="3"/>
        <v>2026</v>
      </c>
      <c r="H25">
        <f t="shared" si="4"/>
        <v>16</v>
      </c>
      <c r="I25" t="s">
        <v>241</v>
      </c>
      <c r="J25" t="s">
        <v>234</v>
      </c>
      <c r="M25" t="s">
        <v>242</v>
      </c>
      <c r="N25" t="s">
        <v>243</v>
      </c>
      <c r="O25" t="s">
        <v>55</v>
      </c>
      <c r="P25" t="s">
        <v>244</v>
      </c>
      <c r="Q25" t="s">
        <v>245</v>
      </c>
      <c r="R25" t="s">
        <v>129</v>
      </c>
      <c r="S25" t="s">
        <v>246</v>
      </c>
      <c r="V25" t="s">
        <v>247</v>
      </c>
      <c r="AC25" t="s">
        <v>248</v>
      </c>
      <c r="AT25">
        <v>0</v>
      </c>
      <c r="AU25">
        <v>0</v>
      </c>
      <c r="AV25">
        <v>0</v>
      </c>
      <c r="AW25">
        <v>0</v>
      </c>
    </row>
    <row r="26" spans="1:49" x14ac:dyDescent="0.25">
      <c r="A26" t="s">
        <v>249</v>
      </c>
      <c r="B26" t="s">
        <v>250</v>
      </c>
      <c r="C26" t="s">
        <v>251</v>
      </c>
      <c r="D26" s="2">
        <f t="shared" si="0"/>
        <v>46169.499305555561</v>
      </c>
      <c r="E26" s="3">
        <f t="shared" si="1"/>
        <v>0.49930555556056788</v>
      </c>
      <c r="F26" t="str">
        <f t="shared" si="2"/>
        <v>May</v>
      </c>
      <c r="G26">
        <f t="shared" si="3"/>
        <v>2026</v>
      </c>
      <c r="H26">
        <f t="shared" si="4"/>
        <v>11</v>
      </c>
      <c r="I26" t="s">
        <v>252</v>
      </c>
      <c r="J26" t="s">
        <v>198</v>
      </c>
      <c r="M26" t="s">
        <v>253</v>
      </c>
      <c r="O26" t="s">
        <v>55</v>
      </c>
      <c r="R26" t="s">
        <v>58</v>
      </c>
      <c r="S26" t="s">
        <v>59</v>
      </c>
      <c r="V26" t="s">
        <v>254</v>
      </c>
      <c r="AC26" t="s">
        <v>255</v>
      </c>
      <c r="AD26" t="s">
        <v>256</v>
      </c>
      <c r="AT26">
        <v>0</v>
      </c>
      <c r="AU26">
        <v>0</v>
      </c>
      <c r="AV26">
        <v>0</v>
      </c>
      <c r="AW26">
        <v>0</v>
      </c>
    </row>
    <row r="27" spans="1:49" x14ac:dyDescent="0.25">
      <c r="A27" t="s">
        <v>249</v>
      </c>
      <c r="B27" t="s">
        <v>250</v>
      </c>
      <c r="C27" t="s">
        <v>257</v>
      </c>
      <c r="D27" s="2">
        <f t="shared" si="0"/>
        <v>46033.95208333333</v>
      </c>
      <c r="E27" s="3">
        <f t="shared" si="1"/>
        <v>0.95208333332993789</v>
      </c>
      <c r="F27" t="str">
        <f t="shared" si="2"/>
        <v>Jan</v>
      </c>
      <c r="G27">
        <f t="shared" si="3"/>
        <v>2026</v>
      </c>
      <c r="H27">
        <f t="shared" si="4"/>
        <v>22</v>
      </c>
      <c r="I27" t="s">
        <v>258</v>
      </c>
      <c r="J27" t="s">
        <v>53</v>
      </c>
      <c r="M27" t="s">
        <v>259</v>
      </c>
      <c r="O27" t="s">
        <v>55</v>
      </c>
      <c r="P27" t="s">
        <v>260</v>
      </c>
      <c r="Q27" t="s">
        <v>261</v>
      </c>
      <c r="R27" t="s">
        <v>68</v>
      </c>
      <c r="S27" t="s">
        <v>69</v>
      </c>
      <c r="V27" t="s">
        <v>262</v>
      </c>
      <c r="AC27" t="s">
        <v>263</v>
      </c>
      <c r="AD27" t="s">
        <v>62</v>
      </c>
      <c r="AT27">
        <v>0</v>
      </c>
      <c r="AU27">
        <v>0</v>
      </c>
      <c r="AV27">
        <v>0</v>
      </c>
      <c r="AW27">
        <v>0</v>
      </c>
    </row>
    <row r="28" spans="1:49" x14ac:dyDescent="0.25">
      <c r="A28" t="s">
        <v>264</v>
      </c>
      <c r="B28" t="s">
        <v>265</v>
      </c>
      <c r="C28" t="s">
        <v>266</v>
      </c>
      <c r="D28" s="2">
        <f t="shared" si="0"/>
        <v>46224.452083333337</v>
      </c>
      <c r="E28" s="3">
        <f t="shared" si="1"/>
        <v>0.45208333333721384</v>
      </c>
      <c r="F28" t="str">
        <f t="shared" si="2"/>
        <v>Jul</v>
      </c>
      <c r="G28">
        <f t="shared" si="3"/>
        <v>2026</v>
      </c>
      <c r="H28">
        <f t="shared" si="4"/>
        <v>10</v>
      </c>
      <c r="I28" t="s">
        <v>267</v>
      </c>
      <c r="J28" t="s">
        <v>268</v>
      </c>
      <c r="M28" t="s">
        <v>269</v>
      </c>
      <c r="N28" t="s">
        <v>270</v>
      </c>
      <c r="O28" t="s">
        <v>55</v>
      </c>
      <c r="P28" t="s">
        <v>271</v>
      </c>
      <c r="Q28" t="s">
        <v>261</v>
      </c>
      <c r="R28" t="s">
        <v>272</v>
      </c>
      <c r="S28" t="s">
        <v>273</v>
      </c>
      <c r="V28" t="s">
        <v>274</v>
      </c>
      <c r="AC28" t="s">
        <v>275</v>
      </c>
      <c r="AD28" t="s">
        <v>62</v>
      </c>
      <c r="AT28">
        <v>0</v>
      </c>
      <c r="AU28">
        <v>0</v>
      </c>
      <c r="AV28">
        <v>0</v>
      </c>
      <c r="AW28">
        <v>0</v>
      </c>
    </row>
    <row r="29" spans="1:49" x14ac:dyDescent="0.25">
      <c r="A29" t="s">
        <v>276</v>
      </c>
      <c r="B29" t="s">
        <v>277</v>
      </c>
      <c r="C29" t="s">
        <v>278</v>
      </c>
      <c r="D29" s="2">
        <f t="shared" si="0"/>
        <v>46114.643055555556</v>
      </c>
      <c r="E29" s="3">
        <f t="shared" si="1"/>
        <v>0.64305555555620231</v>
      </c>
      <c r="F29" t="str">
        <f t="shared" si="2"/>
        <v>Apr</v>
      </c>
      <c r="G29">
        <f t="shared" si="3"/>
        <v>2026</v>
      </c>
      <c r="H29">
        <f t="shared" si="4"/>
        <v>15</v>
      </c>
      <c r="I29" t="s">
        <v>279</v>
      </c>
      <c r="J29" t="s">
        <v>53</v>
      </c>
      <c r="M29" t="s">
        <v>280</v>
      </c>
      <c r="N29" t="s">
        <v>281</v>
      </c>
      <c r="O29" t="s">
        <v>55</v>
      </c>
      <c r="P29" t="s">
        <v>282</v>
      </c>
      <c r="Q29" t="s">
        <v>283</v>
      </c>
      <c r="R29" t="s">
        <v>284</v>
      </c>
      <c r="S29" t="s">
        <v>285</v>
      </c>
      <c r="V29" t="s">
        <v>286</v>
      </c>
      <c r="AC29" t="s">
        <v>98</v>
      </c>
      <c r="AD29" t="s">
        <v>62</v>
      </c>
      <c r="AT29">
        <v>0</v>
      </c>
      <c r="AU29">
        <v>0</v>
      </c>
      <c r="AV29">
        <v>0</v>
      </c>
      <c r="AW29">
        <v>0</v>
      </c>
    </row>
    <row r="30" spans="1:49" x14ac:dyDescent="0.25">
      <c r="A30" t="s">
        <v>276</v>
      </c>
      <c r="B30" t="s">
        <v>277</v>
      </c>
      <c r="C30" t="s">
        <v>287</v>
      </c>
      <c r="D30" s="2">
        <f t="shared" si="0"/>
        <v>46110.515972222223</v>
      </c>
      <c r="E30" s="3">
        <f t="shared" si="1"/>
        <v>0.51597222222335404</v>
      </c>
      <c r="F30" t="str">
        <f t="shared" si="2"/>
        <v>Mar</v>
      </c>
      <c r="G30">
        <f t="shared" si="3"/>
        <v>2026</v>
      </c>
      <c r="H30">
        <f t="shared" si="4"/>
        <v>12</v>
      </c>
      <c r="I30" t="s">
        <v>288</v>
      </c>
      <c r="J30" t="s">
        <v>53</v>
      </c>
      <c r="M30" t="s">
        <v>289</v>
      </c>
      <c r="O30" t="s">
        <v>55</v>
      </c>
      <c r="P30" t="s">
        <v>290</v>
      </c>
      <c r="Q30" t="s">
        <v>283</v>
      </c>
      <c r="R30" t="s">
        <v>58</v>
      </c>
      <c r="S30" t="s">
        <v>59</v>
      </c>
      <c r="V30" t="s">
        <v>291</v>
      </c>
      <c r="AC30" t="s">
        <v>71</v>
      </c>
      <c r="AT30">
        <v>0</v>
      </c>
      <c r="AU30">
        <v>0</v>
      </c>
      <c r="AV30">
        <v>0</v>
      </c>
      <c r="AW30">
        <v>0</v>
      </c>
    </row>
    <row r="31" spans="1:49" x14ac:dyDescent="0.25">
      <c r="A31" t="s">
        <v>292</v>
      </c>
      <c r="B31" t="s">
        <v>293</v>
      </c>
      <c r="C31" t="s">
        <v>294</v>
      </c>
      <c r="D31" s="2">
        <f t="shared" si="0"/>
        <v>46042.624305555553</v>
      </c>
      <c r="E31" s="3">
        <f t="shared" si="1"/>
        <v>0.62430555555329192</v>
      </c>
      <c r="F31" t="str">
        <f t="shared" si="2"/>
        <v>Jan</v>
      </c>
      <c r="G31">
        <f t="shared" si="3"/>
        <v>2026</v>
      </c>
      <c r="H31">
        <f t="shared" si="4"/>
        <v>14</v>
      </c>
      <c r="I31" t="s">
        <v>295</v>
      </c>
      <c r="J31" t="s">
        <v>296</v>
      </c>
      <c r="M31" t="s">
        <v>297</v>
      </c>
      <c r="N31" t="s">
        <v>298</v>
      </c>
      <c r="O31" t="s">
        <v>55</v>
      </c>
      <c r="P31" t="s">
        <v>299</v>
      </c>
      <c r="Q31" t="s">
        <v>283</v>
      </c>
      <c r="R31" t="s">
        <v>58</v>
      </c>
      <c r="S31" t="s">
        <v>59</v>
      </c>
      <c r="V31" t="s">
        <v>300</v>
      </c>
      <c r="AC31" t="s">
        <v>98</v>
      </c>
      <c r="AT31">
        <v>0</v>
      </c>
      <c r="AU31">
        <v>0</v>
      </c>
      <c r="AV31">
        <v>0</v>
      </c>
      <c r="AW31">
        <v>0</v>
      </c>
    </row>
    <row r="32" spans="1:49" x14ac:dyDescent="0.25">
      <c r="A32" t="s">
        <v>301</v>
      </c>
      <c r="B32" t="s">
        <v>302</v>
      </c>
      <c r="C32" t="s">
        <v>303</v>
      </c>
      <c r="D32" s="2">
        <f t="shared" si="0"/>
        <v>46106.11319444445</v>
      </c>
      <c r="E32" s="3">
        <f t="shared" si="1"/>
        <v>0.11319444444961846</v>
      </c>
      <c r="F32" t="str">
        <f t="shared" si="2"/>
        <v>Mar</v>
      </c>
      <c r="G32">
        <f t="shared" si="3"/>
        <v>2026</v>
      </c>
      <c r="H32">
        <f t="shared" si="4"/>
        <v>2</v>
      </c>
      <c r="I32" t="s">
        <v>304</v>
      </c>
      <c r="J32" t="s">
        <v>53</v>
      </c>
      <c r="M32" t="s">
        <v>305</v>
      </c>
      <c r="O32" t="s">
        <v>55</v>
      </c>
      <c r="P32" t="s">
        <v>306</v>
      </c>
      <c r="Q32" t="s">
        <v>283</v>
      </c>
      <c r="R32" t="s">
        <v>58</v>
      </c>
      <c r="S32" t="s">
        <v>307</v>
      </c>
      <c r="V32" t="s">
        <v>308</v>
      </c>
      <c r="AC32" t="s">
        <v>71</v>
      </c>
      <c r="AD32" t="s">
        <v>120</v>
      </c>
      <c r="AT32">
        <v>0</v>
      </c>
      <c r="AU32">
        <v>0</v>
      </c>
      <c r="AV32">
        <v>0</v>
      </c>
      <c r="AW32">
        <v>0</v>
      </c>
    </row>
    <row r="33" spans="1:49" x14ac:dyDescent="0.25">
      <c r="A33" t="s">
        <v>309</v>
      </c>
      <c r="B33" t="s">
        <v>310</v>
      </c>
      <c r="C33" t="s">
        <v>311</v>
      </c>
      <c r="D33" s="2">
        <f t="shared" si="0"/>
        <v>46213.708437500005</v>
      </c>
      <c r="E33" s="3">
        <f t="shared" si="1"/>
        <v>0.70843750000494765</v>
      </c>
      <c r="F33" t="str">
        <f t="shared" si="2"/>
        <v>Jul</v>
      </c>
      <c r="G33">
        <f t="shared" si="3"/>
        <v>2026</v>
      </c>
      <c r="H33">
        <f t="shared" si="4"/>
        <v>17</v>
      </c>
      <c r="I33" t="s">
        <v>312</v>
      </c>
      <c r="J33" t="s">
        <v>313</v>
      </c>
      <c r="M33" t="s">
        <v>314</v>
      </c>
      <c r="O33" t="s">
        <v>55</v>
      </c>
      <c r="P33" t="s">
        <v>315</v>
      </c>
      <c r="R33" t="s">
        <v>58</v>
      </c>
      <c r="S33" t="s">
        <v>316</v>
      </c>
      <c r="V33" t="s">
        <v>317</v>
      </c>
      <c r="AC33" t="s">
        <v>71</v>
      </c>
      <c r="AD33" t="s">
        <v>62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 t="s">
        <v>309</v>
      </c>
      <c r="B34" t="s">
        <v>310</v>
      </c>
      <c r="C34" t="s">
        <v>318</v>
      </c>
      <c r="D34" s="2">
        <f t="shared" ref="D34:D65" si="5">IF(C34="","",DATE(VALUE(LEFT(C34,4)),VALUE(MID(C34,6,2)),VALUE(MID(C34,9,2)))+TIME(VALUE(MID(C34,12,2)),VALUE(MID(C34,15,2)),VALUE(MID(C34,18,2)))-IF(AND(DATE(VALUE(LEFT(C34,4)),VALUE(MID(C34,6,2)),VALUE(MID(C34,9,2)))+TIME(VALUE(MID(C34,12,2)),VALUE(MID(C34,15,2)),VALUE(MID(C34,18,2)))&gt;=DATE(VALUE(LEFT(C34,4)),3,1)+MOD(8-WEEKDAY(DATE(VALUE(LEFT(C34,4)),3,1)),7)+7+TIME(7,0,0),DATE(VALUE(LEFT(C34,4)),3,1)+MOD(8-WEEKDAY(DATE(VALUE(LEFT(C34,4)),3,1)),7)+7+TIME(7,0,0)&lt;DATE(VALUE(LEFT(C34,4)),11,1)+MOD(8-WEEKDAY(DATE(VALUE(LEFT(C34,4)),11,1)),7)+TIME(6,0,0)), TIME(4,0,0),TIME(5,0,0)))</f>
        <v>46181.62400462963</v>
      </c>
      <c r="E34" s="3">
        <f t="shared" ref="E34:E65" si="6">IF(D34="","",MOD(D34,1))</f>
        <v>0.62400462962978054</v>
      </c>
      <c r="F34" t="str">
        <f t="shared" ref="F34:F65" si="7">IF(D34="","",TEXT(D34,"mmm"))</f>
        <v>Jun</v>
      </c>
      <c r="G34">
        <f t="shared" ref="G34:G65" si="8">IF(D34="","",YEAR(D34))</f>
        <v>2026</v>
      </c>
      <c r="H34">
        <f t="shared" ref="H34:H65" si="9">IF(D34="","",HOUR(D34))</f>
        <v>14</v>
      </c>
      <c r="I34" t="s">
        <v>319</v>
      </c>
      <c r="J34" t="s">
        <v>320</v>
      </c>
      <c r="K34" t="s">
        <v>321</v>
      </c>
      <c r="M34" t="s">
        <v>322</v>
      </c>
      <c r="O34" t="s">
        <v>55</v>
      </c>
      <c r="P34" t="s">
        <v>315</v>
      </c>
      <c r="Q34" t="s">
        <v>323</v>
      </c>
      <c r="R34" t="s">
        <v>191</v>
      </c>
      <c r="S34" t="s">
        <v>324</v>
      </c>
      <c r="V34" t="s">
        <v>325</v>
      </c>
      <c r="AC34" t="s">
        <v>78</v>
      </c>
      <c r="AD34" t="s">
        <v>62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 t="s">
        <v>309</v>
      </c>
      <c r="B35" t="s">
        <v>310</v>
      </c>
      <c r="C35" t="s">
        <v>326</v>
      </c>
      <c r="D35" s="2">
        <f t="shared" si="5"/>
        <v>46069.465127314812</v>
      </c>
      <c r="E35" s="3">
        <f t="shared" si="6"/>
        <v>0.46512731481197989</v>
      </c>
      <c r="F35" t="str">
        <f t="shared" si="7"/>
        <v>Feb</v>
      </c>
      <c r="G35">
        <f t="shared" si="8"/>
        <v>2026</v>
      </c>
      <c r="H35">
        <f t="shared" si="9"/>
        <v>11</v>
      </c>
      <c r="I35" t="s">
        <v>327</v>
      </c>
      <c r="J35" t="s">
        <v>198</v>
      </c>
      <c r="M35" t="s">
        <v>328</v>
      </c>
      <c r="O35" t="s">
        <v>55</v>
      </c>
      <c r="P35" t="s">
        <v>315</v>
      </c>
      <c r="Q35" t="s">
        <v>329</v>
      </c>
      <c r="R35" t="s">
        <v>68</v>
      </c>
      <c r="S35" t="s">
        <v>330</v>
      </c>
      <c r="V35" t="s">
        <v>331</v>
      </c>
      <c r="AC35" t="s">
        <v>220</v>
      </c>
      <c r="AD35" t="s">
        <v>62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 t="s">
        <v>332</v>
      </c>
      <c r="B36" t="s">
        <v>333</v>
      </c>
      <c r="C36" t="s">
        <v>334</v>
      </c>
      <c r="D36" s="2">
        <f t="shared" si="5"/>
        <v>46025.537407407406</v>
      </c>
      <c r="E36" s="3">
        <f t="shared" si="6"/>
        <v>0.53740740740613546</v>
      </c>
      <c r="F36" t="str">
        <f t="shared" si="7"/>
        <v>Jan</v>
      </c>
      <c r="G36">
        <f t="shared" si="8"/>
        <v>2026</v>
      </c>
      <c r="H36">
        <f t="shared" si="9"/>
        <v>12</v>
      </c>
      <c r="I36" t="s">
        <v>335</v>
      </c>
      <c r="J36" t="s">
        <v>53</v>
      </c>
      <c r="M36" t="s">
        <v>336</v>
      </c>
      <c r="O36" t="s">
        <v>55</v>
      </c>
      <c r="P36" t="s">
        <v>337</v>
      </c>
      <c r="Q36" t="s">
        <v>323</v>
      </c>
      <c r="R36" t="s">
        <v>58</v>
      </c>
      <c r="S36" t="s">
        <v>316</v>
      </c>
      <c r="V36" t="s">
        <v>338</v>
      </c>
      <c r="AC36" t="s">
        <v>71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 t="s">
        <v>339</v>
      </c>
      <c r="B37" t="s">
        <v>340</v>
      </c>
      <c r="C37" t="s">
        <v>341</v>
      </c>
      <c r="D37" s="2">
        <f t="shared" si="5"/>
        <v>46110.432025462964</v>
      </c>
      <c r="E37" s="3">
        <f t="shared" si="6"/>
        <v>0.43202546296379296</v>
      </c>
      <c r="F37" t="str">
        <f t="shared" si="7"/>
        <v>Mar</v>
      </c>
      <c r="G37">
        <f t="shared" si="8"/>
        <v>2026</v>
      </c>
      <c r="H37">
        <f t="shared" si="9"/>
        <v>10</v>
      </c>
      <c r="I37" t="s">
        <v>342</v>
      </c>
      <c r="J37" t="s">
        <v>223</v>
      </c>
      <c r="M37" t="s">
        <v>343</v>
      </c>
      <c r="N37" t="s">
        <v>344</v>
      </c>
      <c r="O37" t="s">
        <v>55</v>
      </c>
      <c r="P37" t="s">
        <v>345</v>
      </c>
      <c r="R37" t="s">
        <v>58</v>
      </c>
      <c r="S37" t="s">
        <v>82</v>
      </c>
      <c r="V37" t="s">
        <v>346</v>
      </c>
      <c r="AC37" t="s">
        <v>220</v>
      </c>
      <c r="AD37" t="s">
        <v>62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 t="s">
        <v>347</v>
      </c>
      <c r="B38" t="s">
        <v>348</v>
      </c>
      <c r="C38" t="s">
        <v>349</v>
      </c>
      <c r="D38" s="2">
        <f t="shared" si="5"/>
        <v>46091.208657407413</v>
      </c>
      <c r="E38" s="3">
        <f t="shared" si="6"/>
        <v>0.20865740741282934</v>
      </c>
      <c r="F38" t="str">
        <f t="shared" si="7"/>
        <v>Mar</v>
      </c>
      <c r="G38">
        <f t="shared" si="8"/>
        <v>2026</v>
      </c>
      <c r="H38">
        <f t="shared" si="9"/>
        <v>5</v>
      </c>
      <c r="I38" t="s">
        <v>350</v>
      </c>
      <c r="J38" t="s">
        <v>53</v>
      </c>
      <c r="M38" t="s">
        <v>351</v>
      </c>
      <c r="O38" t="s">
        <v>55</v>
      </c>
      <c r="P38" t="s">
        <v>352</v>
      </c>
      <c r="Q38" t="s">
        <v>323</v>
      </c>
      <c r="R38" t="s">
        <v>58</v>
      </c>
      <c r="S38" t="s">
        <v>316</v>
      </c>
      <c r="V38" t="s">
        <v>353</v>
      </c>
      <c r="AC38" t="s">
        <v>354</v>
      </c>
      <c r="AD38" t="s">
        <v>120</v>
      </c>
      <c r="AT38">
        <v>0</v>
      </c>
      <c r="AU38">
        <v>0</v>
      </c>
      <c r="AV38">
        <v>0</v>
      </c>
      <c r="AW38">
        <v>0</v>
      </c>
    </row>
    <row r="39" spans="1:49" x14ac:dyDescent="0.25">
      <c r="A39" t="s">
        <v>355</v>
      </c>
      <c r="B39" t="s">
        <v>356</v>
      </c>
      <c r="C39" t="s">
        <v>357</v>
      </c>
      <c r="D39" s="2">
        <f t="shared" si="5"/>
        <v>46229.71706018519</v>
      </c>
      <c r="E39" s="3">
        <f t="shared" si="6"/>
        <v>0.71706018519034842</v>
      </c>
      <c r="F39" t="str">
        <f t="shared" si="7"/>
        <v>Jul</v>
      </c>
      <c r="G39">
        <f t="shared" si="8"/>
        <v>2026</v>
      </c>
      <c r="H39">
        <f t="shared" si="9"/>
        <v>17</v>
      </c>
      <c r="I39" t="s">
        <v>358</v>
      </c>
      <c r="J39" t="s">
        <v>214</v>
      </c>
      <c r="M39" t="s">
        <v>359</v>
      </c>
      <c r="O39" t="s">
        <v>55</v>
      </c>
      <c r="P39" t="s">
        <v>360</v>
      </c>
      <c r="Q39" t="s">
        <v>323</v>
      </c>
      <c r="V39" t="s">
        <v>361</v>
      </c>
      <c r="AC39" t="s">
        <v>98</v>
      </c>
      <c r="AD39" t="s">
        <v>62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 t="s">
        <v>362</v>
      </c>
      <c r="B40" t="s">
        <v>363</v>
      </c>
      <c r="C40" t="s">
        <v>364</v>
      </c>
      <c r="D40" s="2">
        <f t="shared" si="5"/>
        <v>46053.023611111108</v>
      </c>
      <c r="E40" s="3">
        <f t="shared" si="6"/>
        <v>2.361111110803904E-2</v>
      </c>
      <c r="F40" t="str">
        <f t="shared" si="7"/>
        <v>Jan</v>
      </c>
      <c r="G40">
        <f t="shared" si="8"/>
        <v>2026</v>
      </c>
      <c r="H40">
        <f t="shared" si="9"/>
        <v>0</v>
      </c>
      <c r="I40" t="s">
        <v>365</v>
      </c>
      <c r="J40" t="s">
        <v>366</v>
      </c>
      <c r="M40" t="s">
        <v>367</v>
      </c>
      <c r="N40" t="s">
        <v>368</v>
      </c>
      <c r="O40" t="s">
        <v>55</v>
      </c>
      <c r="P40" t="s">
        <v>369</v>
      </c>
      <c r="Q40" t="s">
        <v>323</v>
      </c>
      <c r="R40" t="s">
        <v>191</v>
      </c>
      <c r="S40" t="s">
        <v>324</v>
      </c>
      <c r="V40" t="s">
        <v>370</v>
      </c>
      <c r="AC40" t="s">
        <v>98</v>
      </c>
      <c r="AD40" t="s">
        <v>62</v>
      </c>
      <c r="AT40">
        <v>0</v>
      </c>
      <c r="AU40">
        <v>0</v>
      </c>
      <c r="AV40">
        <v>0</v>
      </c>
      <c r="AW40">
        <v>0</v>
      </c>
    </row>
    <row r="41" spans="1:49" x14ac:dyDescent="0.25">
      <c r="A41" t="s">
        <v>371</v>
      </c>
      <c r="B41" t="s">
        <v>372</v>
      </c>
      <c r="C41" t="s">
        <v>373</v>
      </c>
      <c r="D41" s="2">
        <f t="shared" si="5"/>
        <v>46100.396284722221</v>
      </c>
      <c r="E41" s="3">
        <f t="shared" si="6"/>
        <v>0.39628472222102573</v>
      </c>
      <c r="F41" t="str">
        <f t="shared" si="7"/>
        <v>Mar</v>
      </c>
      <c r="G41">
        <f t="shared" si="8"/>
        <v>2026</v>
      </c>
      <c r="H41">
        <f t="shared" si="9"/>
        <v>9</v>
      </c>
      <c r="I41" t="s">
        <v>374</v>
      </c>
      <c r="J41" t="s">
        <v>214</v>
      </c>
      <c r="M41" t="s">
        <v>375</v>
      </c>
      <c r="O41" t="s">
        <v>55</v>
      </c>
      <c r="P41" t="s">
        <v>376</v>
      </c>
      <c r="Q41" t="s">
        <v>323</v>
      </c>
      <c r="V41" t="s">
        <v>377</v>
      </c>
      <c r="AC41" t="s">
        <v>263</v>
      </c>
      <c r="AD41" t="s">
        <v>62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 t="s">
        <v>378</v>
      </c>
      <c r="B42" t="s">
        <v>379</v>
      </c>
      <c r="C42" t="s">
        <v>380</v>
      </c>
      <c r="D42" s="2">
        <f t="shared" si="5"/>
        <v>46239.509027777778</v>
      </c>
      <c r="E42" s="3">
        <f t="shared" si="6"/>
        <v>0.50902777777810115</v>
      </c>
      <c r="F42" t="str">
        <f t="shared" si="7"/>
        <v>Aug</v>
      </c>
      <c r="G42">
        <f t="shared" si="8"/>
        <v>2026</v>
      </c>
      <c r="H42">
        <f t="shared" si="9"/>
        <v>12</v>
      </c>
      <c r="I42" t="s">
        <v>381</v>
      </c>
      <c r="J42" t="s">
        <v>183</v>
      </c>
      <c r="M42" t="s">
        <v>382</v>
      </c>
      <c r="N42" t="s">
        <v>383</v>
      </c>
      <c r="O42" t="s">
        <v>55</v>
      </c>
      <c r="P42" t="s">
        <v>384</v>
      </c>
      <c r="Q42" t="s">
        <v>323</v>
      </c>
      <c r="V42" t="s">
        <v>385</v>
      </c>
      <c r="AC42" t="s">
        <v>172</v>
      </c>
      <c r="AD42" t="s">
        <v>120</v>
      </c>
      <c r="AT42">
        <v>0</v>
      </c>
      <c r="AU42">
        <v>4</v>
      </c>
      <c r="AV42">
        <v>0</v>
      </c>
      <c r="AW42">
        <v>1</v>
      </c>
    </row>
    <row r="43" spans="1:49" x14ac:dyDescent="0.25">
      <c r="A43" t="s">
        <v>386</v>
      </c>
      <c r="B43" t="s">
        <v>387</v>
      </c>
      <c r="C43" t="s">
        <v>388</v>
      </c>
      <c r="D43" s="2">
        <f t="shared" si="5"/>
        <v>46162.260810185187</v>
      </c>
      <c r="E43" s="3">
        <f t="shared" si="6"/>
        <v>0.26081018518743804</v>
      </c>
      <c r="F43" t="str">
        <f t="shared" si="7"/>
        <v>May</v>
      </c>
      <c r="G43">
        <f t="shared" si="8"/>
        <v>2026</v>
      </c>
      <c r="H43">
        <f t="shared" si="9"/>
        <v>6</v>
      </c>
      <c r="I43" t="s">
        <v>389</v>
      </c>
      <c r="J43" t="s">
        <v>268</v>
      </c>
      <c r="M43" t="s">
        <v>390</v>
      </c>
      <c r="O43" t="s">
        <v>55</v>
      </c>
      <c r="P43" t="s">
        <v>391</v>
      </c>
      <c r="Q43" t="s">
        <v>392</v>
      </c>
      <c r="R43" t="s">
        <v>393</v>
      </c>
      <c r="S43" t="s">
        <v>394</v>
      </c>
      <c r="V43" t="s">
        <v>395</v>
      </c>
      <c r="AC43" t="s">
        <v>119</v>
      </c>
      <c r="AT43">
        <v>0</v>
      </c>
      <c r="AU43">
        <v>0</v>
      </c>
      <c r="AV43">
        <v>0</v>
      </c>
      <c r="AW43">
        <v>0</v>
      </c>
    </row>
    <row r="44" spans="1:49" x14ac:dyDescent="0.25">
      <c r="A44" t="s">
        <v>386</v>
      </c>
      <c r="B44" t="s">
        <v>387</v>
      </c>
      <c r="C44" t="s">
        <v>396</v>
      </c>
      <c r="D44" s="2">
        <f t="shared" si="5"/>
        <v>46155.536944444444</v>
      </c>
      <c r="E44" s="3">
        <f t="shared" si="6"/>
        <v>0.53694444444408873</v>
      </c>
      <c r="F44" t="str">
        <f t="shared" si="7"/>
        <v>May</v>
      </c>
      <c r="G44">
        <f t="shared" si="8"/>
        <v>2026</v>
      </c>
      <c r="H44">
        <f t="shared" si="9"/>
        <v>12</v>
      </c>
      <c r="I44" t="s">
        <v>397</v>
      </c>
      <c r="J44" t="s">
        <v>320</v>
      </c>
      <c r="M44" t="s">
        <v>398</v>
      </c>
      <c r="O44" t="s">
        <v>55</v>
      </c>
      <c r="P44" t="s">
        <v>391</v>
      </c>
      <c r="Q44" t="s">
        <v>392</v>
      </c>
      <c r="R44" t="s">
        <v>191</v>
      </c>
      <c r="S44" t="s">
        <v>324</v>
      </c>
      <c r="V44" t="s">
        <v>399</v>
      </c>
      <c r="AC44" t="s">
        <v>172</v>
      </c>
      <c r="AT44">
        <v>0</v>
      </c>
      <c r="AU44">
        <v>0</v>
      </c>
      <c r="AV44">
        <v>0</v>
      </c>
      <c r="AW44">
        <v>0</v>
      </c>
    </row>
    <row r="45" spans="1:49" x14ac:dyDescent="0.25">
      <c r="A45" t="s">
        <v>386</v>
      </c>
      <c r="B45" t="s">
        <v>387</v>
      </c>
      <c r="C45" t="s">
        <v>400</v>
      </c>
      <c r="D45" s="2">
        <f t="shared" si="5"/>
        <v>46129.542974537042</v>
      </c>
      <c r="E45" s="3">
        <f t="shared" si="6"/>
        <v>0.54297453704202781</v>
      </c>
      <c r="F45" t="str">
        <f t="shared" si="7"/>
        <v>Apr</v>
      </c>
      <c r="G45">
        <f t="shared" si="8"/>
        <v>2026</v>
      </c>
      <c r="H45">
        <f t="shared" si="9"/>
        <v>13</v>
      </c>
      <c r="I45" t="s">
        <v>401</v>
      </c>
      <c r="J45" t="s">
        <v>320</v>
      </c>
      <c r="M45" t="s">
        <v>402</v>
      </c>
      <c r="O45" t="s">
        <v>55</v>
      </c>
      <c r="P45" t="s">
        <v>391</v>
      </c>
      <c r="Q45" t="s">
        <v>392</v>
      </c>
      <c r="R45" t="s">
        <v>191</v>
      </c>
      <c r="S45" t="s">
        <v>324</v>
      </c>
      <c r="V45" t="s">
        <v>403</v>
      </c>
      <c r="AC45" t="s">
        <v>172</v>
      </c>
      <c r="AT45">
        <v>0</v>
      </c>
      <c r="AU45">
        <v>0</v>
      </c>
      <c r="AV45">
        <v>0</v>
      </c>
      <c r="AW45">
        <v>0</v>
      </c>
    </row>
    <row r="46" spans="1:49" x14ac:dyDescent="0.25">
      <c r="A46" t="s">
        <v>404</v>
      </c>
      <c r="B46" t="s">
        <v>405</v>
      </c>
      <c r="C46" t="s">
        <v>406</v>
      </c>
      <c r="D46" s="2">
        <f t="shared" si="5"/>
        <v>46236.733333333337</v>
      </c>
      <c r="E46" s="3">
        <f t="shared" si="6"/>
        <v>0.73333333333721384</v>
      </c>
      <c r="F46" t="str">
        <f t="shared" si="7"/>
        <v>Aug</v>
      </c>
      <c r="G46">
        <f t="shared" si="8"/>
        <v>2026</v>
      </c>
      <c r="H46">
        <f t="shared" si="9"/>
        <v>17</v>
      </c>
      <c r="I46" t="s">
        <v>407</v>
      </c>
      <c r="J46" t="s">
        <v>234</v>
      </c>
      <c r="M46" t="s">
        <v>408</v>
      </c>
      <c r="N46" t="s">
        <v>409</v>
      </c>
      <c r="O46" t="s">
        <v>55</v>
      </c>
      <c r="P46" t="s">
        <v>410</v>
      </c>
      <c r="Q46" t="s">
        <v>323</v>
      </c>
      <c r="R46" t="s">
        <v>58</v>
      </c>
      <c r="S46" t="s">
        <v>59</v>
      </c>
      <c r="V46" t="s">
        <v>411</v>
      </c>
      <c r="AC46" t="s">
        <v>119</v>
      </c>
      <c r="AT46">
        <v>0</v>
      </c>
      <c r="AU46">
        <v>0</v>
      </c>
      <c r="AV46">
        <v>0</v>
      </c>
      <c r="AW46">
        <v>0</v>
      </c>
    </row>
    <row r="47" spans="1:49" x14ac:dyDescent="0.25">
      <c r="A47" t="s">
        <v>404</v>
      </c>
      <c r="B47" t="s">
        <v>405</v>
      </c>
      <c r="C47" t="s">
        <v>412</v>
      </c>
      <c r="D47" s="2">
        <f t="shared" si="5"/>
        <v>46091.47152777778</v>
      </c>
      <c r="E47" s="3">
        <f t="shared" si="6"/>
        <v>0.47152777777955635</v>
      </c>
      <c r="F47" t="str">
        <f t="shared" si="7"/>
        <v>Mar</v>
      </c>
      <c r="G47">
        <f t="shared" si="8"/>
        <v>2026</v>
      </c>
      <c r="H47">
        <f t="shared" si="9"/>
        <v>11</v>
      </c>
      <c r="I47" t="s">
        <v>413</v>
      </c>
      <c r="J47" t="s">
        <v>74</v>
      </c>
      <c r="M47" t="s">
        <v>414</v>
      </c>
      <c r="N47" t="s">
        <v>415</v>
      </c>
      <c r="O47" t="s">
        <v>55</v>
      </c>
      <c r="P47" t="s">
        <v>416</v>
      </c>
      <c r="Q47" t="s">
        <v>323</v>
      </c>
      <c r="R47" t="s">
        <v>58</v>
      </c>
      <c r="S47" t="s">
        <v>59</v>
      </c>
      <c r="V47" t="s">
        <v>417</v>
      </c>
      <c r="AC47" t="s">
        <v>418</v>
      </c>
      <c r="AD47" t="s">
        <v>256</v>
      </c>
      <c r="AT47">
        <v>0</v>
      </c>
      <c r="AU47">
        <v>0</v>
      </c>
      <c r="AV47">
        <v>0</v>
      </c>
      <c r="AW47">
        <v>0</v>
      </c>
    </row>
    <row r="48" spans="1:49" x14ac:dyDescent="0.25">
      <c r="A48" t="s">
        <v>404</v>
      </c>
      <c r="B48" t="s">
        <v>405</v>
      </c>
      <c r="C48" t="s">
        <v>412</v>
      </c>
      <c r="D48" s="2">
        <f t="shared" si="5"/>
        <v>46091.47152777778</v>
      </c>
      <c r="E48" s="3">
        <f t="shared" si="6"/>
        <v>0.47152777777955635</v>
      </c>
      <c r="F48" t="str">
        <f t="shared" si="7"/>
        <v>Mar</v>
      </c>
      <c r="G48">
        <f t="shared" si="8"/>
        <v>2026</v>
      </c>
      <c r="H48">
        <f t="shared" si="9"/>
        <v>11</v>
      </c>
      <c r="I48" t="s">
        <v>419</v>
      </c>
      <c r="J48" t="s">
        <v>74</v>
      </c>
      <c r="M48" t="s">
        <v>414</v>
      </c>
      <c r="N48" t="s">
        <v>415</v>
      </c>
      <c r="O48" t="s">
        <v>55</v>
      </c>
      <c r="P48" t="s">
        <v>416</v>
      </c>
      <c r="Q48" t="s">
        <v>323</v>
      </c>
      <c r="R48" t="s">
        <v>58</v>
      </c>
      <c r="S48" t="s">
        <v>59</v>
      </c>
      <c r="V48" t="s">
        <v>420</v>
      </c>
      <c r="AC48" t="s">
        <v>255</v>
      </c>
      <c r="AD48" t="s">
        <v>256</v>
      </c>
      <c r="AT48">
        <v>0</v>
      </c>
      <c r="AU48">
        <v>0</v>
      </c>
      <c r="AV48">
        <v>0</v>
      </c>
      <c r="AW48">
        <v>0</v>
      </c>
    </row>
    <row r="49" spans="1:49" x14ac:dyDescent="0.25">
      <c r="A49" t="s">
        <v>421</v>
      </c>
      <c r="B49" t="s">
        <v>422</v>
      </c>
      <c r="C49" t="s">
        <v>423</v>
      </c>
      <c r="D49" s="2">
        <f t="shared" si="5"/>
        <v>46159.525405092594</v>
      </c>
      <c r="E49" s="3">
        <f t="shared" si="6"/>
        <v>0.52540509259415558</v>
      </c>
      <c r="F49" t="str">
        <f t="shared" si="7"/>
        <v>May</v>
      </c>
      <c r="G49">
        <f t="shared" si="8"/>
        <v>2026</v>
      </c>
      <c r="H49">
        <f t="shared" si="9"/>
        <v>12</v>
      </c>
      <c r="I49" t="s">
        <v>424</v>
      </c>
      <c r="J49" t="s">
        <v>313</v>
      </c>
      <c r="M49" t="s">
        <v>425</v>
      </c>
      <c r="N49" t="s">
        <v>426</v>
      </c>
      <c r="O49" t="s">
        <v>55</v>
      </c>
      <c r="P49" t="s">
        <v>427</v>
      </c>
      <c r="Q49" t="s">
        <v>428</v>
      </c>
      <c r="R49" t="s">
        <v>58</v>
      </c>
      <c r="S49" t="s">
        <v>82</v>
      </c>
      <c r="V49" t="s">
        <v>429</v>
      </c>
      <c r="AC49" t="s">
        <v>220</v>
      </c>
      <c r="AD49" t="s">
        <v>62</v>
      </c>
      <c r="AT49">
        <v>0</v>
      </c>
      <c r="AU49">
        <v>0</v>
      </c>
      <c r="AV49">
        <v>0</v>
      </c>
      <c r="AW49">
        <v>0</v>
      </c>
    </row>
    <row r="50" spans="1:49" x14ac:dyDescent="0.25">
      <c r="A50" t="s">
        <v>421</v>
      </c>
      <c r="B50" t="s">
        <v>422</v>
      </c>
      <c r="C50" t="s">
        <v>430</v>
      </c>
      <c r="D50" s="2">
        <f t="shared" si="5"/>
        <v>46106.789513888893</v>
      </c>
      <c r="E50" s="3">
        <f t="shared" si="6"/>
        <v>0.78951388889254304</v>
      </c>
      <c r="F50" t="str">
        <f t="shared" si="7"/>
        <v>Mar</v>
      </c>
      <c r="G50">
        <f t="shared" si="8"/>
        <v>2026</v>
      </c>
      <c r="H50">
        <f t="shared" si="9"/>
        <v>18</v>
      </c>
      <c r="I50" t="s">
        <v>431</v>
      </c>
      <c r="J50" t="s">
        <v>432</v>
      </c>
      <c r="M50" t="s">
        <v>433</v>
      </c>
      <c r="N50" t="s">
        <v>426</v>
      </c>
      <c r="O50" t="s">
        <v>55</v>
      </c>
      <c r="P50" t="s">
        <v>434</v>
      </c>
      <c r="Q50" t="s">
        <v>428</v>
      </c>
      <c r="V50" t="s">
        <v>435</v>
      </c>
      <c r="AC50" t="s">
        <v>98</v>
      </c>
      <c r="AT50">
        <v>0</v>
      </c>
      <c r="AU50">
        <v>0</v>
      </c>
      <c r="AV50">
        <v>0</v>
      </c>
      <c r="AW50">
        <v>0</v>
      </c>
    </row>
    <row r="51" spans="1:49" x14ac:dyDescent="0.25">
      <c r="A51" t="s">
        <v>436</v>
      </c>
      <c r="B51" t="s">
        <v>437</v>
      </c>
      <c r="C51" t="s">
        <v>438</v>
      </c>
      <c r="D51" s="2">
        <f t="shared" si="5"/>
        <v>46158.716458333336</v>
      </c>
      <c r="E51" s="3">
        <f t="shared" si="6"/>
        <v>0.71645833333604969</v>
      </c>
      <c r="F51" t="str">
        <f t="shared" si="7"/>
        <v>May</v>
      </c>
      <c r="G51">
        <f t="shared" si="8"/>
        <v>2026</v>
      </c>
      <c r="H51">
        <f t="shared" si="9"/>
        <v>17</v>
      </c>
      <c r="I51" t="s">
        <v>439</v>
      </c>
      <c r="J51" t="s">
        <v>440</v>
      </c>
      <c r="M51" t="s">
        <v>441</v>
      </c>
      <c r="N51" t="s">
        <v>442</v>
      </c>
      <c r="O51" t="s">
        <v>55</v>
      </c>
      <c r="P51" t="s">
        <v>443</v>
      </c>
      <c r="R51" t="s">
        <v>185</v>
      </c>
      <c r="S51" t="s">
        <v>444</v>
      </c>
      <c r="V51" t="s">
        <v>445</v>
      </c>
      <c r="AC51" t="s">
        <v>98</v>
      </c>
      <c r="AD51" t="s">
        <v>62</v>
      </c>
      <c r="AT51">
        <v>0</v>
      </c>
      <c r="AU51">
        <v>0</v>
      </c>
      <c r="AV51">
        <v>0</v>
      </c>
      <c r="AW51">
        <v>0</v>
      </c>
    </row>
    <row r="52" spans="1:49" x14ac:dyDescent="0.25">
      <c r="A52" t="s">
        <v>436</v>
      </c>
      <c r="B52" t="s">
        <v>437</v>
      </c>
      <c r="C52" t="s">
        <v>446</v>
      </c>
      <c r="D52" s="2">
        <f t="shared" si="5"/>
        <v>46065.184027777774</v>
      </c>
      <c r="E52" s="3">
        <f t="shared" si="6"/>
        <v>0.18402777777373558</v>
      </c>
      <c r="F52" t="str">
        <f t="shared" si="7"/>
        <v>Feb</v>
      </c>
      <c r="G52">
        <f t="shared" si="8"/>
        <v>2026</v>
      </c>
      <c r="H52">
        <f t="shared" si="9"/>
        <v>4</v>
      </c>
      <c r="I52" t="s">
        <v>447</v>
      </c>
      <c r="J52" t="s">
        <v>448</v>
      </c>
      <c r="M52" t="s">
        <v>449</v>
      </c>
      <c r="N52" t="s">
        <v>442</v>
      </c>
      <c r="O52" t="s">
        <v>55</v>
      </c>
      <c r="P52" t="s">
        <v>443</v>
      </c>
      <c r="V52" t="s">
        <v>450</v>
      </c>
      <c r="AC52" t="s">
        <v>451</v>
      </c>
      <c r="AD52" t="s">
        <v>62</v>
      </c>
      <c r="AT52">
        <v>0</v>
      </c>
      <c r="AU52">
        <v>0</v>
      </c>
      <c r="AV52">
        <v>0</v>
      </c>
      <c r="AW52">
        <v>0</v>
      </c>
    </row>
    <row r="53" spans="1:49" x14ac:dyDescent="0.25">
      <c r="A53" t="s">
        <v>452</v>
      </c>
      <c r="B53" t="s">
        <v>453</v>
      </c>
      <c r="C53" t="s">
        <v>454</v>
      </c>
      <c r="D53" s="2">
        <f t="shared" si="5"/>
        <v>46225.797268518523</v>
      </c>
      <c r="E53" s="3">
        <f t="shared" si="6"/>
        <v>0.79726851852319669</v>
      </c>
      <c r="F53" t="str">
        <f t="shared" si="7"/>
        <v>Jul</v>
      </c>
      <c r="G53">
        <f t="shared" si="8"/>
        <v>2026</v>
      </c>
      <c r="H53">
        <f t="shared" si="9"/>
        <v>19</v>
      </c>
      <c r="I53" t="s">
        <v>455</v>
      </c>
      <c r="J53" t="s">
        <v>313</v>
      </c>
      <c r="M53" t="s">
        <v>456</v>
      </c>
      <c r="O53" t="s">
        <v>55</v>
      </c>
      <c r="P53" t="s">
        <v>457</v>
      </c>
      <c r="Q53" t="s">
        <v>428</v>
      </c>
      <c r="V53" t="s">
        <v>458</v>
      </c>
      <c r="AC53" t="s">
        <v>61</v>
      </c>
      <c r="AD53" t="s">
        <v>62</v>
      </c>
      <c r="AT53">
        <v>0</v>
      </c>
      <c r="AU53">
        <v>0</v>
      </c>
      <c r="AV53">
        <v>0</v>
      </c>
      <c r="AW53">
        <v>0</v>
      </c>
    </row>
    <row r="54" spans="1:49" x14ac:dyDescent="0.25">
      <c r="A54" t="s">
        <v>459</v>
      </c>
      <c r="B54" t="s">
        <v>460</v>
      </c>
      <c r="C54" t="s">
        <v>461</v>
      </c>
      <c r="D54" s="2">
        <f t="shared" si="5"/>
        <v>46189.479861111111</v>
      </c>
      <c r="E54" s="3">
        <f t="shared" si="6"/>
        <v>0.47986111111094942</v>
      </c>
      <c r="F54" t="str">
        <f t="shared" si="7"/>
        <v>Jun</v>
      </c>
      <c r="G54">
        <f t="shared" si="8"/>
        <v>2026</v>
      </c>
      <c r="H54">
        <f t="shared" si="9"/>
        <v>11</v>
      </c>
      <c r="I54" t="s">
        <v>462</v>
      </c>
      <c r="J54" t="s">
        <v>214</v>
      </c>
      <c r="M54" t="s">
        <v>463</v>
      </c>
      <c r="O54" t="s">
        <v>55</v>
      </c>
      <c r="P54" t="s">
        <v>464</v>
      </c>
      <c r="Q54" t="s">
        <v>465</v>
      </c>
      <c r="V54" t="s">
        <v>466</v>
      </c>
      <c r="AC54" t="s">
        <v>263</v>
      </c>
      <c r="AT54">
        <v>0</v>
      </c>
      <c r="AU54">
        <v>0</v>
      </c>
      <c r="AV54">
        <v>0</v>
      </c>
      <c r="AW54">
        <v>0</v>
      </c>
    </row>
    <row r="55" spans="1:49" x14ac:dyDescent="0.25">
      <c r="A55" t="s">
        <v>459</v>
      </c>
      <c r="B55" t="s">
        <v>460</v>
      </c>
      <c r="C55" t="s">
        <v>467</v>
      </c>
      <c r="D55" s="2">
        <f t="shared" si="5"/>
        <v>46169.413194444445</v>
      </c>
      <c r="E55" s="3">
        <f t="shared" si="6"/>
        <v>0.41319444444525288</v>
      </c>
      <c r="F55" t="str">
        <f t="shared" si="7"/>
        <v>May</v>
      </c>
      <c r="G55">
        <f t="shared" si="8"/>
        <v>2026</v>
      </c>
      <c r="H55">
        <f t="shared" si="9"/>
        <v>9</v>
      </c>
      <c r="I55" t="s">
        <v>468</v>
      </c>
      <c r="J55" t="s">
        <v>214</v>
      </c>
      <c r="M55" t="s">
        <v>469</v>
      </c>
      <c r="O55" t="s">
        <v>55</v>
      </c>
      <c r="P55" t="s">
        <v>464</v>
      </c>
      <c r="Q55" t="s">
        <v>465</v>
      </c>
      <c r="R55" t="s">
        <v>284</v>
      </c>
      <c r="S55" t="s">
        <v>470</v>
      </c>
      <c r="V55" t="s">
        <v>471</v>
      </c>
      <c r="AC55" t="s">
        <v>119</v>
      </c>
      <c r="AT55">
        <v>0</v>
      </c>
      <c r="AU55">
        <v>0</v>
      </c>
      <c r="AV55">
        <v>0</v>
      </c>
      <c r="AW55">
        <v>0</v>
      </c>
    </row>
    <row r="56" spans="1:49" x14ac:dyDescent="0.25">
      <c r="A56" t="s">
        <v>472</v>
      </c>
      <c r="B56" t="s">
        <v>473</v>
      </c>
      <c r="C56" t="s">
        <v>474</v>
      </c>
      <c r="D56" s="2">
        <f t="shared" si="5"/>
        <v>46181.42291666667</v>
      </c>
      <c r="E56" s="3">
        <f t="shared" si="6"/>
        <v>0.42291666667006211</v>
      </c>
      <c r="F56" t="str">
        <f t="shared" si="7"/>
        <v>Jun</v>
      </c>
      <c r="G56">
        <f t="shared" si="8"/>
        <v>2026</v>
      </c>
      <c r="H56">
        <f t="shared" si="9"/>
        <v>10</v>
      </c>
      <c r="I56" t="s">
        <v>475</v>
      </c>
      <c r="J56" t="s">
        <v>74</v>
      </c>
      <c r="K56" t="s">
        <v>53</v>
      </c>
      <c r="M56" t="s">
        <v>476</v>
      </c>
      <c r="O56" t="s">
        <v>55</v>
      </c>
      <c r="P56" t="s">
        <v>477</v>
      </c>
      <c r="Q56" t="s">
        <v>465</v>
      </c>
      <c r="R56" t="s">
        <v>58</v>
      </c>
      <c r="S56" t="s">
        <v>316</v>
      </c>
      <c r="V56" t="s">
        <v>478</v>
      </c>
      <c r="AC56" t="s">
        <v>98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 t="s">
        <v>472</v>
      </c>
      <c r="B57" t="s">
        <v>473</v>
      </c>
      <c r="C57" t="s">
        <v>479</v>
      </c>
      <c r="D57" s="2">
        <f t="shared" si="5"/>
        <v>46028.553472222222</v>
      </c>
      <c r="E57" s="3">
        <f t="shared" si="6"/>
        <v>0.55347222222189885</v>
      </c>
      <c r="F57" t="str">
        <f t="shared" si="7"/>
        <v>Jan</v>
      </c>
      <c r="G57">
        <f t="shared" si="8"/>
        <v>2026</v>
      </c>
      <c r="H57">
        <f t="shared" si="9"/>
        <v>13</v>
      </c>
      <c r="I57" t="s">
        <v>480</v>
      </c>
      <c r="J57" t="s">
        <v>223</v>
      </c>
      <c r="M57" t="s">
        <v>481</v>
      </c>
      <c r="O57" t="s">
        <v>55</v>
      </c>
      <c r="P57" t="s">
        <v>477</v>
      </c>
      <c r="Q57" t="s">
        <v>465</v>
      </c>
      <c r="R57" t="s">
        <v>284</v>
      </c>
      <c r="S57" t="s">
        <v>470</v>
      </c>
      <c r="V57" t="s">
        <v>482</v>
      </c>
      <c r="AC57" t="s">
        <v>61</v>
      </c>
      <c r="AD57" t="s">
        <v>62</v>
      </c>
      <c r="AT57">
        <v>0</v>
      </c>
      <c r="AU57">
        <v>0</v>
      </c>
      <c r="AV57">
        <v>0</v>
      </c>
      <c r="AW57">
        <v>0</v>
      </c>
    </row>
    <row r="58" spans="1:49" x14ac:dyDescent="0.25">
      <c r="A58" t="s">
        <v>483</v>
      </c>
      <c r="B58" t="s">
        <v>484</v>
      </c>
      <c r="C58" t="s">
        <v>485</v>
      </c>
      <c r="D58" s="2">
        <f t="shared" si="5"/>
        <v>46267.533055555556</v>
      </c>
      <c r="E58" s="3">
        <f t="shared" si="6"/>
        <v>0.53305555555562023</v>
      </c>
      <c r="F58" t="str">
        <f t="shared" si="7"/>
        <v>Sep</v>
      </c>
      <c r="G58">
        <f t="shared" si="8"/>
        <v>2026</v>
      </c>
      <c r="H58">
        <f t="shared" si="9"/>
        <v>12</v>
      </c>
      <c r="I58" t="s">
        <v>486</v>
      </c>
      <c r="J58" t="s">
        <v>223</v>
      </c>
      <c r="M58" t="s">
        <v>487</v>
      </c>
      <c r="N58" t="s">
        <v>488</v>
      </c>
      <c r="O58" t="s">
        <v>55</v>
      </c>
      <c r="P58" t="s">
        <v>489</v>
      </c>
      <c r="V58" t="s">
        <v>490</v>
      </c>
      <c r="AC58" t="s">
        <v>71</v>
      </c>
      <c r="AD58" t="s">
        <v>62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 t="s">
        <v>491</v>
      </c>
      <c r="B59" t="s">
        <v>492</v>
      </c>
      <c r="C59" t="s">
        <v>493</v>
      </c>
      <c r="D59" s="2">
        <f t="shared" si="5"/>
        <v>46230.489583333336</v>
      </c>
      <c r="E59" s="3">
        <f t="shared" si="6"/>
        <v>0.48958333333575865</v>
      </c>
      <c r="F59" t="str">
        <f t="shared" si="7"/>
        <v>Jul</v>
      </c>
      <c r="G59">
        <f t="shared" si="8"/>
        <v>2026</v>
      </c>
      <c r="H59">
        <f t="shared" si="9"/>
        <v>11</v>
      </c>
      <c r="I59" t="s">
        <v>494</v>
      </c>
      <c r="J59" t="s">
        <v>183</v>
      </c>
      <c r="M59" t="s">
        <v>495</v>
      </c>
      <c r="N59" t="s">
        <v>496</v>
      </c>
      <c r="O59" t="s">
        <v>55</v>
      </c>
      <c r="P59" t="s">
        <v>497</v>
      </c>
      <c r="Q59" t="s">
        <v>465</v>
      </c>
      <c r="R59" t="s">
        <v>129</v>
      </c>
      <c r="S59" t="s">
        <v>498</v>
      </c>
      <c r="V59" t="s">
        <v>499</v>
      </c>
      <c r="AC59" t="s">
        <v>500</v>
      </c>
      <c r="AT59">
        <v>0</v>
      </c>
      <c r="AU59">
        <v>0</v>
      </c>
      <c r="AV59">
        <v>0</v>
      </c>
      <c r="AW59">
        <v>0</v>
      </c>
    </row>
    <row r="60" spans="1:49" x14ac:dyDescent="0.25">
      <c r="A60" t="s">
        <v>501</v>
      </c>
      <c r="B60" t="s">
        <v>502</v>
      </c>
      <c r="C60" t="s">
        <v>503</v>
      </c>
      <c r="D60" s="2">
        <f t="shared" si="5"/>
        <v>46095.684722222228</v>
      </c>
      <c r="E60" s="3">
        <f t="shared" si="6"/>
        <v>0.68472222222771961</v>
      </c>
      <c r="F60" t="str">
        <f t="shared" si="7"/>
        <v>Mar</v>
      </c>
      <c r="G60">
        <f t="shared" si="8"/>
        <v>2026</v>
      </c>
      <c r="H60">
        <f t="shared" si="9"/>
        <v>16</v>
      </c>
      <c r="I60" t="s">
        <v>504</v>
      </c>
      <c r="J60" t="s">
        <v>432</v>
      </c>
      <c r="K60" t="s">
        <v>366</v>
      </c>
      <c r="M60" t="s">
        <v>505</v>
      </c>
      <c r="O60" t="s">
        <v>55</v>
      </c>
      <c r="P60" t="s">
        <v>506</v>
      </c>
      <c r="Q60" t="s">
        <v>465</v>
      </c>
      <c r="V60" t="s">
        <v>507</v>
      </c>
      <c r="AC60" t="s">
        <v>119</v>
      </c>
      <c r="AD60" t="s">
        <v>120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 t="s">
        <v>508</v>
      </c>
      <c r="B61" t="s">
        <v>509</v>
      </c>
      <c r="C61" t="s">
        <v>510</v>
      </c>
      <c r="D61" s="2">
        <f t="shared" si="5"/>
        <v>46265.954756944448</v>
      </c>
      <c r="E61" s="3">
        <f t="shared" si="6"/>
        <v>0.95475694444758119</v>
      </c>
      <c r="F61" t="str">
        <f t="shared" si="7"/>
        <v>Aug</v>
      </c>
      <c r="G61">
        <f t="shared" si="8"/>
        <v>2026</v>
      </c>
      <c r="H61">
        <f t="shared" si="9"/>
        <v>22</v>
      </c>
      <c r="I61" t="s">
        <v>511</v>
      </c>
      <c r="J61" t="s">
        <v>53</v>
      </c>
      <c r="M61" t="s">
        <v>512</v>
      </c>
      <c r="O61" t="s">
        <v>55</v>
      </c>
      <c r="P61" t="s">
        <v>513</v>
      </c>
      <c r="Q61" t="s">
        <v>514</v>
      </c>
      <c r="R61" t="s">
        <v>58</v>
      </c>
      <c r="S61" t="s">
        <v>82</v>
      </c>
      <c r="V61" t="s">
        <v>515</v>
      </c>
      <c r="AC61" t="s">
        <v>98</v>
      </c>
      <c r="AT61">
        <v>0</v>
      </c>
      <c r="AU61">
        <v>0</v>
      </c>
      <c r="AV61">
        <v>0</v>
      </c>
      <c r="AW61">
        <v>0</v>
      </c>
    </row>
    <row r="62" spans="1:49" x14ac:dyDescent="0.25">
      <c r="A62" t="s">
        <v>508</v>
      </c>
      <c r="B62" t="s">
        <v>509</v>
      </c>
      <c r="C62" t="s">
        <v>516</v>
      </c>
      <c r="D62" s="2">
        <f t="shared" si="5"/>
        <v>46265.375763888893</v>
      </c>
      <c r="E62" s="3">
        <f t="shared" si="6"/>
        <v>0.37576388889283407</v>
      </c>
      <c r="F62" t="str">
        <f t="shared" si="7"/>
        <v>Aug</v>
      </c>
      <c r="G62">
        <f t="shared" si="8"/>
        <v>2026</v>
      </c>
      <c r="H62">
        <f t="shared" si="9"/>
        <v>9</v>
      </c>
      <c r="I62" t="s">
        <v>517</v>
      </c>
      <c r="J62" t="s">
        <v>74</v>
      </c>
      <c r="M62" t="s">
        <v>518</v>
      </c>
      <c r="O62" t="s">
        <v>55</v>
      </c>
      <c r="P62" t="s">
        <v>519</v>
      </c>
      <c r="Q62" t="s">
        <v>514</v>
      </c>
      <c r="R62" t="s">
        <v>58</v>
      </c>
      <c r="S62" t="s">
        <v>82</v>
      </c>
      <c r="V62" t="s">
        <v>520</v>
      </c>
      <c r="AC62" t="s">
        <v>248</v>
      </c>
      <c r="AD62" t="s">
        <v>120</v>
      </c>
      <c r="AT62">
        <v>0</v>
      </c>
      <c r="AU62">
        <v>0</v>
      </c>
      <c r="AV62">
        <v>0</v>
      </c>
      <c r="AW62">
        <v>0</v>
      </c>
    </row>
    <row r="63" spans="1:49" x14ac:dyDescent="0.25">
      <c r="A63" t="s">
        <v>508</v>
      </c>
      <c r="B63" t="s">
        <v>509</v>
      </c>
      <c r="C63" t="s">
        <v>521</v>
      </c>
      <c r="D63" s="2">
        <f t="shared" si="5"/>
        <v>46262.0153125</v>
      </c>
      <c r="E63" s="3">
        <f t="shared" si="6"/>
        <v>1.5312499999708962E-2</v>
      </c>
      <c r="F63" t="str">
        <f t="shared" si="7"/>
        <v>Aug</v>
      </c>
      <c r="G63">
        <f t="shared" si="8"/>
        <v>2026</v>
      </c>
      <c r="H63">
        <f t="shared" si="9"/>
        <v>0</v>
      </c>
      <c r="I63" t="s">
        <v>522</v>
      </c>
      <c r="J63" t="s">
        <v>198</v>
      </c>
      <c r="M63" t="s">
        <v>523</v>
      </c>
      <c r="O63" t="s">
        <v>55</v>
      </c>
      <c r="P63" t="s">
        <v>524</v>
      </c>
      <c r="Q63" t="s">
        <v>514</v>
      </c>
      <c r="R63" t="s">
        <v>58</v>
      </c>
      <c r="S63" t="s">
        <v>525</v>
      </c>
      <c r="V63" t="s">
        <v>526</v>
      </c>
      <c r="AC63" t="s">
        <v>71</v>
      </c>
      <c r="AD63" t="s">
        <v>120</v>
      </c>
      <c r="AT63">
        <v>0</v>
      </c>
      <c r="AU63">
        <v>0</v>
      </c>
      <c r="AV63">
        <v>0</v>
      </c>
      <c r="AW63">
        <v>0</v>
      </c>
    </row>
    <row r="64" spans="1:49" x14ac:dyDescent="0.25">
      <c r="A64" t="s">
        <v>508</v>
      </c>
      <c r="B64" t="s">
        <v>509</v>
      </c>
      <c r="C64" t="s">
        <v>527</v>
      </c>
      <c r="D64" s="2">
        <f t="shared" si="5"/>
        <v>46261.558333333334</v>
      </c>
      <c r="E64" s="3">
        <f t="shared" si="6"/>
        <v>0.55833333333430346</v>
      </c>
      <c r="F64" t="str">
        <f t="shared" si="7"/>
        <v>Aug</v>
      </c>
      <c r="G64">
        <f t="shared" si="8"/>
        <v>2026</v>
      </c>
      <c r="H64">
        <f t="shared" si="9"/>
        <v>13</v>
      </c>
      <c r="I64" t="s">
        <v>528</v>
      </c>
      <c r="J64" t="s">
        <v>223</v>
      </c>
      <c r="K64" t="s">
        <v>190</v>
      </c>
      <c r="M64" t="s">
        <v>529</v>
      </c>
      <c r="O64" t="s">
        <v>55</v>
      </c>
      <c r="P64" t="s">
        <v>530</v>
      </c>
      <c r="Q64" t="s">
        <v>514</v>
      </c>
      <c r="R64" t="s">
        <v>58</v>
      </c>
      <c r="S64" t="s">
        <v>82</v>
      </c>
      <c r="V64" t="s">
        <v>531</v>
      </c>
      <c r="AC64" t="s">
        <v>119</v>
      </c>
      <c r="AD64" t="s">
        <v>62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 t="s">
        <v>508</v>
      </c>
      <c r="B65" t="s">
        <v>509</v>
      </c>
      <c r="C65" t="s">
        <v>532</v>
      </c>
      <c r="D65" s="2">
        <f t="shared" si="5"/>
        <v>46258.734155092592</v>
      </c>
      <c r="E65" s="3">
        <f t="shared" si="6"/>
        <v>0.73415509259211831</v>
      </c>
      <c r="F65" t="str">
        <f t="shared" si="7"/>
        <v>Aug</v>
      </c>
      <c r="G65">
        <f t="shared" si="8"/>
        <v>2026</v>
      </c>
      <c r="H65">
        <f t="shared" si="9"/>
        <v>17</v>
      </c>
      <c r="I65" t="s">
        <v>533</v>
      </c>
      <c r="J65" t="s">
        <v>534</v>
      </c>
      <c r="M65" t="s">
        <v>535</v>
      </c>
      <c r="O65" t="s">
        <v>55</v>
      </c>
      <c r="P65" t="s">
        <v>536</v>
      </c>
      <c r="Q65" t="s">
        <v>514</v>
      </c>
      <c r="R65" t="s">
        <v>191</v>
      </c>
      <c r="S65" t="s">
        <v>324</v>
      </c>
      <c r="V65" t="s">
        <v>537</v>
      </c>
      <c r="AC65" t="s">
        <v>98</v>
      </c>
      <c r="AD65" t="s">
        <v>62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A66" t="s">
        <v>508</v>
      </c>
      <c r="B66" t="s">
        <v>509</v>
      </c>
      <c r="C66" t="s">
        <v>538</v>
      </c>
      <c r="D66" s="2">
        <f t="shared" ref="D66:D97" si="10">IF(C66="","",DATE(VALUE(LEFT(C66,4)),VALUE(MID(C66,6,2)),VALUE(MID(C66,9,2)))+TIME(VALUE(MID(C66,12,2)),VALUE(MID(C66,15,2)),VALUE(MID(C66,18,2)))-IF(AND(DATE(VALUE(LEFT(C66,4)),VALUE(MID(C66,6,2)),VALUE(MID(C66,9,2)))+TIME(VALUE(MID(C66,12,2)),VALUE(MID(C66,15,2)),VALUE(MID(C66,18,2)))&gt;=DATE(VALUE(LEFT(C66,4)),3,1)+MOD(8-WEEKDAY(DATE(VALUE(LEFT(C66,4)),3,1)),7)+7+TIME(7,0,0),DATE(VALUE(LEFT(C66,4)),3,1)+MOD(8-WEEKDAY(DATE(VALUE(LEFT(C66,4)),3,1)),7)+7+TIME(7,0,0)&lt;DATE(VALUE(LEFT(C66,4)),11,1)+MOD(8-WEEKDAY(DATE(VALUE(LEFT(C66,4)),11,1)),7)+TIME(6,0,0)), TIME(4,0,0),TIME(5,0,0)))</f>
        <v>46258.280555555561</v>
      </c>
      <c r="E66" s="3">
        <f t="shared" ref="E66:E97" si="11">IF(D66="","",MOD(D66,1))</f>
        <v>0.28055555556056788</v>
      </c>
      <c r="F66" t="str">
        <f t="shared" ref="F66:F85" si="12">IF(D66="","",TEXT(D66,"mmm"))</f>
        <v>Aug</v>
      </c>
      <c r="G66">
        <f t="shared" ref="G66:G85" si="13">IF(D66="","",YEAR(D66))</f>
        <v>2026</v>
      </c>
      <c r="H66">
        <f t="shared" ref="H66:H85" si="14">IF(D66="","",HOUR(D66))</f>
        <v>6</v>
      </c>
      <c r="I66" t="s">
        <v>539</v>
      </c>
      <c r="J66" t="s">
        <v>540</v>
      </c>
      <c r="M66" t="s">
        <v>541</v>
      </c>
      <c r="O66" t="s">
        <v>55</v>
      </c>
      <c r="P66" t="s">
        <v>542</v>
      </c>
      <c r="Q66" t="s">
        <v>514</v>
      </c>
      <c r="R66" t="s">
        <v>191</v>
      </c>
      <c r="S66" t="s">
        <v>324</v>
      </c>
      <c r="V66" t="s">
        <v>543</v>
      </c>
      <c r="AC66" t="s">
        <v>354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 t="s">
        <v>508</v>
      </c>
      <c r="B67" t="s">
        <v>509</v>
      </c>
      <c r="C67" t="s">
        <v>544</v>
      </c>
      <c r="D67" s="2">
        <f t="shared" si="10"/>
        <v>46252.509004629632</v>
      </c>
      <c r="E67" s="3">
        <f t="shared" si="11"/>
        <v>0.50900462963181781</v>
      </c>
      <c r="F67" t="str">
        <f t="shared" si="12"/>
        <v>Aug</v>
      </c>
      <c r="G67">
        <f t="shared" si="13"/>
        <v>2026</v>
      </c>
      <c r="H67">
        <f t="shared" si="14"/>
        <v>12</v>
      </c>
      <c r="I67" t="s">
        <v>545</v>
      </c>
      <c r="J67" t="s">
        <v>53</v>
      </c>
      <c r="K67" t="s">
        <v>234</v>
      </c>
      <c r="L67" t="s">
        <v>107</v>
      </c>
      <c r="M67" t="s">
        <v>546</v>
      </c>
      <c r="O67" t="s">
        <v>55</v>
      </c>
      <c r="P67" t="s">
        <v>530</v>
      </c>
      <c r="Q67" t="s">
        <v>514</v>
      </c>
      <c r="R67" t="s">
        <v>191</v>
      </c>
      <c r="S67" t="s">
        <v>547</v>
      </c>
      <c r="V67" t="s">
        <v>548</v>
      </c>
      <c r="AC67" t="s">
        <v>71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A68" t="s">
        <v>508</v>
      </c>
      <c r="B68" t="s">
        <v>509</v>
      </c>
      <c r="C68" t="s">
        <v>549</v>
      </c>
      <c r="D68" s="2">
        <f t="shared" si="10"/>
        <v>46252.450798611113</v>
      </c>
      <c r="E68" s="3">
        <f t="shared" si="11"/>
        <v>0.45079861111298669</v>
      </c>
      <c r="F68" t="str">
        <f t="shared" si="12"/>
        <v>Aug</v>
      </c>
      <c r="G68">
        <f t="shared" si="13"/>
        <v>2026</v>
      </c>
      <c r="H68">
        <f t="shared" si="14"/>
        <v>10</v>
      </c>
      <c r="I68" t="s">
        <v>550</v>
      </c>
      <c r="J68" t="s">
        <v>53</v>
      </c>
      <c r="M68" t="s">
        <v>546</v>
      </c>
      <c r="O68" t="s">
        <v>55</v>
      </c>
      <c r="P68" t="s">
        <v>530</v>
      </c>
      <c r="Q68" t="s">
        <v>514</v>
      </c>
      <c r="R68" t="s">
        <v>58</v>
      </c>
      <c r="S68" t="s">
        <v>82</v>
      </c>
      <c r="V68" t="s">
        <v>551</v>
      </c>
      <c r="AC68" t="s">
        <v>71</v>
      </c>
      <c r="AD68" t="s">
        <v>62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 t="s">
        <v>508</v>
      </c>
      <c r="B69" t="s">
        <v>509</v>
      </c>
      <c r="C69" t="s">
        <v>552</v>
      </c>
      <c r="D69" s="2">
        <f t="shared" si="10"/>
        <v>46251.070937500001</v>
      </c>
      <c r="E69" s="3">
        <f t="shared" si="11"/>
        <v>7.0937500000582077E-2</v>
      </c>
      <c r="F69" t="str">
        <f t="shared" si="12"/>
        <v>Aug</v>
      </c>
      <c r="G69">
        <f t="shared" si="13"/>
        <v>2026</v>
      </c>
      <c r="H69">
        <f t="shared" si="14"/>
        <v>1</v>
      </c>
      <c r="I69" t="s">
        <v>553</v>
      </c>
      <c r="J69" t="s">
        <v>165</v>
      </c>
      <c r="M69" t="s">
        <v>554</v>
      </c>
      <c r="O69" t="s">
        <v>55</v>
      </c>
      <c r="P69" t="s">
        <v>555</v>
      </c>
      <c r="Q69" t="s">
        <v>514</v>
      </c>
      <c r="R69" t="s">
        <v>58</v>
      </c>
      <c r="S69" t="s">
        <v>556</v>
      </c>
      <c r="V69" t="s">
        <v>557</v>
      </c>
      <c r="AC69" t="s">
        <v>98</v>
      </c>
      <c r="AT69">
        <v>0</v>
      </c>
      <c r="AU69">
        <v>0</v>
      </c>
      <c r="AV69">
        <v>0</v>
      </c>
      <c r="AW69">
        <v>0</v>
      </c>
    </row>
    <row r="70" spans="1:49" x14ac:dyDescent="0.25">
      <c r="A70" t="s">
        <v>508</v>
      </c>
      <c r="B70" t="s">
        <v>509</v>
      </c>
      <c r="C70" t="s">
        <v>558</v>
      </c>
      <c r="D70" s="2">
        <f t="shared" si="10"/>
        <v>46247.305243055554</v>
      </c>
      <c r="E70" s="3">
        <f t="shared" si="11"/>
        <v>0.30524305555445608</v>
      </c>
      <c r="F70" t="str">
        <f t="shared" si="12"/>
        <v>Aug</v>
      </c>
      <c r="G70">
        <f t="shared" si="13"/>
        <v>2026</v>
      </c>
      <c r="H70">
        <f t="shared" si="14"/>
        <v>7</v>
      </c>
      <c r="I70" t="s">
        <v>559</v>
      </c>
      <c r="J70" t="s">
        <v>268</v>
      </c>
      <c r="M70" t="s">
        <v>560</v>
      </c>
      <c r="O70" t="s">
        <v>55</v>
      </c>
      <c r="P70" t="s">
        <v>561</v>
      </c>
      <c r="Q70" t="s">
        <v>514</v>
      </c>
      <c r="R70" t="s">
        <v>191</v>
      </c>
      <c r="S70" t="s">
        <v>324</v>
      </c>
      <c r="V70" t="s">
        <v>562</v>
      </c>
      <c r="AC70" t="s">
        <v>119</v>
      </c>
      <c r="AD70" t="s">
        <v>62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 t="s">
        <v>508</v>
      </c>
      <c r="B71" t="s">
        <v>509</v>
      </c>
      <c r="C71" t="s">
        <v>563</v>
      </c>
      <c r="D71" s="2">
        <f t="shared" si="10"/>
        <v>46242.719571759262</v>
      </c>
      <c r="E71" s="3">
        <f t="shared" si="11"/>
        <v>0.71957175926218042</v>
      </c>
      <c r="F71" t="str">
        <f t="shared" si="12"/>
        <v>Aug</v>
      </c>
      <c r="G71">
        <f t="shared" si="13"/>
        <v>2026</v>
      </c>
      <c r="H71">
        <f t="shared" si="14"/>
        <v>17</v>
      </c>
      <c r="I71" t="s">
        <v>564</v>
      </c>
      <c r="J71" t="s">
        <v>214</v>
      </c>
      <c r="M71" t="s">
        <v>565</v>
      </c>
      <c r="O71" t="s">
        <v>55</v>
      </c>
      <c r="P71" t="s">
        <v>519</v>
      </c>
      <c r="Q71" t="s">
        <v>514</v>
      </c>
      <c r="R71" t="s">
        <v>58</v>
      </c>
      <c r="S71" t="s">
        <v>82</v>
      </c>
      <c r="V71" t="s">
        <v>566</v>
      </c>
      <c r="AC71" t="s">
        <v>248</v>
      </c>
      <c r="AD71" t="s">
        <v>62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A72" t="s">
        <v>508</v>
      </c>
      <c r="B72" t="s">
        <v>509</v>
      </c>
      <c r="C72" t="s">
        <v>567</v>
      </c>
      <c r="D72" s="2">
        <f t="shared" si="10"/>
        <v>46240.953206018523</v>
      </c>
      <c r="E72" s="3">
        <f t="shared" si="11"/>
        <v>0.95320601852290565</v>
      </c>
      <c r="F72" t="str">
        <f t="shared" si="12"/>
        <v>Aug</v>
      </c>
      <c r="G72">
        <f t="shared" si="13"/>
        <v>2026</v>
      </c>
      <c r="H72">
        <f t="shared" si="14"/>
        <v>22</v>
      </c>
      <c r="I72" t="s">
        <v>568</v>
      </c>
      <c r="J72" t="s">
        <v>53</v>
      </c>
      <c r="M72" t="s">
        <v>569</v>
      </c>
      <c r="O72" t="s">
        <v>55</v>
      </c>
      <c r="P72" t="s">
        <v>570</v>
      </c>
      <c r="Q72" t="s">
        <v>514</v>
      </c>
      <c r="R72" t="s">
        <v>58</v>
      </c>
      <c r="S72" t="s">
        <v>59</v>
      </c>
      <c r="V72" t="s">
        <v>571</v>
      </c>
      <c r="AC72" t="s">
        <v>572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 t="s">
        <v>508</v>
      </c>
      <c r="B73" t="s">
        <v>509</v>
      </c>
      <c r="C73" t="s">
        <v>573</v>
      </c>
      <c r="D73" s="2">
        <f t="shared" si="10"/>
        <v>46237.399884259263</v>
      </c>
      <c r="E73" s="3">
        <f t="shared" si="11"/>
        <v>0.3998842592627625</v>
      </c>
      <c r="F73" t="str">
        <f t="shared" si="12"/>
        <v>Aug</v>
      </c>
      <c r="G73">
        <f t="shared" si="13"/>
        <v>2026</v>
      </c>
      <c r="H73">
        <f t="shared" si="14"/>
        <v>9</v>
      </c>
      <c r="I73" t="s">
        <v>574</v>
      </c>
      <c r="J73" t="s">
        <v>183</v>
      </c>
      <c r="M73" t="s">
        <v>575</v>
      </c>
      <c r="O73" t="s">
        <v>55</v>
      </c>
      <c r="P73" t="s">
        <v>576</v>
      </c>
      <c r="Q73" t="s">
        <v>514</v>
      </c>
      <c r="R73" t="s">
        <v>191</v>
      </c>
      <c r="S73" t="s">
        <v>324</v>
      </c>
      <c r="V73" t="s">
        <v>577</v>
      </c>
      <c r="AC73" t="s">
        <v>98</v>
      </c>
      <c r="AD73" t="s">
        <v>120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 t="s">
        <v>508</v>
      </c>
      <c r="B74" t="s">
        <v>509</v>
      </c>
      <c r="C74" t="s">
        <v>578</v>
      </c>
      <c r="D74" s="2">
        <f t="shared" si="10"/>
        <v>46231.043599537043</v>
      </c>
      <c r="E74" s="3">
        <f t="shared" si="11"/>
        <v>4.3599537042609882E-2</v>
      </c>
      <c r="F74" t="str">
        <f t="shared" si="12"/>
        <v>Jul</v>
      </c>
      <c r="G74">
        <f t="shared" si="13"/>
        <v>2026</v>
      </c>
      <c r="H74">
        <f t="shared" si="14"/>
        <v>1</v>
      </c>
      <c r="I74" t="s">
        <v>579</v>
      </c>
      <c r="J74" t="s">
        <v>214</v>
      </c>
      <c r="M74" t="s">
        <v>580</v>
      </c>
      <c r="O74" t="s">
        <v>55</v>
      </c>
      <c r="P74" t="s">
        <v>581</v>
      </c>
      <c r="Q74" t="s">
        <v>514</v>
      </c>
      <c r="R74" t="s">
        <v>58</v>
      </c>
      <c r="S74" t="s">
        <v>82</v>
      </c>
      <c r="V74" t="s">
        <v>582</v>
      </c>
      <c r="AC74" t="s">
        <v>248</v>
      </c>
      <c r="AT74">
        <v>0</v>
      </c>
      <c r="AU74">
        <v>0</v>
      </c>
      <c r="AV74">
        <v>0</v>
      </c>
      <c r="AW74">
        <v>0</v>
      </c>
    </row>
    <row r="75" spans="1:49" x14ac:dyDescent="0.25">
      <c r="A75" t="s">
        <v>508</v>
      </c>
      <c r="B75" t="s">
        <v>509</v>
      </c>
      <c r="C75" t="s">
        <v>583</v>
      </c>
      <c r="D75" s="2">
        <f t="shared" si="10"/>
        <v>46225.046597222223</v>
      </c>
      <c r="E75" s="3">
        <f t="shared" si="11"/>
        <v>4.6597222222771961E-2</v>
      </c>
      <c r="F75" t="str">
        <f t="shared" si="12"/>
        <v>Jul</v>
      </c>
      <c r="G75">
        <f t="shared" si="13"/>
        <v>2026</v>
      </c>
      <c r="H75">
        <f t="shared" si="14"/>
        <v>1</v>
      </c>
      <c r="I75" t="s">
        <v>584</v>
      </c>
      <c r="J75" t="s">
        <v>585</v>
      </c>
      <c r="M75" t="s">
        <v>586</v>
      </c>
      <c r="O75" t="s">
        <v>55</v>
      </c>
      <c r="P75" t="s">
        <v>587</v>
      </c>
      <c r="Q75" t="s">
        <v>514</v>
      </c>
      <c r="R75" t="s">
        <v>58</v>
      </c>
      <c r="S75" t="s">
        <v>82</v>
      </c>
      <c r="V75" t="s">
        <v>588</v>
      </c>
      <c r="AC75" t="s">
        <v>98</v>
      </c>
      <c r="AD75" t="s">
        <v>120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 t="s">
        <v>508</v>
      </c>
      <c r="B76" t="s">
        <v>509</v>
      </c>
      <c r="C76" t="s">
        <v>589</v>
      </c>
      <c r="D76" s="2">
        <f t="shared" si="10"/>
        <v>46223.856585648151</v>
      </c>
      <c r="E76" s="3">
        <f t="shared" si="11"/>
        <v>0.85658564815093996</v>
      </c>
      <c r="F76" t="str">
        <f t="shared" si="12"/>
        <v>Jul</v>
      </c>
      <c r="G76">
        <f t="shared" si="13"/>
        <v>2026</v>
      </c>
      <c r="H76">
        <f t="shared" si="14"/>
        <v>20</v>
      </c>
      <c r="I76" t="s">
        <v>590</v>
      </c>
      <c r="J76" t="s">
        <v>321</v>
      </c>
      <c r="M76" t="s">
        <v>591</v>
      </c>
      <c r="O76" t="s">
        <v>55</v>
      </c>
      <c r="P76" t="s">
        <v>592</v>
      </c>
      <c r="Q76" t="s">
        <v>514</v>
      </c>
      <c r="R76" t="s">
        <v>185</v>
      </c>
      <c r="S76" t="s">
        <v>208</v>
      </c>
      <c r="V76" t="s">
        <v>593</v>
      </c>
      <c r="AC76" t="s">
        <v>78</v>
      </c>
      <c r="AD76" t="s">
        <v>62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 t="s">
        <v>508</v>
      </c>
      <c r="B77" t="s">
        <v>509</v>
      </c>
      <c r="C77" t="s">
        <v>594</v>
      </c>
      <c r="D77" s="2">
        <f t="shared" si="10"/>
        <v>46223.824537037042</v>
      </c>
      <c r="E77" s="3">
        <f t="shared" si="11"/>
        <v>0.82453703704231884</v>
      </c>
      <c r="F77" t="str">
        <f t="shared" si="12"/>
        <v>Jul</v>
      </c>
      <c r="G77">
        <f t="shared" si="13"/>
        <v>2026</v>
      </c>
      <c r="H77">
        <f t="shared" si="14"/>
        <v>19</v>
      </c>
      <c r="I77" t="s">
        <v>595</v>
      </c>
      <c r="J77" t="s">
        <v>53</v>
      </c>
      <c r="M77" t="s">
        <v>596</v>
      </c>
      <c r="O77" t="s">
        <v>55</v>
      </c>
      <c r="P77" t="s">
        <v>542</v>
      </c>
      <c r="Q77" t="s">
        <v>514</v>
      </c>
      <c r="R77" t="s">
        <v>191</v>
      </c>
      <c r="S77" t="s">
        <v>324</v>
      </c>
      <c r="V77" t="s">
        <v>597</v>
      </c>
      <c r="AC77" t="s">
        <v>354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 t="s">
        <v>598</v>
      </c>
      <c r="B78" t="s">
        <v>599</v>
      </c>
      <c r="C78" t="s">
        <v>600</v>
      </c>
      <c r="D78" s="2">
        <f t="shared" si="10"/>
        <v>46249.737685185188</v>
      </c>
      <c r="E78" s="3">
        <f t="shared" si="11"/>
        <v>0.73768518518772908</v>
      </c>
      <c r="F78" t="str">
        <f t="shared" si="12"/>
        <v>Aug</v>
      </c>
      <c r="G78">
        <f t="shared" si="13"/>
        <v>2026</v>
      </c>
      <c r="H78">
        <f t="shared" si="14"/>
        <v>17</v>
      </c>
      <c r="I78" t="s">
        <v>601</v>
      </c>
      <c r="J78" t="s">
        <v>198</v>
      </c>
      <c r="M78" t="s">
        <v>602</v>
      </c>
      <c r="N78" t="s">
        <v>603</v>
      </c>
      <c r="O78" t="s">
        <v>55</v>
      </c>
      <c r="P78" t="s">
        <v>604</v>
      </c>
      <c r="Q78" t="s">
        <v>605</v>
      </c>
      <c r="R78" t="s">
        <v>58</v>
      </c>
      <c r="S78" t="s">
        <v>82</v>
      </c>
      <c r="V78" t="s">
        <v>606</v>
      </c>
      <c r="AC78" t="s">
        <v>71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 t="s">
        <v>607</v>
      </c>
      <c r="B79" t="s">
        <v>608</v>
      </c>
      <c r="C79" t="s">
        <v>609</v>
      </c>
      <c r="D79" s="2">
        <f t="shared" si="10"/>
        <v>46224.397222222222</v>
      </c>
      <c r="E79" s="3">
        <f t="shared" si="11"/>
        <v>0.39722222222189885</v>
      </c>
      <c r="F79" t="str">
        <f t="shared" si="12"/>
        <v>Jul</v>
      </c>
      <c r="G79">
        <f t="shared" si="13"/>
        <v>2026</v>
      </c>
      <c r="H79">
        <f t="shared" si="14"/>
        <v>9</v>
      </c>
      <c r="I79" t="s">
        <v>610</v>
      </c>
      <c r="J79" t="s">
        <v>53</v>
      </c>
      <c r="M79" t="s">
        <v>611</v>
      </c>
      <c r="N79" t="s">
        <v>612</v>
      </c>
      <c r="O79" t="s">
        <v>55</v>
      </c>
      <c r="P79" t="s">
        <v>613</v>
      </c>
      <c r="Q79" t="s">
        <v>605</v>
      </c>
      <c r="R79" t="s">
        <v>393</v>
      </c>
      <c r="S79" t="s">
        <v>614</v>
      </c>
      <c r="V79" t="s">
        <v>615</v>
      </c>
      <c r="AC79" t="s">
        <v>61</v>
      </c>
      <c r="AD79" t="s">
        <v>62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 t="s">
        <v>616</v>
      </c>
      <c r="B80" t="s">
        <v>617</v>
      </c>
      <c r="C80" t="s">
        <v>618</v>
      </c>
      <c r="D80" s="2">
        <f t="shared" si="10"/>
        <v>46124.841967592598</v>
      </c>
      <c r="E80" s="3">
        <f t="shared" si="11"/>
        <v>0.84196759259793907</v>
      </c>
      <c r="F80" t="str">
        <f t="shared" si="12"/>
        <v>Apr</v>
      </c>
      <c r="G80">
        <f t="shared" si="13"/>
        <v>2026</v>
      </c>
      <c r="H80">
        <f t="shared" si="14"/>
        <v>20</v>
      </c>
      <c r="I80" t="s">
        <v>619</v>
      </c>
      <c r="J80" t="s">
        <v>108</v>
      </c>
      <c r="K80" t="s">
        <v>198</v>
      </c>
      <c r="M80" t="s">
        <v>620</v>
      </c>
      <c r="N80" t="s">
        <v>621</v>
      </c>
      <c r="O80" t="s">
        <v>55</v>
      </c>
      <c r="P80" t="s">
        <v>622</v>
      </c>
      <c r="Q80" t="s">
        <v>605</v>
      </c>
      <c r="R80" t="s">
        <v>58</v>
      </c>
      <c r="S80" t="s">
        <v>316</v>
      </c>
      <c r="V80" t="s">
        <v>623</v>
      </c>
      <c r="AC80" t="s">
        <v>71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 t="s">
        <v>624</v>
      </c>
      <c r="B81" t="s">
        <v>625</v>
      </c>
      <c r="C81" t="s">
        <v>626</v>
      </c>
      <c r="D81" s="2">
        <f t="shared" si="10"/>
        <v>46087.720393518517</v>
      </c>
      <c r="E81" s="3">
        <f t="shared" si="11"/>
        <v>0.72039351851708489</v>
      </c>
      <c r="F81" t="str">
        <f t="shared" si="12"/>
        <v>Mar</v>
      </c>
      <c r="G81">
        <f t="shared" si="13"/>
        <v>2026</v>
      </c>
      <c r="H81">
        <f t="shared" si="14"/>
        <v>17</v>
      </c>
      <c r="I81" t="s">
        <v>627</v>
      </c>
      <c r="J81" t="s">
        <v>366</v>
      </c>
      <c r="K81" t="s">
        <v>53</v>
      </c>
      <c r="M81" t="s">
        <v>628</v>
      </c>
      <c r="O81" t="s">
        <v>55</v>
      </c>
      <c r="P81" t="s">
        <v>629</v>
      </c>
      <c r="Q81" t="s">
        <v>605</v>
      </c>
      <c r="R81" t="s">
        <v>58</v>
      </c>
      <c r="S81" t="s">
        <v>316</v>
      </c>
      <c r="V81" t="s">
        <v>630</v>
      </c>
      <c r="AC81" t="s">
        <v>71</v>
      </c>
      <c r="AD81" t="s">
        <v>631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 t="s">
        <v>632</v>
      </c>
      <c r="B82" t="s">
        <v>633</v>
      </c>
      <c r="C82" t="s">
        <v>634</v>
      </c>
      <c r="D82" s="2">
        <f t="shared" si="10"/>
        <v>46193.883194444446</v>
      </c>
      <c r="E82" s="3">
        <f t="shared" si="11"/>
        <v>0.88319444444641704</v>
      </c>
      <c r="F82" t="str">
        <f t="shared" si="12"/>
        <v>Jun</v>
      </c>
      <c r="G82">
        <f t="shared" si="13"/>
        <v>2026</v>
      </c>
      <c r="H82">
        <f t="shared" si="14"/>
        <v>21</v>
      </c>
      <c r="I82" t="s">
        <v>635</v>
      </c>
      <c r="J82" t="s">
        <v>74</v>
      </c>
      <c r="R82" t="s">
        <v>58</v>
      </c>
      <c r="S82" t="s">
        <v>59</v>
      </c>
      <c r="V82" t="s">
        <v>636</v>
      </c>
      <c r="AC82" t="s">
        <v>78</v>
      </c>
      <c r="AD82" t="s">
        <v>631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 t="s">
        <v>637</v>
      </c>
      <c r="B83" t="s">
        <v>638</v>
      </c>
      <c r="C83" t="s">
        <v>639</v>
      </c>
      <c r="D83" s="2">
        <f t="shared" si="10"/>
        <v>46233.32675925926</v>
      </c>
      <c r="E83" s="3">
        <f t="shared" si="11"/>
        <v>0.32675925926014315</v>
      </c>
      <c r="F83" t="str">
        <f t="shared" si="12"/>
        <v>Jul</v>
      </c>
      <c r="G83">
        <f t="shared" si="13"/>
        <v>2026</v>
      </c>
      <c r="H83">
        <f t="shared" si="14"/>
        <v>7</v>
      </c>
      <c r="I83" t="s">
        <v>640</v>
      </c>
      <c r="J83" t="s">
        <v>366</v>
      </c>
      <c r="M83" t="s">
        <v>641</v>
      </c>
      <c r="O83" t="s">
        <v>55</v>
      </c>
      <c r="P83" t="s">
        <v>642</v>
      </c>
      <c r="Q83" t="s">
        <v>605</v>
      </c>
      <c r="R83" t="s">
        <v>191</v>
      </c>
      <c r="S83" t="s">
        <v>324</v>
      </c>
      <c r="V83" t="s">
        <v>643</v>
      </c>
      <c r="AC83" t="s">
        <v>354</v>
      </c>
      <c r="AD83" t="s">
        <v>62</v>
      </c>
      <c r="AT83">
        <v>0</v>
      </c>
      <c r="AU83">
        <v>0</v>
      </c>
      <c r="AV83">
        <v>0</v>
      </c>
      <c r="AW83">
        <v>0</v>
      </c>
    </row>
    <row r="84" spans="1:49" x14ac:dyDescent="0.25">
      <c r="A84" t="s">
        <v>644</v>
      </c>
      <c r="B84" t="s">
        <v>645</v>
      </c>
      <c r="C84" t="s">
        <v>646</v>
      </c>
      <c r="D84" s="2">
        <f t="shared" si="10"/>
        <v>46086.867048611108</v>
      </c>
      <c r="E84" s="3">
        <f t="shared" si="11"/>
        <v>0.867048611107748</v>
      </c>
      <c r="F84" t="str">
        <f t="shared" si="12"/>
        <v>Mar</v>
      </c>
      <c r="G84">
        <f t="shared" si="13"/>
        <v>2026</v>
      </c>
      <c r="H84">
        <f t="shared" si="14"/>
        <v>20</v>
      </c>
      <c r="I84" t="s">
        <v>647</v>
      </c>
      <c r="J84" t="s">
        <v>74</v>
      </c>
      <c r="K84" t="s">
        <v>183</v>
      </c>
      <c r="M84" t="s">
        <v>648</v>
      </c>
      <c r="O84" t="s">
        <v>55</v>
      </c>
      <c r="P84" t="s">
        <v>649</v>
      </c>
      <c r="Q84" t="s">
        <v>605</v>
      </c>
      <c r="R84" t="s">
        <v>58</v>
      </c>
      <c r="S84" t="s">
        <v>316</v>
      </c>
      <c r="V84" t="s">
        <v>650</v>
      </c>
      <c r="AC84" t="s">
        <v>248</v>
      </c>
      <c r="AD84" t="s">
        <v>120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 t="s">
        <v>651</v>
      </c>
      <c r="B85" t="s">
        <v>652</v>
      </c>
      <c r="C85" t="s">
        <v>653</v>
      </c>
      <c r="D85" s="2">
        <f t="shared" si="10"/>
        <v>46107.915277777778</v>
      </c>
      <c r="E85" s="3">
        <f t="shared" si="11"/>
        <v>0.91527777777810115</v>
      </c>
      <c r="F85" t="str">
        <f t="shared" si="12"/>
        <v>Mar</v>
      </c>
      <c r="G85">
        <f t="shared" si="13"/>
        <v>2026</v>
      </c>
      <c r="H85">
        <f t="shared" si="14"/>
        <v>21</v>
      </c>
      <c r="I85" t="s">
        <v>654</v>
      </c>
      <c r="J85" t="s">
        <v>165</v>
      </c>
      <c r="M85" t="s">
        <v>655</v>
      </c>
      <c r="O85" t="s">
        <v>55</v>
      </c>
      <c r="P85" t="s">
        <v>656</v>
      </c>
      <c r="Q85" t="s">
        <v>605</v>
      </c>
      <c r="R85" t="s">
        <v>191</v>
      </c>
      <c r="S85" t="s">
        <v>324</v>
      </c>
      <c r="V85" t="s">
        <v>657</v>
      </c>
      <c r="AC85" t="s">
        <v>172</v>
      </c>
      <c r="AD85" t="s">
        <v>62</v>
      </c>
      <c r="AT85">
        <v>0</v>
      </c>
      <c r="AU85">
        <v>0</v>
      </c>
      <c r="AV85">
        <v>0</v>
      </c>
      <c r="AW8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9" customWidth="1"/>
    <col min="2" max="2" width="12" customWidth="1"/>
  </cols>
  <sheetData>
    <row r="1" spans="1:2" x14ac:dyDescent="0.25">
      <c r="A1" s="1" t="s">
        <v>658</v>
      </c>
      <c r="B1" s="1" t="s">
        <v>659</v>
      </c>
    </row>
    <row r="2" spans="1:2" x14ac:dyDescent="0.25">
      <c r="A2" t="s">
        <v>660</v>
      </c>
      <c r="B2">
        <v>84</v>
      </c>
    </row>
    <row r="3" spans="1:2" x14ac:dyDescent="0.25">
      <c r="A3" t="s">
        <v>661</v>
      </c>
      <c r="B3">
        <v>0</v>
      </c>
    </row>
    <row r="4" spans="1:2" x14ac:dyDescent="0.25">
      <c r="A4" t="s">
        <v>662</v>
      </c>
      <c r="B4">
        <v>0</v>
      </c>
    </row>
    <row r="5" spans="1:2" x14ac:dyDescent="0.25">
      <c r="A5" t="s">
        <v>663</v>
      </c>
      <c r="B5">
        <v>0</v>
      </c>
    </row>
    <row r="6" spans="1:2" x14ac:dyDescent="0.25">
      <c r="A6" t="s">
        <v>664</v>
      </c>
      <c r="B6">
        <v>84</v>
      </c>
    </row>
    <row r="7" spans="1:2" x14ac:dyDescent="0.25">
      <c r="A7" t="s">
        <v>665</v>
      </c>
      <c r="B7">
        <v>0</v>
      </c>
    </row>
    <row r="8" spans="1:2" x14ac:dyDescent="0.25">
      <c r="A8" t="s">
        <v>666</v>
      </c>
      <c r="B8">
        <v>0</v>
      </c>
    </row>
    <row r="9" spans="1:2" x14ac:dyDescent="0.25">
      <c r="A9" t="s">
        <v>667</v>
      </c>
      <c r="B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cols>
    <col min="1" max="1" width="36" customWidth="1"/>
    <col min="2" max="2" width="85" customWidth="1"/>
  </cols>
  <sheetData>
    <row r="1" spans="1:2" x14ac:dyDescent="0.25">
      <c r="A1" s="4" t="s">
        <v>668</v>
      </c>
      <c r="B1" s="4" t="s">
        <v>669</v>
      </c>
    </row>
    <row r="2" spans="1:2" x14ac:dyDescent="0.25">
      <c r="A2" t="s">
        <v>670</v>
      </c>
      <c r="B2" t="s">
        <v>671</v>
      </c>
    </row>
    <row r="3" spans="1:2" x14ac:dyDescent="0.25">
      <c r="A3" t="s">
        <v>672</v>
      </c>
      <c r="B3" t="s">
        <v>673</v>
      </c>
    </row>
    <row r="5" spans="1:2" x14ac:dyDescent="0.25">
      <c r="A5" s="4" t="s">
        <v>674</v>
      </c>
      <c r="B5" s="4" t="s">
        <v>675</v>
      </c>
    </row>
    <row r="6" spans="1:2" x14ac:dyDescent="0.25">
      <c r="A6" t="s">
        <v>676</v>
      </c>
      <c r="B6" t="s">
        <v>677</v>
      </c>
    </row>
    <row r="7" spans="1:2" x14ac:dyDescent="0.25">
      <c r="A7" t="s">
        <v>678</v>
      </c>
      <c r="B7" t="s">
        <v>679</v>
      </c>
    </row>
    <row r="8" spans="1:2" x14ac:dyDescent="0.25">
      <c r="A8" t="s">
        <v>680</v>
      </c>
      <c r="B8" t="s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Incident Details</vt:lpstr>
      <vt:lpstr>Summary</vt:lpstr>
      <vt:lpstr>Report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Dion, Derryl (DFS)</cp:lastModifiedBy>
  <dcterms:created xsi:type="dcterms:W3CDTF">2026-09-04T17:50:29Z</dcterms:created>
  <dcterms:modified xsi:type="dcterms:W3CDTF">2026-09-04T17:57:10Z</dcterms:modified>
</cp:coreProperties>
</file>