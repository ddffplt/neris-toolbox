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ident Details" sheetId="1" state="visible" r:id="rId1"/>
    <sheet name="Summary" sheetId="2" state="visible" r:id="rId2"/>
    <sheet name="Report Sources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mm/dd/yy hh:mm"/>
    <numFmt numFmtId="165" formatCode="hh: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27" customWidth="1" min="3" max="3"/>
    <col width="60" customWidth="1" min="4" max="4"/>
    <col width="27" customWidth="1" min="5" max="5"/>
    <col width="32" customWidth="1" min="6" max="6"/>
    <col width="26" customWidth="1" min="7" max="7"/>
    <col width="26" customWidth="1" min="8" max="8"/>
    <col width="40" customWidth="1" min="9" max="9"/>
    <col width="60" customWidth="1" min="10" max="10"/>
    <col width="57" customWidth="1" min="11" max="11"/>
    <col width="24" customWidth="1" min="12" max="12"/>
    <col width="38" customWidth="1" min="13" max="13"/>
    <col width="17" customWidth="1" min="14" max="14"/>
    <col width="12" customWidth="1" min="15" max="15"/>
    <col width="12" customWidth="1" min="16" max="16"/>
    <col width="19" customWidth="1" min="17" max="17"/>
    <col width="22" customWidth="1" min="18" max="18"/>
    <col width="47" customWidth="1" min="19" max="19"/>
    <col width="12" customWidth="1" min="20" max="20"/>
    <col width="12" customWidth="1" min="21" max="21"/>
    <col width="60" customWidth="1" min="22" max="22"/>
    <col width="46" customWidth="1" min="23" max="23"/>
    <col width="44" customWidth="1" min="24" max="24"/>
    <col width="25" customWidth="1" min="25" max="25"/>
    <col width="21" customWidth="1" min="26" max="26"/>
    <col width="22" customWidth="1" min="27" max="27"/>
    <col width="17" customWidth="1" min="28" max="28"/>
    <col width="60" customWidth="1" min="29" max="29"/>
    <col width="31" customWidth="1" min="30" max="30"/>
    <col width="40" customWidth="1" min="31" max="31"/>
    <col width="56" customWidth="1" min="32" max="32"/>
    <col width="31" customWidth="1" min="33" max="33"/>
    <col width="14" customWidth="1" min="34" max="34"/>
    <col width="18" customWidth="1" min="35" max="35"/>
    <col width="21" customWidth="1" min="36" max="36"/>
    <col width="15" customWidth="1" min="37" max="37"/>
    <col width="17" customWidth="1" min="38" max="38"/>
    <col width="22" customWidth="1" min="39" max="39"/>
    <col width="25" customWidth="1" min="40" max="40"/>
    <col width="22" customWidth="1" min="41" max="41"/>
    <col width="17" customWidth="1" min="42" max="42"/>
    <col width="16" customWidth="1" min="43" max="43"/>
    <col width="14" customWidth="1" min="44" max="44"/>
    <col width="19" customWidth="1" min="45" max="45"/>
    <col width="17" customWidth="1" min="46" max="46"/>
    <col width="19" customWidth="1" min="47" max="47"/>
    <col width="20" customWidth="1" min="48" max="48"/>
    <col width="22" customWidth="1" min="49" max="49"/>
  </cols>
  <sheetData>
    <row r="1">
      <c r="A1" s="1" t="inlineStr">
        <is>
          <t>Entity ID</t>
        </is>
      </c>
      <c r="B1" s="1" t="inlineStr">
        <is>
          <t>Department Name</t>
        </is>
      </c>
      <c r="C1" s="1" t="inlineStr">
        <is>
          <t>Incident Date/Time (UTC)</t>
        </is>
      </c>
      <c r="D1" s="1" t="inlineStr">
        <is>
          <t>Incident Date</t>
        </is>
      </c>
      <c r="E1" s="1" t="inlineStr">
        <is>
          <t>Incident Time</t>
        </is>
      </c>
      <c r="F1" s="1" t="inlineStr">
        <is>
          <t>Incident Month</t>
        </is>
      </c>
      <c r="G1" s="1" t="inlineStr">
        <is>
          <t>Incident Year</t>
        </is>
      </c>
      <c r="H1" s="1" t="inlineStr">
        <is>
          <t>Incident Hour</t>
        </is>
      </c>
      <c r="I1" s="1" t="inlineStr">
        <is>
          <t>Incident Number</t>
        </is>
      </c>
      <c r="J1" s="1" t="inlineStr">
        <is>
          <t>Primary Incident Type</t>
        </is>
      </c>
      <c r="K1" s="1" t="inlineStr">
        <is>
          <t>Secondary Incident Type</t>
        </is>
      </c>
      <c r="L1" s="1" t="inlineStr">
        <is>
          <t>Tertiary Incident Type</t>
        </is>
      </c>
      <c r="M1" s="1" t="inlineStr">
        <is>
          <t>Address</t>
        </is>
      </c>
      <c r="N1" s="1" t="inlineStr">
        <is>
          <t>City</t>
        </is>
      </c>
      <c r="O1" s="1" t="inlineStr">
        <is>
          <t>State</t>
        </is>
      </c>
      <c r="P1" s="1" t="inlineStr">
        <is>
          <t>Zip Code</t>
        </is>
      </c>
      <c r="Q1" s="1" t="inlineStr">
        <is>
          <t>County</t>
        </is>
      </c>
      <c r="R1" s="1" t="inlineStr">
        <is>
          <t>Primary Location Use</t>
        </is>
      </c>
      <c r="S1" s="1" t="inlineStr">
        <is>
          <t>Secondary Location Use</t>
        </is>
      </c>
      <c r="T1" s="1" t="inlineStr">
        <is>
          <t>Latitude</t>
        </is>
      </c>
      <c r="U1" s="1" t="inlineStr">
        <is>
          <t>Longitude</t>
        </is>
      </c>
      <c r="V1" s="1" t="inlineStr">
        <is>
          <t>NERIS ID</t>
        </is>
      </c>
      <c r="W1" s="1" t="inlineStr">
        <is>
          <t>Structure Fire Cause - Battery_Power_storage</t>
        </is>
      </c>
      <c r="X1" s="1" t="inlineStr">
        <is>
          <t>Outside Fire Cause - Battery_Power_storage</t>
        </is>
      </c>
      <c r="Y1" s="1" t="inlineStr">
        <is>
          <t>Electric Vehicle Status</t>
        </is>
      </c>
      <c r="Z1" s="1" t="inlineStr">
        <is>
          <t>Electric Reignition</t>
        </is>
      </c>
      <c r="AA1" s="1" t="inlineStr">
        <is>
          <t>Electric Suppression</t>
        </is>
      </c>
      <c r="AB1" s="1" t="inlineStr">
        <is>
          <t>Electric Target</t>
        </is>
      </c>
      <c r="AC1" s="1" t="inlineStr">
        <is>
          <t>Electric Hazard Types</t>
        </is>
      </c>
      <c r="AD1" s="1" t="inlineStr">
        <is>
          <t>Electric Hazard Source/Target</t>
        </is>
      </c>
      <c r="AE1" s="1" t="inlineStr">
        <is>
          <t>Electric Hazard Electrification Hazard</t>
        </is>
      </c>
      <c r="AF1" s="1" t="inlineStr">
        <is>
          <t>Electric Hazard Battery Powered/Stored Energy Category</t>
        </is>
      </c>
      <c r="AG1" s="1" t="inlineStr">
        <is>
          <t>Electric Hazard Specific Type</t>
        </is>
      </c>
      <c r="AH1" s="1" t="inlineStr">
        <is>
          <t>Product Type</t>
        </is>
      </c>
      <c r="AI1" s="1" t="inlineStr">
        <is>
          <t>Original Battery</t>
        </is>
      </c>
      <c r="AJ1" s="1" t="inlineStr">
        <is>
          <t>Installation Status</t>
        </is>
      </c>
      <c r="AK1" s="1" t="inlineStr">
        <is>
          <t>Safety Listed</t>
        </is>
      </c>
      <c r="AL1" s="1" t="inlineStr">
        <is>
          <t>Vehicle Battery</t>
        </is>
      </c>
      <c r="AM1" s="1" t="inlineStr">
        <is>
          <t>Charging at Ignition</t>
        </is>
      </c>
      <c r="AN1" s="1" t="inlineStr">
        <is>
          <t>Incident Indoor/Outdoor</t>
        </is>
      </c>
      <c r="AO1" s="1" t="inlineStr">
        <is>
          <t>Impacted from Source</t>
        </is>
      </c>
      <c r="AP1" s="1" t="inlineStr">
        <is>
          <t>Thermal Runaway</t>
        </is>
      </c>
      <c r="AQ1" s="1" t="inlineStr">
        <is>
          <t>FD Suppression</t>
        </is>
      </c>
      <c r="AR1" s="1" t="inlineStr">
        <is>
          <t>Battery Cell</t>
        </is>
      </c>
      <c r="AS1" s="1" t="inlineStr">
        <is>
          <t>Battery Chemistry</t>
        </is>
      </c>
      <c r="AT1" s="1" t="inlineStr">
        <is>
          <t>Civilian Deaths</t>
        </is>
      </c>
      <c r="AU1" s="1" t="inlineStr">
        <is>
          <t>Civilian Injuries</t>
        </is>
      </c>
      <c r="AV1" s="1" t="inlineStr">
        <is>
          <t>Firefighter Deaths</t>
        </is>
      </c>
      <c r="AW1" s="1" t="inlineStr">
        <is>
          <t>Firefighter Injuries</t>
        </is>
      </c>
    </row>
    <row r="2">
      <c r="A2" t="inlineStr">
        <is>
          <t>FD25001274</t>
        </is>
      </c>
      <c r="B2" t="inlineStr">
        <is>
          <t>Falmouth Fire/ Rescue</t>
        </is>
      </c>
      <c r="C2" t="inlineStr">
        <is>
          <t>2026-09-03T14:15:43+00:00</t>
        </is>
      </c>
      <c r="D2" s="2">
        <f>IF(C2="","",DATE(VALUE(LEFT(C2,4)),VALUE(MID(C2,6,2)),VALUE(MID(C2,9,2)))+TIME(VALUE(MID(C2,12,2)),VALUE(MID(C2,15,2)),VALUE(MID(C2,18,2)))-IF(AND(DATE(VALUE(LEFT(C2,4)),VALUE(MID(C2,6,2)),VALUE(MID(C2,9,2)))+TIME(VALUE(MID(C2,12,2)),VALUE(MID(C2,15,2)),VALUE(MID(C2,18,2)))&gt;=DATE(VALUE(LEFT(C2,4)),3,1)+MOD(8-WEEKDAY(DATE(VALUE(LEFT(C2,4)),3,1)),7)+7+TIME(7,0,0),DATE(VALUE(LEFT(C2,4)),3,1)+MOD(8-WEEKDAY(DATE(VALUE(LEFT(C2,4)),3,1)),7)+7+TIME(7,0,0)&lt;DATE(VALUE(LEFT(C2,4)),11,1)+MOD(8-WEEKDAY(DATE(VALUE(LEFT(C2,4)),11,1)),7)+TIME(6,0,0)), TIME(4,0,0),TIME(5,0,0)))</f>
        <v/>
      </c>
      <c r="E2" s="3">
        <f>IF(D2="","",MOD(D2,1))</f>
        <v/>
      </c>
      <c r="F2">
        <f>IF(D2="","",TEXT(D2,"mmm"))</f>
        <v/>
      </c>
      <c r="G2">
        <f>IF(D2="","",YEAR(D2))</f>
        <v/>
      </c>
      <c r="H2">
        <f>IF(D2="","",HOUR(D2))</f>
        <v/>
      </c>
      <c r="I2" t="inlineStr">
        <is>
          <t>26-022485</t>
        </is>
      </c>
      <c r="J2" t="inlineStr">
        <is>
          <t>HAZSIT||HAZARD_NONCHEM||ELEC_HAZARD_SHORT_CIRCUIT</t>
        </is>
      </c>
      <c r="K2" t="inlineStr"/>
      <c r="L2" t="inlineStr"/>
      <c r="M2" t="inlineStr">
        <is>
          <t>37 GRAY LANE</t>
        </is>
      </c>
      <c r="N2" t="inlineStr"/>
      <c r="O2" t="inlineStr">
        <is>
          <t>MA</t>
        </is>
      </c>
      <c r="P2" t="inlineStr">
        <is>
          <t>02543</t>
        </is>
      </c>
      <c r="Q2" t="inlineStr">
        <is>
          <t>Barnstable</t>
        </is>
      </c>
      <c r="R2" t="inlineStr">
        <is>
          <t>RESIDENTIAL</t>
        </is>
      </c>
      <c r="S2" t="inlineStr">
        <is>
          <t>DETATCHED_SINGLE_FAMILY_DWELLING</t>
        </is>
      </c>
      <c r="T2" t="inlineStr"/>
      <c r="U2" t="inlineStr"/>
      <c r="V2" t="inlineStr">
        <is>
          <t>FD25001274|26-022485|1788444943</t>
        </is>
      </c>
      <c r="W2" t="inlineStr"/>
      <c r="X2" t="inlineStr"/>
      <c r="Y2" t="inlineStr"/>
      <c r="Z2" t="inlineStr"/>
      <c r="AA2" t="inlineStr"/>
      <c r="AB2" t="inlineStr"/>
      <c r="AC2" t="inlineStr">
        <is>
          <t>ENERGY_STORAGE_SYSTEM||BATTERY</t>
        </is>
      </c>
      <c r="AD2" t="inlineStr">
        <is>
          <t>SOURCE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n">
        <v>0</v>
      </c>
      <c r="AU2" t="n">
        <v>0</v>
      </c>
      <c r="AV2" t="n">
        <v>0</v>
      </c>
      <c r="AW2" t="n">
        <v>0</v>
      </c>
    </row>
    <row r="3">
      <c r="A3" t="inlineStr">
        <is>
          <t>FD25001274</t>
        </is>
      </c>
      <c r="B3" t="inlineStr">
        <is>
          <t>Falmouth Fire/ Rescue</t>
        </is>
      </c>
      <c r="C3" t="inlineStr">
        <is>
          <t>2026-04-22T14:02:28+00:00</t>
        </is>
      </c>
      <c r="D3" s="2">
        <f>IF(C3="","",DATE(VALUE(LEFT(C3,4)),VALUE(MID(C3,6,2)),VALUE(MID(C3,9,2)))+TIME(VALUE(MID(C3,12,2)),VALUE(MID(C3,15,2)),VALUE(MID(C3,18,2)))-IF(AND(DATE(VALUE(LEFT(C3,4)),VALUE(MID(C3,6,2)),VALUE(MID(C3,9,2)))+TIME(VALUE(MID(C3,12,2)),VALUE(MID(C3,15,2)),VALUE(MID(C3,18,2)))&gt;=DATE(VALUE(LEFT(C3,4)),3,1)+MOD(8-WEEKDAY(DATE(VALUE(LEFT(C3,4)),3,1)),7)+7+TIME(7,0,0),DATE(VALUE(LEFT(C3,4)),3,1)+MOD(8-WEEKDAY(DATE(VALUE(LEFT(C3,4)),3,1)),7)+7+TIME(7,0,0)&lt;DATE(VALUE(LEFT(C3,4)),11,1)+MOD(8-WEEKDAY(DATE(VALUE(LEFT(C3,4)),11,1)),7)+TIME(6,0,0)), TIME(4,0,0),TIME(5,0,0)))</f>
        <v/>
      </c>
      <c r="E3" s="3">
        <f>IF(D3="","",MOD(D3,1))</f>
        <v/>
      </c>
      <c r="F3">
        <f>IF(D3="","",TEXT(D3,"mmm"))</f>
        <v/>
      </c>
      <c r="G3">
        <f>IF(D3="","",YEAR(D3))</f>
        <v/>
      </c>
      <c r="H3">
        <f>IF(D3="","",HOUR(D3))</f>
        <v/>
      </c>
      <c r="I3" t="inlineStr">
        <is>
          <t>26-009364</t>
        </is>
      </c>
      <c r="J3" t="inlineStr">
        <is>
          <t>MEDICAL||INJURY||ELECTROCUTION</t>
        </is>
      </c>
      <c r="K3" t="inlineStr"/>
      <c r="L3" t="inlineStr"/>
      <c r="M3" t="inlineStr">
        <is>
          <t>389 GIFFORD STREET Apt 268</t>
        </is>
      </c>
      <c r="N3" t="inlineStr"/>
      <c r="O3" t="inlineStr">
        <is>
          <t>MA</t>
        </is>
      </c>
      <c r="P3" t="inlineStr">
        <is>
          <t>02540</t>
        </is>
      </c>
      <c r="Q3" t="inlineStr">
        <is>
          <t>Barnstable</t>
        </is>
      </c>
      <c r="R3" t="inlineStr">
        <is>
          <t>HEALTH_CARE</t>
        </is>
      </c>
      <c r="S3" t="inlineStr">
        <is>
          <t>NURSING_HOME_ASSISTED_LIVING_RESIDENCE_ONSITE</t>
        </is>
      </c>
      <c r="T3" t="inlineStr"/>
      <c r="U3" t="inlineStr"/>
      <c r="V3" t="inlineStr">
        <is>
          <t>FD25001274|26-009364|1776866548</t>
        </is>
      </c>
      <c r="W3" t="inlineStr"/>
      <c r="X3" t="inlineStr"/>
      <c r="Y3" t="inlineStr"/>
      <c r="Z3" t="inlineStr"/>
      <c r="AA3" t="inlineStr"/>
      <c r="AB3" t="inlineStr"/>
      <c r="AC3" t="inlineStr">
        <is>
          <t>CONSUMER_PRODUCTS||APPLIANCE_TOOL</t>
        </is>
      </c>
      <c r="AD3" t="inlineStr">
        <is>
          <t>SOURCE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n">
        <v>0</v>
      </c>
      <c r="AU3" t="n">
        <v>0</v>
      </c>
      <c r="AV3" t="n">
        <v>0</v>
      </c>
      <c r="AW3" t="n">
        <v>0</v>
      </c>
    </row>
    <row r="4">
      <c r="A4" t="inlineStr">
        <is>
          <t>FD25001274</t>
        </is>
      </c>
      <c r="B4" t="inlineStr">
        <is>
          <t>Falmouth Fire/ Rescue</t>
        </is>
      </c>
      <c r="C4" t="inlineStr">
        <is>
          <t>2026-04-15T11:21:00+00:00</t>
        </is>
      </c>
      <c r="D4" s="2">
        <f>IF(C4="","",DATE(VALUE(LEFT(C4,4)),VALUE(MID(C4,6,2)),VALUE(MID(C4,9,2)))+TIME(VALUE(MID(C4,12,2)),VALUE(MID(C4,15,2)),VALUE(MID(C4,18,2)))-IF(AND(DATE(VALUE(LEFT(C4,4)),VALUE(MID(C4,6,2)),VALUE(MID(C4,9,2)))+TIME(VALUE(MID(C4,12,2)),VALUE(MID(C4,15,2)),VALUE(MID(C4,18,2)))&gt;=DATE(VALUE(LEFT(C4,4)),3,1)+MOD(8-WEEKDAY(DATE(VALUE(LEFT(C4,4)),3,1)),7)+7+TIME(7,0,0),DATE(VALUE(LEFT(C4,4)),3,1)+MOD(8-WEEKDAY(DATE(VALUE(LEFT(C4,4)),3,1)),7)+7+TIME(7,0,0)&lt;DATE(VALUE(LEFT(C4,4)),11,1)+MOD(8-WEEKDAY(DATE(VALUE(LEFT(C4,4)),11,1)),7)+TIME(6,0,0)), TIME(4,0,0),TIME(5,0,0)))</f>
        <v/>
      </c>
      <c r="E4" s="3">
        <f>IF(D4="","",MOD(D4,1))</f>
        <v/>
      </c>
      <c r="F4">
        <f>IF(D4="","",TEXT(D4,"mmm"))</f>
        <v/>
      </c>
      <c r="G4">
        <f>IF(D4="","",YEAR(D4))</f>
        <v/>
      </c>
      <c r="H4">
        <f>IF(D4="","",HOUR(D4))</f>
        <v/>
      </c>
      <c r="I4" t="inlineStr">
        <is>
          <t>26-008780</t>
        </is>
      </c>
      <c r="J4" t="inlineStr">
        <is>
          <t>FIRE||STRUCTURE_FIRE||STRUCTURAL_INVOLVEMENT_FIRE</t>
        </is>
      </c>
      <c r="K4" t="inlineStr"/>
      <c r="L4" t="inlineStr"/>
      <c r="M4" t="inlineStr">
        <is>
          <t>259 CLUB VALLEY DRIVE</t>
        </is>
      </c>
      <c r="N4" t="inlineStr"/>
      <c r="O4" t="inlineStr">
        <is>
          <t>MA</t>
        </is>
      </c>
      <c r="P4" t="inlineStr">
        <is>
          <t>02536</t>
        </is>
      </c>
      <c r="Q4" t="inlineStr">
        <is>
          <t>Barnstable</t>
        </is>
      </c>
      <c r="R4" t="inlineStr">
        <is>
          <t>RESIDENTIAL</t>
        </is>
      </c>
      <c r="S4" t="inlineStr">
        <is>
          <t>DETATCHED_SINGLE_FAMILY_DWELLING</t>
        </is>
      </c>
      <c r="T4" t="inlineStr"/>
      <c r="U4" t="inlineStr"/>
      <c r="V4" t="inlineStr">
        <is>
          <t>FD25001274|26-008780|1776252060</t>
        </is>
      </c>
      <c r="W4" t="inlineStr"/>
      <c r="X4" t="inlineStr"/>
      <c r="Y4" t="inlineStr"/>
      <c r="Z4" t="inlineStr"/>
      <c r="AA4" t="inlineStr"/>
      <c r="AB4" t="inlineStr"/>
      <c r="AC4" t="inlineStr">
        <is>
          <t>E_MOBILITY||POWER_ASSISTED_BICYCLE</t>
        </is>
      </c>
      <c r="AD4" t="inlineStr">
        <is>
          <t>SOURCE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n">
        <v>0</v>
      </c>
      <c r="AU4" t="n">
        <v>0</v>
      </c>
      <c r="AV4" t="n">
        <v>0</v>
      </c>
      <c r="AW4" t="n">
        <v>1</v>
      </c>
    </row>
    <row r="5">
      <c r="A5" t="inlineStr">
        <is>
          <t>FD25001274</t>
        </is>
      </c>
      <c r="B5" t="inlineStr">
        <is>
          <t>Falmouth Fire/ Rescue</t>
        </is>
      </c>
      <c r="C5" t="inlineStr">
        <is>
          <t>2026-04-14T08:57:35+00:00</t>
        </is>
      </c>
      <c r="D5" s="2">
        <f>IF(C5="","",DATE(VALUE(LEFT(C5,4)),VALUE(MID(C5,6,2)),VALUE(MID(C5,9,2)))+TIME(VALUE(MID(C5,12,2)),VALUE(MID(C5,15,2)),VALUE(MID(C5,18,2)))-IF(AND(DATE(VALUE(LEFT(C5,4)),VALUE(MID(C5,6,2)),VALUE(MID(C5,9,2)))+TIME(VALUE(MID(C5,12,2)),VALUE(MID(C5,15,2)),VALUE(MID(C5,18,2)))&gt;=DATE(VALUE(LEFT(C5,4)),3,1)+MOD(8-WEEKDAY(DATE(VALUE(LEFT(C5,4)),3,1)),7)+7+TIME(7,0,0),DATE(VALUE(LEFT(C5,4)),3,1)+MOD(8-WEEKDAY(DATE(VALUE(LEFT(C5,4)),3,1)),7)+7+TIME(7,0,0)&lt;DATE(VALUE(LEFT(C5,4)),11,1)+MOD(8-WEEKDAY(DATE(VALUE(LEFT(C5,4)),11,1)),7)+TIME(6,0,0)), TIME(4,0,0),TIME(5,0,0)))</f>
        <v/>
      </c>
      <c r="E5" s="3">
        <f>IF(D5="","",MOD(D5,1))</f>
        <v/>
      </c>
      <c r="F5">
        <f>IF(D5="","",TEXT(D5,"mmm"))</f>
        <v/>
      </c>
      <c r="G5">
        <f>IF(D5="","",YEAR(D5))</f>
        <v/>
      </c>
      <c r="H5">
        <f>IF(D5="","",HOUR(D5))</f>
        <v/>
      </c>
      <c r="I5" t="inlineStr">
        <is>
          <t>26-008689</t>
        </is>
      </c>
      <c r="J5" t="inlineStr">
        <is>
          <t>HAZSIT||HAZARD_NONCHEM||ELEC_HAZARD_SHORT_CIRCUIT</t>
        </is>
      </c>
      <c r="K5" t="inlineStr"/>
      <c r="L5" t="inlineStr"/>
      <c r="M5" t="inlineStr">
        <is>
          <t>364 East FALMOUTH HIGHWAY</t>
        </is>
      </c>
      <c r="N5" t="inlineStr"/>
      <c r="O5" t="inlineStr">
        <is>
          <t>MA</t>
        </is>
      </c>
      <c r="P5" t="inlineStr">
        <is>
          <t>02536</t>
        </is>
      </c>
      <c r="Q5" t="inlineStr">
        <is>
          <t>Barnstable</t>
        </is>
      </c>
      <c r="R5" t="inlineStr">
        <is>
          <t>RESIDENTIAL</t>
        </is>
      </c>
      <c r="S5" t="inlineStr">
        <is>
          <t>MULTI_FAMILY_LOWRISE_DWELLING</t>
        </is>
      </c>
      <c r="T5" t="inlineStr"/>
      <c r="U5" t="inlineStr"/>
      <c r="V5" t="inlineStr">
        <is>
          <t>FD25001274|26-008689|1776157055</t>
        </is>
      </c>
      <c r="W5" t="inlineStr"/>
      <c r="X5" t="inlineStr"/>
      <c r="Y5" t="inlineStr"/>
      <c r="Z5" t="inlineStr"/>
      <c r="AA5" t="inlineStr"/>
      <c r="AB5" t="inlineStr"/>
      <c r="AC5" t="inlineStr">
        <is>
          <t>CONSUMER_PRODUCTS||APPLIANCE_TOOL</t>
        </is>
      </c>
      <c r="AD5" t="inlineStr">
        <is>
          <t>SOURCE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n">
        <v>0</v>
      </c>
      <c r="AU5" t="n">
        <v>0</v>
      </c>
      <c r="AV5" t="n">
        <v>0</v>
      </c>
      <c r="AW5" t="n">
        <v>0</v>
      </c>
    </row>
    <row r="6">
      <c r="A6" t="inlineStr">
        <is>
          <t>FD25001274</t>
        </is>
      </c>
      <c r="B6" t="inlineStr">
        <is>
          <t>Falmouth Fire/ Rescue</t>
        </is>
      </c>
      <c r="C6" t="inlineStr">
        <is>
          <t>2026-03-14T15:53:12+00:00</t>
        </is>
      </c>
      <c r="D6" s="2">
        <f>IF(C6="","",DATE(VALUE(LEFT(C6,4)),VALUE(MID(C6,6,2)),VALUE(MID(C6,9,2)))+TIME(VALUE(MID(C6,12,2)),VALUE(MID(C6,15,2)),VALUE(MID(C6,18,2)))-IF(AND(DATE(VALUE(LEFT(C6,4)),VALUE(MID(C6,6,2)),VALUE(MID(C6,9,2)))+TIME(VALUE(MID(C6,12,2)),VALUE(MID(C6,15,2)),VALUE(MID(C6,18,2)))&gt;=DATE(VALUE(LEFT(C6,4)),3,1)+MOD(8-WEEKDAY(DATE(VALUE(LEFT(C6,4)),3,1)),7)+7+TIME(7,0,0),DATE(VALUE(LEFT(C6,4)),3,1)+MOD(8-WEEKDAY(DATE(VALUE(LEFT(C6,4)),3,1)),7)+7+TIME(7,0,0)&lt;DATE(VALUE(LEFT(C6,4)),11,1)+MOD(8-WEEKDAY(DATE(VALUE(LEFT(C6,4)),11,1)),7)+TIME(6,0,0)), TIME(4,0,0),TIME(5,0,0)))</f>
        <v/>
      </c>
      <c r="E6" s="3">
        <f>IF(D6="","",MOD(D6,1))</f>
        <v/>
      </c>
      <c r="F6">
        <f>IF(D6="","",TEXT(D6,"mmm"))</f>
        <v/>
      </c>
      <c r="G6">
        <f>IF(D6="","",YEAR(D6))</f>
        <v/>
      </c>
      <c r="H6">
        <f>IF(D6="","",HOUR(D6))</f>
        <v/>
      </c>
      <c r="I6" t="inlineStr">
        <is>
          <t>26-006120</t>
        </is>
      </c>
      <c r="J6" t="inlineStr">
        <is>
          <t>HAZSIT||HAZARD_NONCHEM||ELEC_HAZARD_SHORT_CIRCUIT</t>
        </is>
      </c>
      <c r="K6" t="inlineStr"/>
      <c r="L6" t="inlineStr"/>
      <c r="M6" t="inlineStr">
        <is>
          <t>19 OVERLOOK CIRCLE</t>
        </is>
      </c>
      <c r="N6" t="inlineStr"/>
      <c r="O6" t="inlineStr">
        <is>
          <t>MA</t>
        </is>
      </c>
      <c r="P6" t="inlineStr">
        <is>
          <t>02536</t>
        </is>
      </c>
      <c r="Q6" t="inlineStr"/>
      <c r="R6" t="inlineStr">
        <is>
          <t>RESIDENTIAL</t>
        </is>
      </c>
      <c r="S6" t="inlineStr">
        <is>
          <t>DETATCHED_SINGLE_FAMILY_DWELLING</t>
        </is>
      </c>
      <c r="T6" t="inlineStr"/>
      <c r="U6" t="inlineStr"/>
      <c r="V6" t="inlineStr">
        <is>
          <t>FD25001274|26-006120|1773503592</t>
        </is>
      </c>
      <c r="W6" t="inlineStr"/>
      <c r="X6" t="inlineStr"/>
      <c r="Y6" t="inlineStr"/>
      <c r="Z6" t="inlineStr"/>
      <c r="AA6" t="inlineStr"/>
      <c r="AB6" t="inlineStr"/>
      <c r="AC6" t="inlineStr">
        <is>
          <t>CONSUMER_PRODUCTS||APPLIANCE_TOOL</t>
        </is>
      </c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n">
        <v>0</v>
      </c>
      <c r="AU6" t="n">
        <v>0</v>
      </c>
      <c r="AV6" t="n">
        <v>0</v>
      </c>
      <c r="AW6" t="n">
        <v>0</v>
      </c>
    </row>
    <row r="7">
      <c r="A7" t="inlineStr">
        <is>
          <t>FD25001274</t>
        </is>
      </c>
      <c r="B7" t="inlineStr">
        <is>
          <t>Falmouth Fire/ Rescue</t>
        </is>
      </c>
      <c r="C7" t="inlineStr">
        <is>
          <t>2026-02-03T06:12:39+00:00</t>
        </is>
      </c>
      <c r="D7" s="2">
        <f>IF(C7="","",DATE(VALUE(LEFT(C7,4)),VALUE(MID(C7,6,2)),VALUE(MID(C7,9,2)))+TIME(VALUE(MID(C7,12,2)),VALUE(MID(C7,15,2)),VALUE(MID(C7,18,2)))-IF(AND(DATE(VALUE(LEFT(C7,4)),VALUE(MID(C7,6,2)),VALUE(MID(C7,9,2)))+TIME(VALUE(MID(C7,12,2)),VALUE(MID(C7,15,2)),VALUE(MID(C7,18,2)))&gt;=DATE(VALUE(LEFT(C7,4)),3,1)+MOD(8-WEEKDAY(DATE(VALUE(LEFT(C7,4)),3,1)),7)+7+TIME(7,0,0),DATE(VALUE(LEFT(C7,4)),3,1)+MOD(8-WEEKDAY(DATE(VALUE(LEFT(C7,4)),3,1)),7)+7+TIME(7,0,0)&lt;DATE(VALUE(LEFT(C7,4)),11,1)+MOD(8-WEEKDAY(DATE(VALUE(LEFT(C7,4)),11,1)),7)+TIME(6,0,0)), TIME(4,0,0),TIME(5,0,0)))</f>
        <v/>
      </c>
      <c r="E7" s="3">
        <f>IF(D7="","",MOD(D7,1))</f>
        <v/>
      </c>
      <c r="F7">
        <f>IF(D7="","",TEXT(D7,"mmm"))</f>
        <v/>
      </c>
      <c r="G7">
        <f>IF(D7="","",YEAR(D7))</f>
        <v/>
      </c>
      <c r="H7">
        <f>IF(D7="","",HOUR(D7))</f>
        <v/>
      </c>
      <c r="I7" t="inlineStr">
        <is>
          <t>26-002525</t>
        </is>
      </c>
      <c r="J7" t="inlineStr">
        <is>
          <t>PUBSERV||ALARMS_NONMED||OTHER_ALARM</t>
        </is>
      </c>
      <c r="K7" t="inlineStr">
        <is>
          <t>PUBSERV||DISASTER_WEATHER||DAMAGE_ASSESSMENT</t>
        </is>
      </c>
      <c r="L7" t="inlineStr"/>
      <c r="M7" t="inlineStr">
        <is>
          <t>65 CLOWES DRIVE Apt C</t>
        </is>
      </c>
      <c r="N7" t="inlineStr"/>
      <c r="O7" t="inlineStr">
        <is>
          <t>MA</t>
        </is>
      </c>
      <c r="P7" t="inlineStr">
        <is>
          <t>02540</t>
        </is>
      </c>
      <c r="Q7" t="inlineStr">
        <is>
          <t>Barnstable</t>
        </is>
      </c>
      <c r="R7" t="inlineStr">
        <is>
          <t>RESIDENTIAL</t>
        </is>
      </c>
      <c r="S7" t="inlineStr">
        <is>
          <t>DETATCHED_SINGLE_FAMILY_DWELLING</t>
        </is>
      </c>
      <c r="T7" t="inlineStr"/>
      <c r="U7" t="inlineStr"/>
      <c r="V7" t="inlineStr">
        <is>
          <t>FD25001274|26-002525|1770099159</t>
        </is>
      </c>
      <c r="W7" t="inlineStr"/>
      <c r="X7" t="inlineStr"/>
      <c r="Y7" t="inlineStr"/>
      <c r="Z7" t="inlineStr"/>
      <c r="AA7" t="inlineStr"/>
      <c r="AB7" t="inlineStr"/>
      <c r="AC7" t="inlineStr">
        <is>
          <t>CONSUMER_PRODUCTS||APPLIANCE_TOOL</t>
        </is>
      </c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n">
        <v>0</v>
      </c>
      <c r="AU7" t="n">
        <v>0</v>
      </c>
      <c r="AV7" t="n">
        <v>0</v>
      </c>
      <c r="AW7" t="n">
        <v>0</v>
      </c>
    </row>
    <row r="8">
      <c r="A8" t="inlineStr">
        <is>
          <t>FD25001274</t>
        </is>
      </c>
      <c r="B8" t="inlineStr">
        <is>
          <t>Falmouth Fire/ Rescue</t>
        </is>
      </c>
      <c r="C8" t="inlineStr">
        <is>
          <t>2026-01-31T18:08:43+00:00</t>
        </is>
      </c>
      <c r="D8" s="2">
        <f>IF(C8="","",DATE(VALUE(LEFT(C8,4)),VALUE(MID(C8,6,2)),VALUE(MID(C8,9,2)))+TIME(VALUE(MID(C8,12,2)),VALUE(MID(C8,15,2)),VALUE(MID(C8,18,2)))-IF(AND(DATE(VALUE(LEFT(C8,4)),VALUE(MID(C8,6,2)),VALUE(MID(C8,9,2)))+TIME(VALUE(MID(C8,12,2)),VALUE(MID(C8,15,2)),VALUE(MID(C8,18,2)))&gt;=DATE(VALUE(LEFT(C8,4)),3,1)+MOD(8-WEEKDAY(DATE(VALUE(LEFT(C8,4)),3,1)),7)+7+TIME(7,0,0),DATE(VALUE(LEFT(C8,4)),3,1)+MOD(8-WEEKDAY(DATE(VALUE(LEFT(C8,4)),3,1)),7)+7+TIME(7,0,0)&lt;DATE(VALUE(LEFT(C8,4)),11,1)+MOD(8-WEEKDAY(DATE(VALUE(LEFT(C8,4)),11,1)),7)+TIME(6,0,0)), TIME(4,0,0),TIME(5,0,0)))</f>
        <v/>
      </c>
      <c r="E8" s="3">
        <f>IF(D8="","",MOD(D8,1))</f>
        <v/>
      </c>
      <c r="F8">
        <f>IF(D8="","",TEXT(D8,"mmm"))</f>
        <v/>
      </c>
      <c r="G8">
        <f>IF(D8="","",YEAR(D8))</f>
        <v/>
      </c>
      <c r="H8">
        <f>IF(D8="","",HOUR(D8))</f>
        <v/>
      </c>
      <c r="I8" t="inlineStr">
        <is>
          <t>26-002295</t>
        </is>
      </c>
      <c r="J8" t="inlineStr">
        <is>
          <t>PUBSERV||ALARMS_NONMED||OTHER_ALARM</t>
        </is>
      </c>
      <c r="K8" t="inlineStr"/>
      <c r="L8" t="inlineStr"/>
      <c r="M8" t="inlineStr">
        <is>
          <t>389 GIFFORD STREET Apt Gym</t>
        </is>
      </c>
      <c r="N8" t="inlineStr"/>
      <c r="O8" t="inlineStr">
        <is>
          <t>MA</t>
        </is>
      </c>
      <c r="P8" t="inlineStr">
        <is>
          <t>02540</t>
        </is>
      </c>
      <c r="Q8" t="inlineStr">
        <is>
          <t>Barnstable</t>
        </is>
      </c>
      <c r="R8" t="inlineStr">
        <is>
          <t>HEALTH_CARE</t>
        </is>
      </c>
      <c r="S8" t="inlineStr">
        <is>
          <t>NURSING_HOME_ASSISTED_LIVING_RESIDENCE_ONSITE</t>
        </is>
      </c>
      <c r="T8" t="inlineStr"/>
      <c r="U8" t="inlineStr"/>
      <c r="V8" t="inlineStr">
        <is>
          <t>FD25001274|26-002295|1769882923</t>
        </is>
      </c>
      <c r="W8" t="inlineStr"/>
      <c r="X8" t="inlineStr"/>
      <c r="Y8" t="inlineStr"/>
      <c r="Z8" t="inlineStr"/>
      <c r="AA8" t="inlineStr"/>
      <c r="AB8" t="inlineStr"/>
      <c r="AC8" t="inlineStr">
        <is>
          <t>CONSUMER_PRODUCTS||OTHER</t>
        </is>
      </c>
      <c r="AD8" t="inlineStr">
        <is>
          <t>SOURCE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n">
        <v>0</v>
      </c>
      <c r="AU8" t="n">
        <v>0</v>
      </c>
      <c r="AV8" t="n">
        <v>0</v>
      </c>
      <c r="AW8" t="n">
        <v>0</v>
      </c>
    </row>
    <row r="9">
      <c r="A9" t="inlineStr">
        <is>
          <t>FD25001274</t>
        </is>
      </c>
      <c r="B9" t="inlineStr">
        <is>
          <t>Falmouth Fire/ Rescue</t>
        </is>
      </c>
      <c r="C9" t="inlineStr">
        <is>
          <t>2026-01-06T11:22:34+00:00</t>
        </is>
      </c>
      <c r="D9" s="2">
        <f>IF(C9="","",DATE(VALUE(LEFT(C9,4)),VALUE(MID(C9,6,2)),VALUE(MID(C9,9,2)))+TIME(VALUE(MID(C9,12,2)),VALUE(MID(C9,15,2)),VALUE(MID(C9,18,2)))-IF(AND(DATE(VALUE(LEFT(C9,4)),VALUE(MID(C9,6,2)),VALUE(MID(C9,9,2)))+TIME(VALUE(MID(C9,12,2)),VALUE(MID(C9,15,2)),VALUE(MID(C9,18,2)))&gt;=DATE(VALUE(LEFT(C9,4)),3,1)+MOD(8-WEEKDAY(DATE(VALUE(LEFT(C9,4)),3,1)),7)+7+TIME(7,0,0),DATE(VALUE(LEFT(C9,4)),3,1)+MOD(8-WEEKDAY(DATE(VALUE(LEFT(C9,4)),3,1)),7)+7+TIME(7,0,0)&lt;DATE(VALUE(LEFT(C9,4)),11,1)+MOD(8-WEEKDAY(DATE(VALUE(LEFT(C9,4)),11,1)),7)+TIME(6,0,0)), TIME(4,0,0),TIME(5,0,0)))</f>
        <v/>
      </c>
      <c r="E9" s="3">
        <f>IF(D9="","",MOD(D9,1))</f>
        <v/>
      </c>
      <c r="F9">
        <f>IF(D9="","",TEXT(D9,"mmm"))</f>
        <v/>
      </c>
      <c r="G9">
        <f>IF(D9="","",YEAR(D9))</f>
        <v/>
      </c>
      <c r="H9">
        <f>IF(D9="","",HOUR(D9))</f>
        <v/>
      </c>
      <c r="I9" t="inlineStr">
        <is>
          <t>26-000370</t>
        </is>
      </c>
      <c r="J9" t="inlineStr">
        <is>
          <t>HAZSIT||HAZARD_NONCHEM||ELEC_HAZARD_SHORT_CIRCUIT</t>
        </is>
      </c>
      <c r="K9" t="inlineStr"/>
      <c r="L9" t="inlineStr"/>
      <c r="M9" t="inlineStr">
        <is>
          <t>46 TASINA DRIVE</t>
        </is>
      </c>
      <c r="N9" t="inlineStr"/>
      <c r="O9" t="inlineStr">
        <is>
          <t>MA</t>
        </is>
      </c>
      <c r="P9" t="inlineStr">
        <is>
          <t>02536</t>
        </is>
      </c>
      <c r="Q9" t="inlineStr"/>
      <c r="R9" t="inlineStr">
        <is>
          <t>RESIDENTIAL</t>
        </is>
      </c>
      <c r="S9" t="inlineStr">
        <is>
          <t>DETATCHED_SINGLE_FAMILY_DWELLING</t>
        </is>
      </c>
      <c r="T9" t="inlineStr"/>
      <c r="U9" t="inlineStr"/>
      <c r="V9" t="inlineStr">
        <is>
          <t>FD25001274|26-000370|1767698554</t>
        </is>
      </c>
      <c r="W9" t="inlineStr"/>
      <c r="X9" t="inlineStr"/>
      <c r="Y9" t="inlineStr"/>
      <c r="Z9" t="inlineStr"/>
      <c r="AA9" t="inlineStr"/>
      <c r="AB9" t="inlineStr"/>
      <c r="AC9" t="inlineStr">
        <is>
          <t>CONSUMER_PRODUCTS||APPLIANCE_TOOL</t>
        </is>
      </c>
      <c r="AD9" t="inlineStr">
        <is>
          <t>SOURCE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n">
        <v>0</v>
      </c>
      <c r="AU9" t="n">
        <v>0</v>
      </c>
      <c r="AV9" t="n">
        <v>0</v>
      </c>
      <c r="AW9" t="n">
        <v>0</v>
      </c>
    </row>
    <row r="10">
      <c r="A10" t="inlineStr">
        <is>
          <t>FD25001280</t>
        </is>
      </c>
      <c r="B10" t="inlineStr">
        <is>
          <t>Bourne Fire/Rescue And Emergency Services</t>
        </is>
      </c>
      <c r="C10" t="inlineStr">
        <is>
          <t>2026-06-16T16:02:19+00:00</t>
        </is>
      </c>
      <c r="D10" s="2">
        <f>IF(C10="","",DATE(VALUE(LEFT(C10,4)),VALUE(MID(C10,6,2)),VALUE(MID(C10,9,2)))+TIME(VALUE(MID(C10,12,2)),VALUE(MID(C10,15,2)),VALUE(MID(C10,18,2)))-IF(AND(DATE(VALUE(LEFT(C10,4)),VALUE(MID(C10,6,2)),VALUE(MID(C10,9,2)))+TIME(VALUE(MID(C10,12,2)),VALUE(MID(C10,15,2)),VALUE(MID(C10,18,2)))&gt;=DATE(VALUE(LEFT(C10,4)),3,1)+MOD(8-WEEKDAY(DATE(VALUE(LEFT(C10,4)),3,1)),7)+7+TIME(7,0,0),DATE(VALUE(LEFT(C10,4)),3,1)+MOD(8-WEEKDAY(DATE(VALUE(LEFT(C10,4)),3,1)),7)+7+TIME(7,0,0)&lt;DATE(VALUE(LEFT(C10,4)),11,1)+MOD(8-WEEKDAY(DATE(VALUE(LEFT(C10,4)),11,1)),7)+TIME(6,0,0)), TIME(4,0,0),TIME(5,0,0)))</f>
        <v/>
      </c>
      <c r="E10" s="3">
        <f>IF(D10="","",MOD(D10,1))</f>
        <v/>
      </c>
      <c r="F10">
        <f>IF(D10="","",TEXT(D10,"mmm"))</f>
        <v/>
      </c>
      <c r="G10">
        <f>IF(D10="","",YEAR(D10))</f>
        <v/>
      </c>
      <c r="H10">
        <f>IF(D10="","",HOUR(D10))</f>
        <v/>
      </c>
      <c r="I10" t="inlineStr">
        <is>
          <t>BRNE:2026:2498</t>
        </is>
      </c>
      <c r="J10" t="inlineStr">
        <is>
          <t>FIRE||SPECIAL_FIRE||EXPLOSION</t>
        </is>
      </c>
      <c r="K10" t="inlineStr">
        <is>
          <t>MEDICAL||INJURY||BURNS_EXPLOSION</t>
        </is>
      </c>
      <c r="L10" t="inlineStr"/>
      <c r="M10" t="inlineStr">
        <is>
          <t>101 ACADEMY</t>
        </is>
      </c>
      <c r="N10" t="inlineStr"/>
      <c r="O10" t="inlineStr">
        <is>
          <t>MA</t>
        </is>
      </c>
      <c r="P10" t="inlineStr"/>
      <c r="Q10" t="inlineStr">
        <is>
          <t>Barnstable County</t>
        </is>
      </c>
      <c r="R10" t="inlineStr"/>
      <c r="S10" t="inlineStr"/>
      <c r="T10" t="inlineStr"/>
      <c r="U10" t="inlineStr"/>
      <c r="V10" t="inlineStr">
        <is>
          <t>FD25001280|BRNE:2026:2498|1781625739</t>
        </is>
      </c>
      <c r="W10" t="inlineStr"/>
      <c r="X10" t="inlineStr"/>
      <c r="Y10" t="inlineStr"/>
      <c r="Z10" t="inlineStr"/>
      <c r="AA10" t="inlineStr"/>
      <c r="AB10" t="inlineStr"/>
      <c r="AC10" t="inlineStr">
        <is>
          <t>ENERGY_STORAGE_SYSTEM||BATTERY</t>
        </is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n">
        <v>0</v>
      </c>
      <c r="AU10" t="n">
        <v>0</v>
      </c>
      <c r="AV10" t="n">
        <v>0</v>
      </c>
      <c r="AW10" t="n">
        <v>0</v>
      </c>
    </row>
    <row r="11">
      <c r="A11" t="inlineStr">
        <is>
          <t>FD25001583</t>
        </is>
      </c>
      <c r="B11" t="inlineStr">
        <is>
          <t>West Barnstable Fire Department</t>
        </is>
      </c>
      <c r="C11" t="inlineStr">
        <is>
          <t>2026-01-19T05:10:37+00:00</t>
        </is>
      </c>
      <c r="D11" s="2">
        <f>IF(C11="","",DATE(VALUE(LEFT(C11,4)),VALUE(MID(C11,6,2)),VALUE(MID(C11,9,2)))+TIME(VALUE(MID(C11,12,2)),VALUE(MID(C11,15,2)),VALUE(MID(C11,18,2)))-IF(AND(DATE(VALUE(LEFT(C11,4)),VALUE(MID(C11,6,2)),VALUE(MID(C11,9,2)))+TIME(VALUE(MID(C11,12,2)),VALUE(MID(C11,15,2)),VALUE(MID(C11,18,2)))&gt;=DATE(VALUE(LEFT(C11,4)),3,1)+MOD(8-WEEKDAY(DATE(VALUE(LEFT(C11,4)),3,1)),7)+7+TIME(7,0,0),DATE(VALUE(LEFT(C11,4)),3,1)+MOD(8-WEEKDAY(DATE(VALUE(LEFT(C11,4)),3,1)),7)+7+TIME(7,0,0)&lt;DATE(VALUE(LEFT(C11,4)),11,1)+MOD(8-WEEKDAY(DATE(VALUE(LEFT(C11,4)),11,1)),7)+TIME(6,0,0)), TIME(4,0,0),TIME(5,0,0)))</f>
        <v/>
      </c>
      <c r="E11" s="3">
        <f>IF(D11="","",MOD(D11,1))</f>
        <v/>
      </c>
      <c r="F11">
        <f>IF(D11="","",TEXT(D11,"mmm"))</f>
        <v/>
      </c>
      <c r="G11">
        <f>IF(D11="","",YEAR(D11))</f>
        <v/>
      </c>
      <c r="H11">
        <f>IF(D11="","",HOUR(D11))</f>
        <v/>
      </c>
      <c r="I11" t="inlineStr">
        <is>
          <t>2026-028</t>
        </is>
      </c>
      <c r="J11" t="inlineStr">
        <is>
          <t>HAZSIT||HAZARD_NONCHEM||ELEC_HAZARD_SHORT_CIRCUIT</t>
        </is>
      </c>
      <c r="K11" t="inlineStr"/>
      <c r="L11" t="inlineStr"/>
      <c r="M11" t="inlineStr">
        <is>
          <t>282 CHURCH STREET</t>
        </is>
      </c>
      <c r="N11" t="inlineStr"/>
      <c r="O11" t="inlineStr">
        <is>
          <t>MA</t>
        </is>
      </c>
      <c r="P11" t="inlineStr">
        <is>
          <t>02668</t>
        </is>
      </c>
      <c r="Q11" t="inlineStr">
        <is>
          <t>Barnstable</t>
        </is>
      </c>
      <c r="R11" t="inlineStr">
        <is>
          <t>RESIDENTIAL</t>
        </is>
      </c>
      <c r="S11" t="inlineStr">
        <is>
          <t>DETATCHED_SINGLE_FAMILY_DWELLING</t>
        </is>
      </c>
      <c r="T11" t="inlineStr"/>
      <c r="U11" t="inlineStr"/>
      <c r="V11" t="inlineStr">
        <is>
          <t>FD25001583|2026-028|1768799437</t>
        </is>
      </c>
      <c r="W11" t="inlineStr"/>
      <c r="X11" t="inlineStr"/>
      <c r="Y11" t="inlineStr"/>
      <c r="Z11" t="inlineStr"/>
      <c r="AA11" t="inlineStr"/>
      <c r="AB11" t="inlineStr"/>
      <c r="AC11" t="inlineStr">
        <is>
          <t>CONSUMER_PRODUCTS||POWER_BANK</t>
        </is>
      </c>
      <c r="AD11" t="inlineStr">
        <is>
          <t>UNKNOWN</t>
        </is>
      </c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n">
        <v>0</v>
      </c>
      <c r="AU11" t="n">
        <v>0</v>
      </c>
      <c r="AV11" t="n">
        <v>0</v>
      </c>
      <c r="AW11" t="n">
        <v>0</v>
      </c>
    </row>
    <row r="12">
      <c r="A12" t="inlineStr">
        <is>
          <t>FD25001798</t>
        </is>
      </c>
      <c r="B12" t="inlineStr">
        <is>
          <t>Dennis Fire Department</t>
        </is>
      </c>
      <c r="C12" t="inlineStr">
        <is>
          <t>2026-06-26T21:20:39+00:00</t>
        </is>
      </c>
      <c r="D12" s="2">
        <f>IF(C12="","",DATE(VALUE(LEFT(C12,4)),VALUE(MID(C12,6,2)),VALUE(MID(C12,9,2)))+TIME(VALUE(MID(C12,12,2)),VALUE(MID(C12,15,2)),VALUE(MID(C12,18,2)))-IF(AND(DATE(VALUE(LEFT(C12,4)),VALUE(MID(C12,6,2)),VALUE(MID(C12,9,2)))+TIME(VALUE(MID(C12,12,2)),VALUE(MID(C12,15,2)),VALUE(MID(C12,18,2)))&gt;=DATE(VALUE(LEFT(C12,4)),3,1)+MOD(8-WEEKDAY(DATE(VALUE(LEFT(C12,4)),3,1)),7)+7+TIME(7,0,0),DATE(VALUE(LEFT(C12,4)),3,1)+MOD(8-WEEKDAY(DATE(VALUE(LEFT(C12,4)),3,1)),7)+7+TIME(7,0,0)&lt;DATE(VALUE(LEFT(C12,4)),11,1)+MOD(8-WEEKDAY(DATE(VALUE(LEFT(C12,4)),11,1)),7)+TIME(6,0,0)), TIME(4,0,0),TIME(5,0,0)))</f>
        <v/>
      </c>
      <c r="E12" s="3">
        <f>IF(D12="","",MOD(D12,1))</f>
        <v/>
      </c>
      <c r="F12">
        <f>IF(D12="","",TEXT(D12,"mmm"))</f>
        <v/>
      </c>
      <c r="G12">
        <f>IF(D12="","",YEAR(D12))</f>
        <v/>
      </c>
      <c r="H12">
        <f>IF(D12="","",HOUR(D12))</f>
        <v/>
      </c>
      <c r="I12" t="inlineStr">
        <is>
          <t>26-0002912_639181261427754698</t>
        </is>
      </c>
      <c r="J12" t="inlineStr">
        <is>
          <t>HAZSIT||HAZARDOUS_MATERIALS||HAZMAT_RELEASE_TRANSPORT</t>
        </is>
      </c>
      <c r="K12" t="inlineStr"/>
      <c r="L12" t="inlineStr"/>
      <c r="M12" t="inlineStr">
        <is>
          <t>Beach</t>
        </is>
      </c>
      <c r="N12" t="inlineStr">
        <is>
          <t>West Dennis</t>
        </is>
      </c>
      <c r="O12" t="inlineStr">
        <is>
          <t>MA</t>
        </is>
      </c>
      <c r="P12" t="inlineStr">
        <is>
          <t>02670</t>
        </is>
      </c>
      <c r="Q12" t="inlineStr">
        <is>
          <t>Barnstable County</t>
        </is>
      </c>
      <c r="R12" t="inlineStr">
        <is>
          <t>OUTDOOR</t>
        </is>
      </c>
      <c r="S12" t="inlineStr">
        <is>
          <t>WATERFRONT</t>
        </is>
      </c>
      <c r="T12" t="inlineStr"/>
      <c r="U12" t="inlineStr"/>
      <c r="V12" t="inlineStr">
        <is>
          <t>FD25001798|26-0002912_639181261427754698|1782508839</t>
        </is>
      </c>
      <c r="W12" t="inlineStr"/>
      <c r="X12" t="inlineStr"/>
      <c r="Y12" t="inlineStr"/>
      <c r="Z12" t="inlineStr"/>
      <c r="AA12" t="inlineStr"/>
      <c r="AB12" t="inlineStr"/>
      <c r="AC12" t="inlineStr">
        <is>
          <t>ELECTRIC_VEHICLE||BOAT_RECREATIONAL||FULL_ELECTRIC</t>
        </is>
      </c>
      <c r="AD12" t="inlineStr">
        <is>
          <t>SOURCE</t>
        </is>
      </c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n">
        <v>0</v>
      </c>
      <c r="AU12" t="n">
        <v>0</v>
      </c>
      <c r="AV12" t="n">
        <v>0</v>
      </c>
      <c r="AW12" t="n">
        <v>0</v>
      </c>
    </row>
    <row r="13">
      <c r="A13" t="inlineStr">
        <is>
          <t>FD25001798</t>
        </is>
      </c>
      <c r="B13" t="inlineStr">
        <is>
          <t>Dennis Fire Department</t>
        </is>
      </c>
      <c r="C13" t="inlineStr">
        <is>
          <t>2026-04-08T00:07:27+00:00</t>
        </is>
      </c>
      <c r="D13" s="2">
        <f>IF(C13="","",DATE(VALUE(LEFT(C13,4)),VALUE(MID(C13,6,2)),VALUE(MID(C13,9,2)))+TIME(VALUE(MID(C13,12,2)),VALUE(MID(C13,15,2)),VALUE(MID(C13,18,2)))-IF(AND(DATE(VALUE(LEFT(C13,4)),VALUE(MID(C13,6,2)),VALUE(MID(C13,9,2)))+TIME(VALUE(MID(C13,12,2)),VALUE(MID(C13,15,2)),VALUE(MID(C13,18,2)))&gt;=DATE(VALUE(LEFT(C13,4)),3,1)+MOD(8-WEEKDAY(DATE(VALUE(LEFT(C13,4)),3,1)),7)+7+TIME(7,0,0),DATE(VALUE(LEFT(C13,4)),3,1)+MOD(8-WEEKDAY(DATE(VALUE(LEFT(C13,4)),3,1)),7)+7+TIME(7,0,0)&lt;DATE(VALUE(LEFT(C13,4)),11,1)+MOD(8-WEEKDAY(DATE(VALUE(LEFT(C13,4)),11,1)),7)+TIME(6,0,0)), TIME(4,0,0),TIME(5,0,0)))</f>
        <v/>
      </c>
      <c r="E13" s="3">
        <f>IF(D13="","",MOD(D13,1))</f>
        <v/>
      </c>
      <c r="F13">
        <f>IF(D13="","",TEXT(D13,"mmm"))</f>
        <v/>
      </c>
      <c r="G13">
        <f>IF(D13="","",YEAR(D13))</f>
        <v/>
      </c>
      <c r="H13">
        <f>IF(D13="","",HOUR(D13))</f>
        <v/>
      </c>
      <c r="I13" t="inlineStr">
        <is>
          <t>26-0001677_639112080940376715</t>
        </is>
      </c>
      <c r="J13" t="inlineStr">
        <is>
          <t>HAZSIT||HAZARD_NONCHEM||ELEC_HAZARD_SHORT_CIRCUIT</t>
        </is>
      </c>
      <c r="K13" t="inlineStr"/>
      <c r="L13" t="inlineStr"/>
      <c r="M13" t="inlineStr">
        <is>
          <t>Setucket</t>
        </is>
      </c>
      <c r="N13" t="inlineStr">
        <is>
          <t>South Dennis</t>
        </is>
      </c>
      <c r="O13" t="inlineStr">
        <is>
          <t>MA</t>
        </is>
      </c>
      <c r="P13" t="inlineStr">
        <is>
          <t>02660</t>
        </is>
      </c>
      <c r="Q13" t="inlineStr">
        <is>
          <t>Barnstable County</t>
        </is>
      </c>
      <c r="R13" t="inlineStr">
        <is>
          <t>RESIDENTIAL</t>
        </is>
      </c>
      <c r="S13" t="inlineStr">
        <is>
          <t>DETATCHED_SINGLE_FAMILY_DWELLING</t>
        </is>
      </c>
      <c r="T13" t="inlineStr"/>
      <c r="U13" t="inlineStr"/>
      <c r="V13" t="inlineStr">
        <is>
          <t>FD25001798|26-0001677_639112080940376715|1775606847</t>
        </is>
      </c>
      <c r="W13" t="inlineStr"/>
      <c r="X13" t="inlineStr"/>
      <c r="Y13" t="inlineStr"/>
      <c r="Z13" t="inlineStr"/>
      <c r="AA13" t="inlineStr"/>
      <c r="AB13" t="inlineStr"/>
      <c r="AC13" t="inlineStr">
        <is>
          <t>ELECTRIC_VEHICLE||LIGHT_EV_NRR||FULL_ELECTRIC</t>
        </is>
      </c>
      <c r="AD13" t="inlineStr">
        <is>
          <t>UNKNOWN</t>
        </is>
      </c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n">
        <v>0</v>
      </c>
      <c r="AU13" t="n">
        <v>0</v>
      </c>
      <c r="AV13" t="n">
        <v>0</v>
      </c>
      <c r="AW13" t="n">
        <v>0</v>
      </c>
    </row>
    <row r="14">
      <c r="A14" t="inlineStr">
        <is>
          <t>FD25003185</t>
        </is>
      </c>
      <c r="B14" t="inlineStr">
        <is>
          <t>Monterey Fire Department</t>
        </is>
      </c>
      <c r="C14" t="inlineStr">
        <is>
          <t>2026-03-25T17:30:00+00:00</t>
        </is>
      </c>
      <c r="D14" s="2">
        <f>IF(C14="","",DATE(VALUE(LEFT(C14,4)),VALUE(MID(C14,6,2)),VALUE(MID(C14,9,2)))+TIME(VALUE(MID(C14,12,2)),VALUE(MID(C14,15,2)),VALUE(MID(C14,18,2)))-IF(AND(DATE(VALUE(LEFT(C14,4)),VALUE(MID(C14,6,2)),VALUE(MID(C14,9,2)))+TIME(VALUE(MID(C14,12,2)),VALUE(MID(C14,15,2)),VALUE(MID(C14,18,2)))&gt;=DATE(VALUE(LEFT(C14,4)),3,1)+MOD(8-WEEKDAY(DATE(VALUE(LEFT(C14,4)),3,1)),7)+7+TIME(7,0,0),DATE(VALUE(LEFT(C14,4)),3,1)+MOD(8-WEEKDAY(DATE(VALUE(LEFT(C14,4)),3,1)),7)+7+TIME(7,0,0)&lt;DATE(VALUE(LEFT(C14,4)),11,1)+MOD(8-WEEKDAY(DATE(VALUE(LEFT(C14,4)),11,1)),7)+TIME(6,0,0)), TIME(4,0,0),TIME(5,0,0)))</f>
        <v/>
      </c>
      <c r="E14" s="3">
        <f>IF(D14="","",MOD(D14,1))</f>
        <v/>
      </c>
      <c r="F14">
        <f>IF(D14="","",TEXT(D14,"mmm"))</f>
        <v/>
      </c>
      <c r="G14">
        <f>IF(D14="","",YEAR(D14))</f>
        <v/>
      </c>
      <c r="H14">
        <f>IF(D14="","",HOUR(D14))</f>
        <v/>
      </c>
      <c r="I14" t="inlineStr">
        <is>
          <t>260325-133243-MFDMA_639188895246274548</t>
        </is>
      </c>
      <c r="J14" t="inlineStr">
        <is>
          <t>FIRE||SPECIAL_FIRE||EXPLOSION</t>
        </is>
      </c>
      <c r="K14" t="inlineStr"/>
      <c r="L14" t="inlineStr"/>
      <c r="M14" t="inlineStr">
        <is>
          <t>Main ROAD</t>
        </is>
      </c>
      <c r="N14" t="inlineStr"/>
      <c r="O14" t="inlineStr">
        <is>
          <t>MA</t>
        </is>
      </c>
      <c r="P14" t="inlineStr">
        <is>
          <t>01245</t>
        </is>
      </c>
      <c r="Q14" t="inlineStr">
        <is>
          <t>Berkshire County</t>
        </is>
      </c>
      <c r="R14" t="inlineStr">
        <is>
          <t>RESIDENTIAL</t>
        </is>
      </c>
      <c r="S14" t="inlineStr">
        <is>
          <t>DETATCHED_SINGLE_FAMILY_DWELLING</t>
        </is>
      </c>
      <c r="T14" t="inlineStr"/>
      <c r="U14" t="inlineStr"/>
      <c r="V14" t="inlineStr">
        <is>
          <t>FD25003185|260325-133243-MFDMA_639188895246274548|1774459800</t>
        </is>
      </c>
      <c r="W14" t="inlineStr"/>
      <c r="X14" t="inlineStr"/>
      <c r="Y14" t="inlineStr"/>
      <c r="Z14" t="inlineStr"/>
      <c r="AA14" t="inlineStr"/>
      <c r="AB14" t="inlineStr"/>
      <c r="AC14" t="inlineStr">
        <is>
          <t>ENERGY_STORAGE_SYSTEM||BATTERY</t>
        </is>
      </c>
      <c r="AD14" t="inlineStr">
        <is>
          <t>SOURCE</t>
        </is>
      </c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n">
        <v>0</v>
      </c>
      <c r="AU14" t="n">
        <v>0</v>
      </c>
      <c r="AV14" t="n">
        <v>0</v>
      </c>
      <c r="AW14" t="n">
        <v>0</v>
      </c>
    </row>
    <row r="15">
      <c r="A15" t="inlineStr">
        <is>
          <t>FD25003648</t>
        </is>
      </c>
      <c r="B15" t="inlineStr">
        <is>
          <t>Cheshire Volunteer Fire Department</t>
        </is>
      </c>
      <c r="C15" t="inlineStr">
        <is>
          <t>2026-05-25T11:34:00+00:00</t>
        </is>
      </c>
      <c r="D15" s="2">
        <f>IF(C15="","",DATE(VALUE(LEFT(C15,4)),VALUE(MID(C15,6,2)),VALUE(MID(C15,9,2)))+TIME(VALUE(MID(C15,12,2)),VALUE(MID(C15,15,2)),VALUE(MID(C15,18,2)))-IF(AND(DATE(VALUE(LEFT(C15,4)),VALUE(MID(C15,6,2)),VALUE(MID(C15,9,2)))+TIME(VALUE(MID(C15,12,2)),VALUE(MID(C15,15,2)),VALUE(MID(C15,18,2)))&gt;=DATE(VALUE(LEFT(C15,4)),3,1)+MOD(8-WEEKDAY(DATE(VALUE(LEFT(C15,4)),3,1)),7)+7+TIME(7,0,0),DATE(VALUE(LEFT(C15,4)),3,1)+MOD(8-WEEKDAY(DATE(VALUE(LEFT(C15,4)),3,1)),7)+7+TIME(7,0,0)&lt;DATE(VALUE(LEFT(C15,4)),11,1)+MOD(8-WEEKDAY(DATE(VALUE(LEFT(C15,4)),11,1)),7)+TIME(6,0,0)), TIME(4,0,0),TIME(5,0,0)))</f>
        <v/>
      </c>
      <c r="E15" s="3">
        <f>IF(D15="","",MOD(D15,1))</f>
        <v/>
      </c>
      <c r="F15">
        <f>IF(D15="","",TEXT(D15,"mmm"))</f>
        <v/>
      </c>
      <c r="G15">
        <f>IF(D15="","",YEAR(D15))</f>
        <v/>
      </c>
      <c r="H15">
        <f>IF(D15="","",HOUR(D15))</f>
        <v/>
      </c>
      <c r="I15" t="inlineStr">
        <is>
          <t>26-29837_639153190790636655</t>
        </is>
      </c>
      <c r="J15" t="inlineStr">
        <is>
          <t>FIRE||TRANSPORTATION_FIRE||VEHICLE_FIRE_COMMERCIAL</t>
        </is>
      </c>
      <c r="K15" t="inlineStr"/>
      <c r="L15" t="inlineStr"/>
      <c r="M15" t="inlineStr">
        <is>
          <t>Potter Mountain</t>
        </is>
      </c>
      <c r="N15" t="inlineStr">
        <is>
          <t>Lanesborough</t>
        </is>
      </c>
      <c r="O15" t="inlineStr">
        <is>
          <t>MA</t>
        </is>
      </c>
      <c r="P15" t="inlineStr">
        <is>
          <t>01237</t>
        </is>
      </c>
      <c r="Q15" t="inlineStr">
        <is>
          <t>Berkshire County</t>
        </is>
      </c>
      <c r="R15" t="inlineStr">
        <is>
          <t>OUTDOOR_INDUSTRIAL</t>
        </is>
      </c>
      <c r="S15" t="inlineStr">
        <is>
          <t>DUMP_LANDFILL</t>
        </is>
      </c>
      <c r="T15" t="inlineStr"/>
      <c r="U15" t="inlineStr"/>
      <c r="V15" t="inlineStr">
        <is>
          <t>FD25003648|26-29837_639153190790636655|1779708840</t>
        </is>
      </c>
      <c r="W15" t="inlineStr"/>
      <c r="X15" t="inlineStr"/>
      <c r="Y15" t="inlineStr"/>
      <c r="Z15" t="inlineStr"/>
      <c r="AA15" t="inlineStr"/>
      <c r="AB15" t="inlineStr"/>
      <c r="AC15" t="inlineStr">
        <is>
          <t>ELECTRIC_VEHICLE||BUS_RR||FUEL_CELL</t>
        </is>
      </c>
      <c r="AD15" t="inlineStr">
        <is>
          <t>SOURCE</t>
        </is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n">
        <v>0</v>
      </c>
      <c r="AU15" t="n">
        <v>0</v>
      </c>
      <c r="AV15" t="n">
        <v>0</v>
      </c>
      <c r="AW15" t="n">
        <v>0</v>
      </c>
    </row>
    <row r="16">
      <c r="A16" t="inlineStr">
        <is>
          <t>FD25005059</t>
        </is>
      </c>
      <c r="B16" t="inlineStr">
        <is>
          <t>Swansea Fire Department</t>
        </is>
      </c>
      <c r="C16" t="inlineStr">
        <is>
          <t>2026-04-08T10:00:00+00:00</t>
        </is>
      </c>
      <c r="D16" s="2">
        <f>IF(C16="","",DATE(VALUE(LEFT(C16,4)),VALUE(MID(C16,6,2)),VALUE(MID(C16,9,2)))+TIME(VALUE(MID(C16,12,2)),VALUE(MID(C16,15,2)),VALUE(MID(C16,18,2)))-IF(AND(DATE(VALUE(LEFT(C16,4)),VALUE(MID(C16,6,2)),VALUE(MID(C16,9,2)))+TIME(VALUE(MID(C16,12,2)),VALUE(MID(C16,15,2)),VALUE(MID(C16,18,2)))&gt;=DATE(VALUE(LEFT(C16,4)),3,1)+MOD(8-WEEKDAY(DATE(VALUE(LEFT(C16,4)),3,1)),7)+7+TIME(7,0,0),DATE(VALUE(LEFT(C16,4)),3,1)+MOD(8-WEEKDAY(DATE(VALUE(LEFT(C16,4)),3,1)),7)+7+TIME(7,0,0)&lt;DATE(VALUE(LEFT(C16,4)),11,1)+MOD(8-WEEKDAY(DATE(VALUE(LEFT(C16,4)),11,1)),7)+TIME(6,0,0)), TIME(4,0,0),TIME(5,0,0)))</f>
        <v/>
      </c>
      <c r="E16" s="3">
        <f>IF(D16="","",MOD(D16,1))</f>
        <v/>
      </c>
      <c r="F16">
        <f>IF(D16="","",TEXT(D16,"mmm"))</f>
        <v/>
      </c>
      <c r="G16">
        <f>IF(D16="","",YEAR(D16))</f>
        <v/>
      </c>
      <c r="H16">
        <f>IF(D16="","",HOUR(D16))</f>
        <v/>
      </c>
      <c r="I16" t="inlineStr">
        <is>
          <t>cee7f654-7a78-4f47-8ed3-7c47661437e5</t>
        </is>
      </c>
      <c r="J16" t="inlineStr">
        <is>
          <t>RESCUE||STRUCTURE||BUILDING_STRUCTURE_COLLAPSE</t>
        </is>
      </c>
      <c r="K16" t="inlineStr">
        <is>
          <t>HAZSIT||HAZARD_NONCHEM||MOTOR_VEHICLE_COLLISION</t>
        </is>
      </c>
      <c r="L16" t="inlineStr"/>
      <c r="M16" t="inlineStr">
        <is>
          <t>Swansea Mall</t>
        </is>
      </c>
      <c r="N16" t="inlineStr">
        <is>
          <t>Swansea</t>
        </is>
      </c>
      <c r="O16" t="inlineStr">
        <is>
          <t>MA</t>
        </is>
      </c>
      <c r="P16" t="inlineStr">
        <is>
          <t>02777</t>
        </is>
      </c>
      <c r="Q16" t="inlineStr">
        <is>
          <t>Bristol County</t>
        </is>
      </c>
      <c r="R16" t="inlineStr">
        <is>
          <t>HEALTH_CARE</t>
        </is>
      </c>
      <c r="S16" t="inlineStr">
        <is>
          <t>MEDICAL_OFFICE_CLINIC</t>
        </is>
      </c>
      <c r="T16" t="inlineStr"/>
      <c r="U16" t="inlineStr"/>
      <c r="V16" t="inlineStr">
        <is>
          <t>FD25005059|26-0000906|1775642400</t>
        </is>
      </c>
      <c r="W16" t="inlineStr"/>
      <c r="X16" t="inlineStr"/>
      <c r="Y16" t="inlineStr"/>
      <c r="Z16" t="inlineStr"/>
      <c r="AA16" t="inlineStr"/>
      <c r="AB16" t="inlineStr"/>
      <c r="AC16" t="inlineStr">
        <is>
          <t>ELECTRIC_VEHICLE||CAR_RR||FULL_ELECTRIC</t>
        </is>
      </c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n">
        <v>0</v>
      </c>
      <c r="AU16" t="n">
        <v>0</v>
      </c>
      <c r="AV16" t="n">
        <v>0</v>
      </c>
      <c r="AW16" t="n">
        <v>0</v>
      </c>
    </row>
    <row r="17">
      <c r="A17" t="inlineStr">
        <is>
          <t>FD25005492</t>
        </is>
      </c>
      <c r="B17" t="inlineStr">
        <is>
          <t>Town Of North Attleboro Fire Department</t>
        </is>
      </c>
      <c r="C17" t="inlineStr">
        <is>
          <t>2026-07-25T21:28:22+00:00</t>
        </is>
      </c>
      <c r="D17" s="2">
        <f>IF(C17="","",DATE(VALUE(LEFT(C17,4)),VALUE(MID(C17,6,2)),VALUE(MID(C17,9,2)))+TIME(VALUE(MID(C17,12,2)),VALUE(MID(C17,15,2)),VALUE(MID(C17,18,2)))-IF(AND(DATE(VALUE(LEFT(C17,4)),VALUE(MID(C17,6,2)),VALUE(MID(C17,9,2)))+TIME(VALUE(MID(C17,12,2)),VALUE(MID(C17,15,2)),VALUE(MID(C17,18,2)))&gt;=DATE(VALUE(LEFT(C17,4)),3,1)+MOD(8-WEEKDAY(DATE(VALUE(LEFT(C17,4)),3,1)),7)+7+TIME(7,0,0),DATE(VALUE(LEFT(C17,4)),3,1)+MOD(8-WEEKDAY(DATE(VALUE(LEFT(C17,4)),3,1)),7)+7+TIME(7,0,0)&lt;DATE(VALUE(LEFT(C17,4)),11,1)+MOD(8-WEEKDAY(DATE(VALUE(LEFT(C17,4)),11,1)),7)+TIME(6,0,0)), TIME(4,0,0),TIME(5,0,0)))</f>
        <v/>
      </c>
      <c r="E17" s="3">
        <f>IF(D17="","",MOD(D17,1))</f>
        <v/>
      </c>
      <c r="F17">
        <f>IF(D17="","",TEXT(D17,"mmm"))</f>
        <v/>
      </c>
      <c r="G17">
        <f>IF(D17="","",YEAR(D17))</f>
        <v/>
      </c>
      <c r="H17">
        <f>IF(D17="","",HOUR(D17))</f>
        <v/>
      </c>
      <c r="I17" t="inlineStr">
        <is>
          <t>2026003195</t>
        </is>
      </c>
      <c r="J17" t="inlineStr">
        <is>
          <t>HAZSIT||HAZARD_NONCHEM||ELEC_HAZARD_SHORT_CIRCUIT</t>
        </is>
      </c>
      <c r="K17" t="inlineStr"/>
      <c r="L17" t="inlineStr"/>
      <c r="M17" t="inlineStr">
        <is>
          <t>Adamsdale</t>
        </is>
      </c>
      <c r="N17" t="inlineStr">
        <is>
          <t>North Attleboro</t>
        </is>
      </c>
      <c r="O17" t="inlineStr">
        <is>
          <t>MA</t>
        </is>
      </c>
      <c r="P17" t="inlineStr">
        <is>
          <t>02760</t>
        </is>
      </c>
      <c r="Q17" t="inlineStr">
        <is>
          <t>Bristol County</t>
        </is>
      </c>
      <c r="R17" t="inlineStr">
        <is>
          <t>RESIDENTIAL</t>
        </is>
      </c>
      <c r="S17" t="inlineStr">
        <is>
          <t>DETATCHED_SINGLE_FAMILY_DWELLING</t>
        </is>
      </c>
      <c r="T17" t="inlineStr"/>
      <c r="U17" t="inlineStr"/>
      <c r="V17" t="inlineStr">
        <is>
          <t>FD25005492|2026003195|1785014961</t>
        </is>
      </c>
      <c r="W17" t="inlineStr"/>
      <c r="X17" t="inlineStr"/>
      <c r="Y17" t="inlineStr"/>
      <c r="Z17" t="inlineStr"/>
      <c r="AA17" t="inlineStr"/>
      <c r="AB17" t="inlineStr"/>
      <c r="AC17" t="inlineStr">
        <is>
          <t>CONSUMER_PRODUCTS||POWER_BANK</t>
        </is>
      </c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n">
        <v>0</v>
      </c>
      <c r="AU17" t="n">
        <v>0</v>
      </c>
      <c r="AV17" t="n">
        <v>0</v>
      </c>
      <c r="AW17" t="n">
        <v>0</v>
      </c>
    </row>
    <row r="18">
      <c r="A18" t="inlineStr">
        <is>
          <t>FD25005492</t>
        </is>
      </c>
      <c r="B18" t="inlineStr">
        <is>
          <t>Town Of North Attleboro Fire Department</t>
        </is>
      </c>
      <c r="C18" t="inlineStr">
        <is>
          <t>2026-05-19T12:07:08+00:00</t>
        </is>
      </c>
      <c r="D18" s="2">
        <f>IF(C18="","",DATE(VALUE(LEFT(C18,4)),VALUE(MID(C18,6,2)),VALUE(MID(C18,9,2)))+TIME(VALUE(MID(C18,12,2)),VALUE(MID(C18,15,2)),VALUE(MID(C18,18,2)))-IF(AND(DATE(VALUE(LEFT(C18,4)),VALUE(MID(C18,6,2)),VALUE(MID(C18,9,2)))+TIME(VALUE(MID(C18,12,2)),VALUE(MID(C18,15,2)),VALUE(MID(C18,18,2)))&gt;=DATE(VALUE(LEFT(C18,4)),3,1)+MOD(8-WEEKDAY(DATE(VALUE(LEFT(C18,4)),3,1)),7)+7+TIME(7,0,0),DATE(VALUE(LEFT(C18,4)),3,1)+MOD(8-WEEKDAY(DATE(VALUE(LEFT(C18,4)),3,1)),7)+7+TIME(7,0,0)&lt;DATE(VALUE(LEFT(C18,4)),11,1)+MOD(8-WEEKDAY(DATE(VALUE(LEFT(C18,4)),11,1)),7)+TIME(6,0,0)), TIME(4,0,0),TIME(5,0,0)))</f>
        <v/>
      </c>
      <c r="E18" s="3">
        <f>IF(D18="","",MOD(D18,1))</f>
        <v/>
      </c>
      <c r="F18">
        <f>IF(D18="","",TEXT(D18,"mmm"))</f>
        <v/>
      </c>
      <c r="G18">
        <f>IF(D18="","",YEAR(D18))</f>
        <v/>
      </c>
      <c r="H18">
        <f>IF(D18="","",HOUR(D18))</f>
        <v/>
      </c>
      <c r="I18" t="inlineStr">
        <is>
          <t>2026002048</t>
        </is>
      </c>
      <c r="J18" t="inlineStr">
        <is>
          <t>FIRE||TRANSPORTATION_FIRE||VEHICLE_FIRE_PASSENGER</t>
        </is>
      </c>
      <c r="K18" t="inlineStr"/>
      <c r="L18" t="inlineStr"/>
      <c r="M18" t="inlineStr">
        <is>
          <t>N Washington</t>
        </is>
      </c>
      <c r="N18" t="inlineStr">
        <is>
          <t>North Attleboro</t>
        </is>
      </c>
      <c r="O18" t="inlineStr">
        <is>
          <t>MA</t>
        </is>
      </c>
      <c r="P18" t="inlineStr">
        <is>
          <t>02760</t>
        </is>
      </c>
      <c r="Q18" t="inlineStr">
        <is>
          <t>Bristol County</t>
        </is>
      </c>
      <c r="R18" t="inlineStr">
        <is>
          <t>COMMERCIAL</t>
        </is>
      </c>
      <c r="S18" t="inlineStr">
        <is>
          <t>VEHICLE_REPAIR_SERVICES</t>
        </is>
      </c>
      <c r="T18" t="inlineStr"/>
      <c r="U18" t="inlineStr"/>
      <c r="V18" t="inlineStr">
        <is>
          <t>FD25005492|2026002048|1779192524</t>
        </is>
      </c>
      <c r="W18" t="inlineStr"/>
      <c r="X18" t="inlineStr"/>
      <c r="Y18" t="inlineStr"/>
      <c r="Z18" t="inlineStr"/>
      <c r="AA18" t="inlineStr"/>
      <c r="AB18" t="inlineStr"/>
      <c r="AC18" t="inlineStr">
        <is>
          <t>ELECTRIC_VEHICLE||CAR_RR||FULL_ELECTRIC</t>
        </is>
      </c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n">
        <v>0</v>
      </c>
      <c r="AU18" t="n">
        <v>0</v>
      </c>
      <c r="AV18" t="n">
        <v>0</v>
      </c>
      <c r="AW18" t="n">
        <v>0</v>
      </c>
    </row>
    <row r="19">
      <c r="A19" t="inlineStr">
        <is>
          <t>FD25005492</t>
        </is>
      </c>
      <c r="B19" t="inlineStr">
        <is>
          <t>Town Of North Attleboro Fire Department</t>
        </is>
      </c>
      <c r="C19" t="inlineStr">
        <is>
          <t>2026-05-17T20:46:23+00:00</t>
        </is>
      </c>
      <c r="D19" s="2">
        <f>IF(C19="","",DATE(VALUE(LEFT(C19,4)),VALUE(MID(C19,6,2)),VALUE(MID(C19,9,2)))+TIME(VALUE(MID(C19,12,2)),VALUE(MID(C19,15,2)),VALUE(MID(C19,18,2)))-IF(AND(DATE(VALUE(LEFT(C19,4)),VALUE(MID(C19,6,2)),VALUE(MID(C19,9,2)))+TIME(VALUE(MID(C19,12,2)),VALUE(MID(C19,15,2)),VALUE(MID(C19,18,2)))&gt;=DATE(VALUE(LEFT(C19,4)),3,1)+MOD(8-WEEKDAY(DATE(VALUE(LEFT(C19,4)),3,1)),7)+7+TIME(7,0,0),DATE(VALUE(LEFT(C19,4)),3,1)+MOD(8-WEEKDAY(DATE(VALUE(LEFT(C19,4)),3,1)),7)+7+TIME(7,0,0)&lt;DATE(VALUE(LEFT(C19,4)),11,1)+MOD(8-WEEKDAY(DATE(VALUE(LEFT(C19,4)),11,1)),7)+TIME(6,0,0)), TIME(4,0,0),TIME(5,0,0)))</f>
        <v/>
      </c>
      <c r="E19" s="3">
        <f>IF(D19="","",MOD(D19,1))</f>
        <v/>
      </c>
      <c r="F19">
        <f>IF(D19="","",TEXT(D19,"mmm"))</f>
        <v/>
      </c>
      <c r="G19">
        <f>IF(D19="","",YEAR(D19))</f>
        <v/>
      </c>
      <c r="H19">
        <f>IF(D19="","",HOUR(D19))</f>
        <v/>
      </c>
      <c r="I19" t="inlineStr">
        <is>
          <t>2026002032</t>
        </is>
      </c>
      <c r="J19" t="inlineStr">
        <is>
          <t>NOEMERG||GOOD_INTENT||INVESTIGATE_HAZARDOUS_RELEASE</t>
        </is>
      </c>
      <c r="K19" t="inlineStr"/>
      <c r="L19" t="inlineStr"/>
      <c r="M19" t="inlineStr">
        <is>
          <t>N Washington</t>
        </is>
      </c>
      <c r="N19" t="inlineStr">
        <is>
          <t>North Attleboro</t>
        </is>
      </c>
      <c r="O19" t="inlineStr">
        <is>
          <t>MA</t>
        </is>
      </c>
      <c r="P19" t="inlineStr">
        <is>
          <t>02760</t>
        </is>
      </c>
      <c r="Q19" t="inlineStr">
        <is>
          <t>Bristol County</t>
        </is>
      </c>
      <c r="R19" t="inlineStr">
        <is>
          <t>ROADWAY_ACCESS</t>
        </is>
      </c>
      <c r="S19" t="inlineStr">
        <is>
          <t>PARKING_LOT_GARAGE</t>
        </is>
      </c>
      <c r="T19" t="inlineStr"/>
      <c r="U19" t="inlineStr"/>
      <c r="V19" t="inlineStr">
        <is>
          <t>FD25005492|2026002032|1779050862</t>
        </is>
      </c>
      <c r="W19" t="inlineStr"/>
      <c r="X19" t="inlineStr"/>
      <c r="Y19" t="inlineStr"/>
      <c r="Z19" t="inlineStr"/>
      <c r="AA19" t="inlineStr"/>
      <c r="AB19" t="inlineStr"/>
      <c r="AC19" t="inlineStr">
        <is>
          <t>ELECTRIC_VEHICLE||CAR_RR||FULL_ELECTRIC</t>
        </is>
      </c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n">
        <v>0</v>
      </c>
      <c r="AU19" t="n">
        <v>0</v>
      </c>
      <c r="AV19" t="n">
        <v>0</v>
      </c>
      <c r="AW19" t="n">
        <v>0</v>
      </c>
    </row>
    <row r="20">
      <c r="A20" t="inlineStr">
        <is>
          <t>FD25005824</t>
        </is>
      </c>
      <c r="B20" t="inlineStr">
        <is>
          <t>Taunton Fire Department</t>
        </is>
      </c>
      <c r="C20" t="inlineStr">
        <is>
          <t>2026-04-17T10:08:35+00:00</t>
        </is>
      </c>
      <c r="D20" s="2">
        <f>IF(C20="","",DATE(VALUE(LEFT(C20,4)),VALUE(MID(C20,6,2)),VALUE(MID(C20,9,2)))+TIME(VALUE(MID(C20,12,2)),VALUE(MID(C20,15,2)),VALUE(MID(C20,18,2)))-IF(AND(DATE(VALUE(LEFT(C20,4)),VALUE(MID(C20,6,2)),VALUE(MID(C20,9,2)))+TIME(VALUE(MID(C20,12,2)),VALUE(MID(C20,15,2)),VALUE(MID(C20,18,2)))&gt;=DATE(VALUE(LEFT(C20,4)),3,1)+MOD(8-WEEKDAY(DATE(VALUE(LEFT(C20,4)),3,1)),7)+7+TIME(7,0,0),DATE(VALUE(LEFT(C20,4)),3,1)+MOD(8-WEEKDAY(DATE(VALUE(LEFT(C20,4)),3,1)),7)+7+TIME(7,0,0)&lt;DATE(VALUE(LEFT(C20,4)),11,1)+MOD(8-WEEKDAY(DATE(VALUE(LEFT(C20,4)),11,1)),7)+TIME(6,0,0)), TIME(4,0,0),TIME(5,0,0)))</f>
        <v/>
      </c>
      <c r="E20" s="3">
        <f>IF(D20="","",MOD(D20,1))</f>
        <v/>
      </c>
      <c r="F20">
        <f>IF(D20="","",TEXT(D20,"mmm"))</f>
        <v/>
      </c>
      <c r="G20">
        <f>IF(D20="","",YEAR(D20))</f>
        <v/>
      </c>
      <c r="H20">
        <f>IF(D20="","",HOUR(D20))</f>
        <v/>
      </c>
      <c r="I20" t="inlineStr">
        <is>
          <t>2026004441</t>
        </is>
      </c>
      <c r="J20" t="inlineStr">
        <is>
          <t>FIRE||STRUCTURE_FIRE||CONFINED_COOKING_APPLIANCE_FIRE</t>
        </is>
      </c>
      <c r="K20" t="inlineStr"/>
      <c r="L20" t="inlineStr"/>
      <c r="M20" t="inlineStr">
        <is>
          <t>County Apt 1</t>
        </is>
      </c>
      <c r="N20" t="inlineStr">
        <is>
          <t>Taunton</t>
        </is>
      </c>
      <c r="O20" t="inlineStr">
        <is>
          <t>MA</t>
        </is>
      </c>
      <c r="P20" t="inlineStr">
        <is>
          <t>02780</t>
        </is>
      </c>
      <c r="Q20" t="inlineStr">
        <is>
          <t>Bristol County</t>
        </is>
      </c>
      <c r="R20" t="inlineStr">
        <is>
          <t>COMMERCIAL</t>
        </is>
      </c>
      <c r="S20" t="inlineStr">
        <is>
          <t>RESTAURANT_CAFE</t>
        </is>
      </c>
      <c r="T20" t="inlineStr"/>
      <c r="U20" t="inlineStr"/>
      <c r="V20" t="inlineStr">
        <is>
          <t>FD25005824|2026004441|1776420547</t>
        </is>
      </c>
      <c r="W20" t="inlineStr"/>
      <c r="X20" t="inlineStr"/>
      <c r="Y20" t="inlineStr"/>
      <c r="Z20" t="inlineStr"/>
      <c r="AA20" t="inlineStr"/>
      <c r="AB20" t="inlineStr"/>
      <c r="AC20" t="inlineStr">
        <is>
          <t>CONSUMER_PRODUCTS||OTHER</t>
        </is>
      </c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n">
        <v>0</v>
      </c>
      <c r="AU20" t="n">
        <v>0</v>
      </c>
      <c r="AV20" t="n">
        <v>0</v>
      </c>
      <c r="AW20" t="n">
        <v>0</v>
      </c>
    </row>
    <row r="21">
      <c r="A21" t="inlineStr">
        <is>
          <t>FD25005824</t>
        </is>
      </c>
      <c r="B21" t="inlineStr">
        <is>
          <t>Taunton Fire Department</t>
        </is>
      </c>
      <c r="C21" t="inlineStr">
        <is>
          <t>2026-03-07T17:50:24+00:00</t>
        </is>
      </c>
      <c r="D21" s="2">
        <f>IF(C21="","",DATE(VALUE(LEFT(C21,4)),VALUE(MID(C21,6,2)),VALUE(MID(C21,9,2)))+TIME(VALUE(MID(C21,12,2)),VALUE(MID(C21,15,2)),VALUE(MID(C21,18,2)))-IF(AND(DATE(VALUE(LEFT(C21,4)),VALUE(MID(C21,6,2)),VALUE(MID(C21,9,2)))+TIME(VALUE(MID(C21,12,2)),VALUE(MID(C21,15,2)),VALUE(MID(C21,18,2)))&gt;=DATE(VALUE(LEFT(C21,4)),3,1)+MOD(8-WEEKDAY(DATE(VALUE(LEFT(C21,4)),3,1)),7)+7+TIME(7,0,0),DATE(VALUE(LEFT(C21,4)),3,1)+MOD(8-WEEKDAY(DATE(VALUE(LEFT(C21,4)),3,1)),7)+7+TIME(7,0,0)&lt;DATE(VALUE(LEFT(C21,4)),11,1)+MOD(8-WEEKDAY(DATE(VALUE(LEFT(C21,4)),11,1)),7)+TIME(6,0,0)), TIME(4,0,0),TIME(5,0,0)))</f>
        <v/>
      </c>
      <c r="E21" s="3">
        <f>IF(D21="","",MOD(D21,1))</f>
        <v/>
      </c>
      <c r="F21">
        <f>IF(D21="","",TEXT(D21,"mmm"))</f>
        <v/>
      </c>
      <c r="G21">
        <f>IF(D21="","",YEAR(D21))</f>
        <v/>
      </c>
      <c r="H21">
        <f>IF(D21="","",HOUR(D21))</f>
        <v/>
      </c>
      <c r="I21" t="inlineStr">
        <is>
          <t>2026002718</t>
        </is>
      </c>
      <c r="J21" t="inlineStr">
        <is>
          <t>NOEMERG||GOOD_INTENT||SMOKE_FROM_NONHOSTILE_SOURCE</t>
        </is>
      </c>
      <c r="K21" t="inlineStr"/>
      <c r="L21" t="inlineStr"/>
      <c r="M21" t="inlineStr">
        <is>
          <t>Broadway Apt 6</t>
        </is>
      </c>
      <c r="N21" t="inlineStr">
        <is>
          <t>Taunton</t>
        </is>
      </c>
      <c r="O21" t="inlineStr">
        <is>
          <t>MA</t>
        </is>
      </c>
      <c r="P21" t="inlineStr">
        <is>
          <t>02780</t>
        </is>
      </c>
      <c r="Q21" t="inlineStr">
        <is>
          <t>Bristol County</t>
        </is>
      </c>
      <c r="R21" t="inlineStr">
        <is>
          <t>COMMERCIAL</t>
        </is>
      </c>
      <c r="S21" t="inlineStr">
        <is>
          <t>RETAIL_WHOLESALE_TRADE</t>
        </is>
      </c>
      <c r="T21" t="inlineStr"/>
      <c r="U21" t="inlineStr"/>
      <c r="V21" t="inlineStr">
        <is>
          <t>FD25005824|2026002718|1772905872</t>
        </is>
      </c>
      <c r="W21" t="inlineStr"/>
      <c r="X21" t="inlineStr"/>
      <c r="Y21" t="inlineStr"/>
      <c r="Z21" t="inlineStr"/>
      <c r="AA21" t="inlineStr"/>
      <c r="AB21" t="inlineStr"/>
      <c r="AC21" t="inlineStr">
        <is>
          <t>CONSUMER_PRODUCTS||APPLIANCE_TOOL</t>
        </is>
      </c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FD25005831</t>
        </is>
      </c>
      <c r="B22" t="inlineStr">
        <is>
          <t>Fall River Fire Department</t>
        </is>
      </c>
      <c r="C22" t="inlineStr">
        <is>
          <t>2026-05-10T21:33:00+00:00</t>
        </is>
      </c>
      <c r="D22" s="2">
        <f>IF(C22="","",DATE(VALUE(LEFT(C22,4)),VALUE(MID(C22,6,2)),VALUE(MID(C22,9,2)))+TIME(VALUE(MID(C22,12,2)),VALUE(MID(C22,15,2)),VALUE(MID(C22,18,2)))-IF(AND(DATE(VALUE(LEFT(C22,4)),VALUE(MID(C22,6,2)),VALUE(MID(C22,9,2)))+TIME(VALUE(MID(C22,12,2)),VALUE(MID(C22,15,2)),VALUE(MID(C22,18,2)))&gt;=DATE(VALUE(LEFT(C22,4)),3,1)+MOD(8-WEEKDAY(DATE(VALUE(LEFT(C22,4)),3,1)),7)+7+TIME(7,0,0),DATE(VALUE(LEFT(C22,4)),3,1)+MOD(8-WEEKDAY(DATE(VALUE(LEFT(C22,4)),3,1)),7)+7+TIME(7,0,0)&lt;DATE(VALUE(LEFT(C22,4)),11,1)+MOD(8-WEEKDAY(DATE(VALUE(LEFT(C22,4)),11,1)),7)+TIME(6,0,0)), TIME(4,0,0),TIME(5,0,0)))</f>
        <v/>
      </c>
      <c r="E22" s="3">
        <f>IF(D22="","",MOD(D22,1))</f>
        <v/>
      </c>
      <c r="F22">
        <f>IF(D22="","",TEXT(D22,"mmm"))</f>
        <v/>
      </c>
      <c r="G22">
        <f>IF(D22="","",YEAR(D22))</f>
        <v/>
      </c>
      <c r="H22">
        <f>IF(D22="","",HOUR(D22))</f>
        <v/>
      </c>
      <c r="I22" t="inlineStr">
        <is>
          <t>23bc245c-413d-407e-84df-8a8f530c0985</t>
        </is>
      </c>
      <c r="J22" t="inlineStr">
        <is>
          <t>FIRE||STRUCTURE_FIRE||ROOM_AND_CONTENTS_FIRE</t>
        </is>
      </c>
      <c r="K22" t="inlineStr"/>
      <c r="L22" t="inlineStr"/>
      <c r="M22" t="inlineStr">
        <is>
          <t>N Main</t>
        </is>
      </c>
      <c r="N22" t="inlineStr">
        <is>
          <t>Fall River</t>
        </is>
      </c>
      <c r="O22" t="inlineStr">
        <is>
          <t>MA</t>
        </is>
      </c>
      <c r="P22" t="inlineStr">
        <is>
          <t>02720</t>
        </is>
      </c>
      <c r="Q22" t="inlineStr">
        <is>
          <t>Bristol County</t>
        </is>
      </c>
      <c r="R22" t="inlineStr">
        <is>
          <t>RESIDENTIAL</t>
        </is>
      </c>
      <c r="S22" t="inlineStr">
        <is>
          <t>CONGREGATE_HOUSING</t>
        </is>
      </c>
      <c r="T22" t="inlineStr"/>
      <c r="U22" t="inlineStr"/>
      <c r="V22" t="inlineStr">
        <is>
          <t>FD25005831|26-2512-IN|1778448960</t>
        </is>
      </c>
      <c r="W22" t="inlineStr"/>
      <c r="X22" t="inlineStr"/>
      <c r="Y22" t="inlineStr"/>
      <c r="Z22" t="inlineStr"/>
      <c r="AA22" t="inlineStr"/>
      <c r="AB22" t="inlineStr"/>
      <c r="AC22" t="inlineStr">
        <is>
          <t>CONSUMER_PRODUCTS||CELL_PHONE</t>
        </is>
      </c>
      <c r="AD22" t="inlineStr">
        <is>
          <t>UNKNOWN</t>
        </is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n">
        <v>0</v>
      </c>
      <c r="AU22" t="n">
        <v>0</v>
      </c>
      <c r="AV22" t="n">
        <v>0</v>
      </c>
      <c r="AW22" t="n">
        <v>0</v>
      </c>
    </row>
    <row r="23">
      <c r="A23" t="inlineStr">
        <is>
          <t>FD25005831</t>
        </is>
      </c>
      <c r="B23" t="inlineStr">
        <is>
          <t>Fall River Fire Department</t>
        </is>
      </c>
      <c r="C23" t="inlineStr">
        <is>
          <t>2026-02-17T21:04:00+00:00</t>
        </is>
      </c>
      <c r="D23" s="2">
        <f>IF(C23="","",DATE(VALUE(LEFT(C23,4)),VALUE(MID(C23,6,2)),VALUE(MID(C23,9,2)))+TIME(VALUE(MID(C23,12,2)),VALUE(MID(C23,15,2)),VALUE(MID(C23,18,2)))-IF(AND(DATE(VALUE(LEFT(C23,4)),VALUE(MID(C23,6,2)),VALUE(MID(C23,9,2)))+TIME(VALUE(MID(C23,12,2)),VALUE(MID(C23,15,2)),VALUE(MID(C23,18,2)))&gt;=DATE(VALUE(LEFT(C23,4)),3,1)+MOD(8-WEEKDAY(DATE(VALUE(LEFT(C23,4)),3,1)),7)+7+TIME(7,0,0),DATE(VALUE(LEFT(C23,4)),3,1)+MOD(8-WEEKDAY(DATE(VALUE(LEFT(C23,4)),3,1)),7)+7+TIME(7,0,0)&lt;DATE(VALUE(LEFT(C23,4)),11,1)+MOD(8-WEEKDAY(DATE(VALUE(LEFT(C23,4)),11,1)),7)+TIME(6,0,0)), TIME(4,0,0),TIME(5,0,0)))</f>
        <v/>
      </c>
      <c r="E23" s="3">
        <f>IF(D23="","",MOD(D23,1))</f>
        <v/>
      </c>
      <c r="F23">
        <f>IF(D23="","",TEXT(D23,"mmm"))</f>
        <v/>
      </c>
      <c r="G23">
        <f>IF(D23="","",YEAR(D23))</f>
        <v/>
      </c>
      <c r="H23">
        <f>IF(D23="","",HOUR(D23))</f>
        <v/>
      </c>
      <c r="I23" t="inlineStr">
        <is>
          <t>8289a8bb-dac1-4cae-8e12-c7dccfe0ff36</t>
        </is>
      </c>
      <c r="J23" t="inlineStr">
        <is>
          <t>HAZSIT||OVERPRESSURE||RUPTURE_WITHOUT_FIRE</t>
        </is>
      </c>
      <c r="K23" t="inlineStr"/>
      <c r="L23" t="inlineStr"/>
      <c r="M23" t="inlineStr">
        <is>
          <t>W Main</t>
        </is>
      </c>
      <c r="N23" t="inlineStr">
        <is>
          <t>Zanesville</t>
        </is>
      </c>
      <c r="O23" t="inlineStr">
        <is>
          <t>OH</t>
        </is>
      </c>
      <c r="P23" t="inlineStr">
        <is>
          <t>43701</t>
        </is>
      </c>
      <c r="Q23" t="inlineStr">
        <is>
          <t>Muskingum County</t>
        </is>
      </c>
      <c r="R23" t="inlineStr">
        <is>
          <t>COMMERCIAL</t>
        </is>
      </c>
      <c r="S23" t="inlineStr">
        <is>
          <t>RETAIL_WHOLESALE_TRADE</t>
        </is>
      </c>
      <c r="T23" t="inlineStr"/>
      <c r="U23" t="inlineStr"/>
      <c r="V23" t="inlineStr">
        <is>
          <t>FD25005831|26-873-IN|1771362420</t>
        </is>
      </c>
      <c r="W23" t="inlineStr"/>
      <c r="X23" t="inlineStr"/>
      <c r="Y23" t="inlineStr"/>
      <c r="Z23" t="inlineStr"/>
      <c r="AA23" t="inlineStr"/>
      <c r="AB23" t="inlineStr"/>
      <c r="AC23" t="inlineStr">
        <is>
          <t>E_MOBILITY||POWER_ASSISTED_BICYCLE</t>
        </is>
      </c>
      <c r="AD23" t="inlineStr">
        <is>
          <t>SOURCE</t>
        </is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n">
        <v>0</v>
      </c>
      <c r="AU23" t="n">
        <v>0</v>
      </c>
      <c r="AV23" t="n">
        <v>0</v>
      </c>
      <c r="AW23" t="n">
        <v>0</v>
      </c>
    </row>
    <row r="24">
      <c r="A24" t="inlineStr">
        <is>
          <t>FD25009914</t>
        </is>
      </c>
      <c r="B24" t="inlineStr">
        <is>
          <t>Merrimac Fire Department</t>
        </is>
      </c>
      <c r="C24" t="inlineStr">
        <is>
          <t>2026-05-23T14:49:46+00:00</t>
        </is>
      </c>
      <c r="D24" s="2">
        <f>IF(C24="","",DATE(VALUE(LEFT(C24,4)),VALUE(MID(C24,6,2)),VALUE(MID(C24,9,2)))+TIME(VALUE(MID(C24,12,2)),VALUE(MID(C24,15,2)),VALUE(MID(C24,18,2)))-IF(AND(DATE(VALUE(LEFT(C24,4)),VALUE(MID(C24,6,2)),VALUE(MID(C24,9,2)))+TIME(VALUE(MID(C24,12,2)),VALUE(MID(C24,15,2)),VALUE(MID(C24,18,2)))&gt;=DATE(VALUE(LEFT(C24,4)),3,1)+MOD(8-WEEKDAY(DATE(VALUE(LEFT(C24,4)),3,1)),7)+7+TIME(7,0,0),DATE(VALUE(LEFT(C24,4)),3,1)+MOD(8-WEEKDAY(DATE(VALUE(LEFT(C24,4)),3,1)),7)+7+TIME(7,0,0)&lt;DATE(VALUE(LEFT(C24,4)),11,1)+MOD(8-WEEKDAY(DATE(VALUE(LEFT(C24,4)),11,1)),7)+TIME(6,0,0)), TIME(4,0,0),TIME(5,0,0)))</f>
        <v/>
      </c>
      <c r="E24" s="3">
        <f>IF(D24="","",MOD(D24,1))</f>
        <v/>
      </c>
      <c r="F24">
        <f>IF(D24="","",TEXT(D24,"mmm"))</f>
        <v/>
      </c>
      <c r="G24">
        <f>IF(D24="","",YEAR(D24))</f>
        <v/>
      </c>
      <c r="H24">
        <f>IF(D24="","",HOUR(D24))</f>
        <v/>
      </c>
      <c r="I24" t="inlineStr">
        <is>
          <t>26-0594</t>
        </is>
      </c>
      <c r="J24" t="inlineStr">
        <is>
          <t>PUBSERV||CITIZEN_ASSIST||CITIZEN_ASSIST_SERVICE_CALL</t>
        </is>
      </c>
      <c r="K24" t="inlineStr"/>
      <c r="L24" t="inlineStr"/>
      <c r="M24" t="inlineStr">
        <is>
          <t>11 MERRIVILLAGE WAY</t>
        </is>
      </c>
      <c r="N24" t="inlineStr"/>
      <c r="O24" t="inlineStr">
        <is>
          <t>MA</t>
        </is>
      </c>
      <c r="P24" t="inlineStr">
        <is>
          <t>01860</t>
        </is>
      </c>
      <c r="Q24" t="inlineStr"/>
      <c r="R24" t="inlineStr">
        <is>
          <t>RESIDENTIAL</t>
        </is>
      </c>
      <c r="S24" t="inlineStr">
        <is>
          <t>MULTI_FAMILY_LOWRISE_DWELLING</t>
        </is>
      </c>
      <c r="T24" t="inlineStr"/>
      <c r="U24" t="inlineStr"/>
      <c r="V24" t="inlineStr">
        <is>
          <t>FD25009914|26-0594|1779547786</t>
        </is>
      </c>
      <c r="W24" t="inlineStr"/>
      <c r="X24" t="inlineStr"/>
      <c r="Y24" t="inlineStr"/>
      <c r="Z24" t="inlineStr"/>
      <c r="AA24" t="inlineStr"/>
      <c r="AB24" t="inlineStr"/>
      <c r="AC24" t="inlineStr">
        <is>
          <t>CONSUMER_PRODUCTS||APPLIANCE_TOOL</t>
        </is>
      </c>
      <c r="AD24" t="inlineStr">
        <is>
          <t>UNKNOWN</t>
        </is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n">
        <v>0</v>
      </c>
      <c r="AU24" t="n">
        <v>0</v>
      </c>
      <c r="AV24" t="n">
        <v>0</v>
      </c>
      <c r="AW24" t="n">
        <v>0</v>
      </c>
    </row>
    <row r="25">
      <c r="A25" t="inlineStr">
        <is>
          <t>FD25011903</t>
        </is>
      </c>
      <c r="B25" t="inlineStr">
        <is>
          <t>Wendell Fire Department</t>
        </is>
      </c>
      <c r="C25" t="inlineStr">
        <is>
          <t>2026-07-27T20:25:36+00:00</t>
        </is>
      </c>
      <c r="D25" s="2">
        <f>IF(C25="","",DATE(VALUE(LEFT(C25,4)),VALUE(MID(C25,6,2)),VALUE(MID(C25,9,2)))+TIME(VALUE(MID(C25,12,2)),VALUE(MID(C25,15,2)),VALUE(MID(C25,18,2)))-IF(AND(DATE(VALUE(LEFT(C25,4)),VALUE(MID(C25,6,2)),VALUE(MID(C25,9,2)))+TIME(VALUE(MID(C25,12,2)),VALUE(MID(C25,15,2)),VALUE(MID(C25,18,2)))&gt;=DATE(VALUE(LEFT(C25,4)),3,1)+MOD(8-WEEKDAY(DATE(VALUE(LEFT(C25,4)),3,1)),7)+7+TIME(7,0,0),DATE(VALUE(LEFT(C25,4)),3,1)+MOD(8-WEEKDAY(DATE(VALUE(LEFT(C25,4)),3,1)),7)+7+TIME(7,0,0)&lt;DATE(VALUE(LEFT(C25,4)),11,1)+MOD(8-WEEKDAY(DATE(VALUE(LEFT(C25,4)),11,1)),7)+TIME(6,0,0)), TIME(4,0,0),TIME(5,0,0)))</f>
        <v/>
      </c>
      <c r="E25" s="3">
        <f>IF(D25="","",MOD(D25,1))</f>
        <v/>
      </c>
      <c r="F25">
        <f>IF(D25="","",TEXT(D25,"mmm"))</f>
        <v/>
      </c>
      <c r="G25">
        <f>IF(D25="","",YEAR(D25))</f>
        <v/>
      </c>
      <c r="H25">
        <f>IF(D25="","",HOUR(D25))</f>
        <v/>
      </c>
      <c r="I25" t="inlineStr">
        <is>
          <t>0e950018-3f32-44f8-85e8-735b6a861289</t>
        </is>
      </c>
      <c r="J25" t="inlineStr">
        <is>
          <t>PUBSERV||CITIZEN_ASSIST||CITIZEN_ASSIST_SERVICE_CALL</t>
        </is>
      </c>
      <c r="K25" t="inlineStr"/>
      <c r="L25" t="inlineStr"/>
      <c r="M25" t="inlineStr">
        <is>
          <t>West STREET</t>
        </is>
      </c>
      <c r="N25" t="inlineStr">
        <is>
          <t>Wendell</t>
        </is>
      </c>
      <c r="O25" t="inlineStr">
        <is>
          <t>MA</t>
        </is>
      </c>
      <c r="P25" t="inlineStr">
        <is>
          <t>01379</t>
        </is>
      </c>
      <c r="Q25" t="inlineStr">
        <is>
          <t>Franklin County</t>
        </is>
      </c>
      <c r="R25" t="inlineStr">
        <is>
          <t>OUTDOOR</t>
        </is>
      </c>
      <c r="S25" t="inlineStr">
        <is>
          <t>GROUND_VACANT_LAND</t>
        </is>
      </c>
      <c r="T25" t="inlineStr"/>
      <c r="U25" t="inlineStr"/>
      <c r="V25" t="inlineStr">
        <is>
          <t>FD25011903|1785870514|1785183936</t>
        </is>
      </c>
      <c r="W25" t="inlineStr"/>
      <c r="X25" t="inlineStr"/>
      <c r="Y25" t="inlineStr"/>
      <c r="Z25" t="inlineStr"/>
      <c r="AA25" t="inlineStr"/>
      <c r="AB25" t="inlineStr"/>
      <c r="AC25" t="inlineStr">
        <is>
          <t>E_MOBILITY||ELECTRIC_SCOOTER_MOPED</t>
        </is>
      </c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n">
        <v>0</v>
      </c>
      <c r="AU25" t="n">
        <v>0</v>
      </c>
      <c r="AV25" t="n">
        <v>0</v>
      </c>
      <c r="AW25" t="n">
        <v>0</v>
      </c>
    </row>
    <row r="26">
      <c r="A26" t="inlineStr">
        <is>
          <t>FD25013159</t>
        </is>
      </c>
      <c r="B26" t="inlineStr">
        <is>
          <t>Longmeadow Fire Department</t>
        </is>
      </c>
      <c r="C26" t="inlineStr">
        <is>
          <t>2026-05-27T15:59:00+00:00</t>
        </is>
      </c>
      <c r="D26" s="2">
        <f>IF(C26="","",DATE(VALUE(LEFT(C26,4)),VALUE(MID(C26,6,2)),VALUE(MID(C26,9,2)))+TIME(VALUE(MID(C26,12,2)),VALUE(MID(C26,15,2)),VALUE(MID(C26,18,2)))-IF(AND(DATE(VALUE(LEFT(C26,4)),VALUE(MID(C26,6,2)),VALUE(MID(C26,9,2)))+TIME(VALUE(MID(C26,12,2)),VALUE(MID(C26,15,2)),VALUE(MID(C26,18,2)))&gt;=DATE(VALUE(LEFT(C26,4)),3,1)+MOD(8-WEEKDAY(DATE(VALUE(LEFT(C26,4)),3,1)),7)+7+TIME(7,0,0),DATE(VALUE(LEFT(C26,4)),3,1)+MOD(8-WEEKDAY(DATE(VALUE(LEFT(C26,4)),3,1)),7)+7+TIME(7,0,0)&lt;DATE(VALUE(LEFT(C26,4)),11,1)+MOD(8-WEEKDAY(DATE(VALUE(LEFT(C26,4)),11,1)),7)+TIME(6,0,0)), TIME(4,0,0),TIME(5,0,0)))</f>
        <v/>
      </c>
      <c r="E26" s="3">
        <f>IF(D26="","",MOD(D26,1))</f>
        <v/>
      </c>
      <c r="F26">
        <f>IF(D26="","",TEXT(D26,"mmm"))</f>
        <v/>
      </c>
      <c r="G26">
        <f>IF(D26="","",YEAR(D26))</f>
        <v/>
      </c>
      <c r="H26">
        <f>IF(D26="","",HOUR(D26))</f>
        <v/>
      </c>
      <c r="I26" t="inlineStr">
        <is>
          <t>26-59563_639154988715847405</t>
        </is>
      </c>
      <c r="J26" t="inlineStr">
        <is>
          <t>FIRE||STRUCTURE_FIRE||CONFINED_COOKING_APPLIANCE_FIRE</t>
        </is>
      </c>
      <c r="K26" t="inlineStr"/>
      <c r="L26" t="inlineStr"/>
      <c r="M26" t="inlineStr">
        <is>
          <t>CONVERSE STREET</t>
        </is>
      </c>
      <c r="N26" t="inlineStr"/>
      <c r="O26" t="inlineStr">
        <is>
          <t>MA</t>
        </is>
      </c>
      <c r="P26" t="inlineStr"/>
      <c r="Q26" t="inlineStr"/>
      <c r="R26" t="inlineStr">
        <is>
          <t>RESIDENTIAL</t>
        </is>
      </c>
      <c r="S26" t="inlineStr">
        <is>
          <t>DETATCHED_SINGLE_FAMILY_DWELLING</t>
        </is>
      </c>
      <c r="T26" t="inlineStr"/>
      <c r="U26" t="inlineStr"/>
      <c r="V26" t="inlineStr">
        <is>
          <t>FD25013159|26-59563_639154988715847405|1779897610</t>
        </is>
      </c>
      <c r="W26" t="inlineStr"/>
      <c r="X26" t="inlineStr"/>
      <c r="Y26" t="inlineStr"/>
      <c r="Z26" t="inlineStr"/>
      <c r="AA26" t="inlineStr"/>
      <c r="AB26" t="inlineStr"/>
      <c r="AC26" t="inlineStr">
        <is>
          <t>CONSUMER_PRODUCTS||APPLIANCE_TOOL||CONSUMER_PRODUCTS||APPLIANCE_TOOL</t>
        </is>
      </c>
      <c r="AD26" t="inlineStr">
        <is>
          <t>UNKNOWN||UNKNOWN</t>
        </is>
      </c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n">
        <v>0</v>
      </c>
      <c r="AU26" t="n">
        <v>0</v>
      </c>
      <c r="AV26" t="n">
        <v>0</v>
      </c>
      <c r="AW26" t="n">
        <v>0</v>
      </c>
    </row>
    <row r="27">
      <c r="A27" t="inlineStr">
        <is>
          <t>FD25013159</t>
        </is>
      </c>
      <c r="B27" t="inlineStr">
        <is>
          <t>Longmeadow Fire Department</t>
        </is>
      </c>
      <c r="C27" t="inlineStr">
        <is>
          <t>2026-01-12T03:51:00+00:00</t>
        </is>
      </c>
      <c r="D27" s="2">
        <f>IF(C27="","",DATE(VALUE(LEFT(C27,4)),VALUE(MID(C27,6,2)),VALUE(MID(C27,9,2)))+TIME(VALUE(MID(C27,12,2)),VALUE(MID(C27,15,2)),VALUE(MID(C27,18,2)))-IF(AND(DATE(VALUE(LEFT(C27,4)),VALUE(MID(C27,6,2)),VALUE(MID(C27,9,2)))+TIME(VALUE(MID(C27,12,2)),VALUE(MID(C27,15,2)),VALUE(MID(C27,18,2)))&gt;=DATE(VALUE(LEFT(C27,4)),3,1)+MOD(8-WEEKDAY(DATE(VALUE(LEFT(C27,4)),3,1)),7)+7+TIME(7,0,0),DATE(VALUE(LEFT(C27,4)),3,1)+MOD(8-WEEKDAY(DATE(VALUE(LEFT(C27,4)),3,1)),7)+7+TIME(7,0,0)&lt;DATE(VALUE(LEFT(C27,4)),11,1)+MOD(8-WEEKDAY(DATE(VALUE(LEFT(C27,4)),11,1)),7)+TIME(6,0,0)), TIME(4,0,0),TIME(5,0,0)))</f>
        <v/>
      </c>
      <c r="E27" s="3">
        <f>IF(D27="","",MOD(D27,1))</f>
        <v/>
      </c>
      <c r="F27">
        <f>IF(D27="","",TEXT(D27,"mmm"))</f>
        <v/>
      </c>
      <c r="G27">
        <f>IF(D27="","",YEAR(D27))</f>
        <v/>
      </c>
      <c r="H27">
        <f>IF(D27="","",HOUR(D27))</f>
        <v/>
      </c>
      <c r="I27" t="inlineStr">
        <is>
          <t>26-4251_639037914369429524</t>
        </is>
      </c>
      <c r="J27" t="inlineStr">
        <is>
          <t>HAZSIT||HAZARD_NONCHEM||ELEC_HAZARD_SHORT_CIRCUIT</t>
        </is>
      </c>
      <c r="K27" t="inlineStr"/>
      <c r="L27" t="inlineStr"/>
      <c r="M27" t="inlineStr">
        <is>
          <t>422 Maple ROAD</t>
        </is>
      </c>
      <c r="N27" t="inlineStr"/>
      <c r="O27" t="inlineStr">
        <is>
          <t>MA</t>
        </is>
      </c>
      <c r="P27" t="inlineStr">
        <is>
          <t>01106</t>
        </is>
      </c>
      <c r="Q27" t="inlineStr">
        <is>
          <t>Hampden County</t>
        </is>
      </c>
      <c r="R27" t="inlineStr">
        <is>
          <t>HEALTH_CARE</t>
        </is>
      </c>
      <c r="S27" t="inlineStr">
        <is>
          <t>NURSING_HOME_ASSISTED_LIVING_RESIDENCE_ONSITE</t>
        </is>
      </c>
      <c r="T27" t="inlineStr"/>
      <c r="U27" t="inlineStr"/>
      <c r="V27" t="inlineStr">
        <is>
          <t>FD25013159|26-4251_639037914369429524|1768189938</t>
        </is>
      </c>
      <c r="W27" t="inlineStr"/>
      <c r="X27" t="inlineStr"/>
      <c r="Y27" t="inlineStr"/>
      <c r="Z27" t="inlineStr"/>
      <c r="AA27" t="inlineStr"/>
      <c r="AB27" t="inlineStr"/>
      <c r="AC27" t="inlineStr">
        <is>
          <t>CONSUMER_PRODUCTS||COMPUTER_TABLET</t>
        </is>
      </c>
      <c r="AD27" t="inlineStr">
        <is>
          <t>SOURCE</t>
        </is>
      </c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n">
        <v>0</v>
      </c>
      <c r="AU27" t="n">
        <v>0</v>
      </c>
      <c r="AV27" t="n">
        <v>0</v>
      </c>
      <c r="AW27" t="n">
        <v>0</v>
      </c>
    </row>
    <row r="28">
      <c r="A28" t="inlineStr">
        <is>
          <t>FD25013812</t>
        </is>
      </c>
      <c r="B28" t="inlineStr">
        <is>
          <t>Southwick Fire Department</t>
        </is>
      </c>
      <c r="C28" t="inlineStr">
        <is>
          <t>2026-07-21T14:51:00+00:00</t>
        </is>
      </c>
      <c r="D28" s="2">
        <f>IF(C28="","",DATE(VALUE(LEFT(C28,4)),VALUE(MID(C28,6,2)),VALUE(MID(C28,9,2)))+TIME(VALUE(MID(C28,12,2)),VALUE(MID(C28,15,2)),VALUE(MID(C28,18,2)))-IF(AND(DATE(VALUE(LEFT(C28,4)),VALUE(MID(C28,6,2)),VALUE(MID(C28,9,2)))+TIME(VALUE(MID(C28,12,2)),VALUE(MID(C28,15,2)),VALUE(MID(C28,18,2)))&gt;=DATE(VALUE(LEFT(C28,4)),3,1)+MOD(8-WEEKDAY(DATE(VALUE(LEFT(C28,4)),3,1)),7)+7+TIME(7,0,0),DATE(VALUE(LEFT(C28,4)),3,1)+MOD(8-WEEKDAY(DATE(VALUE(LEFT(C28,4)),3,1)),7)+7+TIME(7,0,0)&lt;DATE(VALUE(LEFT(C28,4)),11,1)+MOD(8-WEEKDAY(DATE(VALUE(LEFT(C28,4)),11,1)),7)+TIME(6,0,0)), TIME(4,0,0),TIME(5,0,0)))</f>
        <v/>
      </c>
      <c r="E28" s="3">
        <f>IF(D28="","",MOD(D28,1))</f>
        <v/>
      </c>
      <c r="F28">
        <f>IF(D28="","",TEXT(D28,"mmm"))</f>
        <v/>
      </c>
      <c r="G28">
        <f>IF(D28="","",YEAR(D28))</f>
        <v/>
      </c>
      <c r="H28">
        <f>IF(D28="","",HOUR(D28))</f>
        <v/>
      </c>
      <c r="I28" t="inlineStr">
        <is>
          <t>26SWK-223-IN_639207915617597332</t>
        </is>
      </c>
      <c r="J28" t="inlineStr">
        <is>
          <t>FIRE||OUTSIDE_FIRE||TRASH_RUBBISH_FIRE</t>
        </is>
      </c>
      <c r="K28" t="inlineStr"/>
      <c r="L28" t="inlineStr"/>
      <c r="M28" t="inlineStr">
        <is>
          <t>Sheep Pasture</t>
        </is>
      </c>
      <c r="N28" t="inlineStr">
        <is>
          <t>Southwick</t>
        </is>
      </c>
      <c r="O28" t="inlineStr">
        <is>
          <t>MA</t>
        </is>
      </c>
      <c r="P28" t="inlineStr">
        <is>
          <t>01077</t>
        </is>
      </c>
      <c r="Q28" t="inlineStr">
        <is>
          <t>Hampden County</t>
        </is>
      </c>
      <c r="R28" t="inlineStr">
        <is>
          <t>AGRICULTURE_STRUCT</t>
        </is>
      </c>
      <c r="S28" t="inlineStr">
        <is>
          <t>VETERINARY_LIVESTOCK</t>
        </is>
      </c>
      <c r="T28" t="inlineStr"/>
      <c r="U28" t="inlineStr"/>
      <c r="V28" t="inlineStr">
        <is>
          <t>FD25013812|26SWK-223-IN_639207915617597332|1784645522</t>
        </is>
      </c>
      <c r="W28" t="inlineStr"/>
      <c r="X28" t="inlineStr"/>
      <c r="Y28" t="inlineStr"/>
      <c r="Z28" t="inlineStr"/>
      <c r="AA28" t="inlineStr"/>
      <c r="AB28" t="inlineStr"/>
      <c r="AC28" t="inlineStr">
        <is>
          <t>CONSUMER_PRODUCTS||TOY</t>
        </is>
      </c>
      <c r="AD28" t="inlineStr">
        <is>
          <t>SOURCE</t>
        </is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n">
        <v>0</v>
      </c>
      <c r="AU28" t="n">
        <v>0</v>
      </c>
      <c r="AV28" t="n">
        <v>0</v>
      </c>
      <c r="AW28" t="n">
        <v>0</v>
      </c>
    </row>
    <row r="29">
      <c r="A29" t="inlineStr">
        <is>
          <t>FD25015088</t>
        </is>
      </c>
      <c r="B29" t="inlineStr">
        <is>
          <t>Amherst Fire Department</t>
        </is>
      </c>
      <c r="C29" t="inlineStr">
        <is>
          <t>2026-04-02T19:26:00+00:00</t>
        </is>
      </c>
      <c r="D29" s="2">
        <f>IF(C29="","",DATE(VALUE(LEFT(C29,4)),VALUE(MID(C29,6,2)),VALUE(MID(C29,9,2)))+TIME(VALUE(MID(C29,12,2)),VALUE(MID(C29,15,2)),VALUE(MID(C29,18,2)))-IF(AND(DATE(VALUE(LEFT(C29,4)),VALUE(MID(C29,6,2)),VALUE(MID(C29,9,2)))+TIME(VALUE(MID(C29,12,2)),VALUE(MID(C29,15,2)),VALUE(MID(C29,18,2)))&gt;=DATE(VALUE(LEFT(C29,4)),3,1)+MOD(8-WEEKDAY(DATE(VALUE(LEFT(C29,4)),3,1)),7)+7+TIME(7,0,0),DATE(VALUE(LEFT(C29,4)),3,1)+MOD(8-WEEKDAY(DATE(VALUE(LEFT(C29,4)),3,1)),7)+7+TIME(7,0,0)&lt;DATE(VALUE(LEFT(C29,4)),11,1)+MOD(8-WEEKDAY(DATE(VALUE(LEFT(C29,4)),11,1)),7)+TIME(6,0,0)), TIME(4,0,0),TIME(5,0,0)))</f>
        <v/>
      </c>
      <c r="E29" s="3">
        <f>IF(D29="","",MOD(D29,1))</f>
        <v/>
      </c>
      <c r="F29">
        <f>IF(D29="","",TEXT(D29,"mmm"))</f>
        <v/>
      </c>
      <c r="G29">
        <f>IF(D29="","",YEAR(D29))</f>
        <v/>
      </c>
      <c r="H29">
        <f>IF(D29="","",HOUR(D29))</f>
        <v/>
      </c>
      <c r="I29" t="inlineStr">
        <is>
          <t>26-6713_639203657477603018</t>
        </is>
      </c>
      <c r="J29" t="inlineStr">
        <is>
          <t>HAZSIT||HAZARD_NONCHEM||ELEC_HAZARD_SHORT_CIRCUIT</t>
        </is>
      </c>
      <c r="K29" t="inlineStr"/>
      <c r="L29" t="inlineStr"/>
      <c r="M29" t="inlineStr">
        <is>
          <t>N Pleasant</t>
        </is>
      </c>
      <c r="N29" t="inlineStr">
        <is>
          <t>Amherst</t>
        </is>
      </c>
      <c r="O29" t="inlineStr">
        <is>
          <t>MA</t>
        </is>
      </c>
      <c r="P29" t="inlineStr">
        <is>
          <t>01003</t>
        </is>
      </c>
      <c r="Q29" t="inlineStr">
        <is>
          <t>Hampshire County</t>
        </is>
      </c>
      <c r="R29" t="inlineStr">
        <is>
          <t>EDUCATION</t>
        </is>
      </c>
      <c r="S29" t="inlineStr">
        <is>
          <t>COLLEGES_UNIVERSITIES</t>
        </is>
      </c>
      <c r="T29" t="inlineStr"/>
      <c r="U29" t="inlineStr"/>
      <c r="V29" t="inlineStr">
        <is>
          <t>FD25015088|26-6713_639203657477603018|1775158005</t>
        </is>
      </c>
      <c r="W29" t="inlineStr"/>
      <c r="X29" t="inlineStr"/>
      <c r="Y29" t="inlineStr"/>
      <c r="Z29" t="inlineStr"/>
      <c r="AA29" t="inlineStr"/>
      <c r="AB29" t="inlineStr"/>
      <c r="AC29" t="inlineStr">
        <is>
          <t>CONSUMER_PRODUCTS||OTHER</t>
        </is>
      </c>
      <c r="AD29" t="inlineStr">
        <is>
          <t>SOURCE</t>
        </is>
      </c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n">
        <v>0</v>
      </c>
      <c r="AU29" t="n">
        <v>0</v>
      </c>
      <c r="AV29" t="n">
        <v>0</v>
      </c>
      <c r="AW29" t="n">
        <v>0</v>
      </c>
    </row>
    <row r="30">
      <c r="A30" t="inlineStr">
        <is>
          <t>FD25015088</t>
        </is>
      </c>
      <c r="B30" t="inlineStr">
        <is>
          <t>Amherst Fire Department</t>
        </is>
      </c>
      <c r="C30" t="inlineStr">
        <is>
          <t>2026-03-29T16:23:00+00:00</t>
        </is>
      </c>
      <c r="D30" s="2">
        <f>IF(C30="","",DATE(VALUE(LEFT(C30,4)),VALUE(MID(C30,6,2)),VALUE(MID(C30,9,2)))+TIME(VALUE(MID(C30,12,2)),VALUE(MID(C30,15,2)),VALUE(MID(C30,18,2)))-IF(AND(DATE(VALUE(LEFT(C30,4)),VALUE(MID(C30,6,2)),VALUE(MID(C30,9,2)))+TIME(VALUE(MID(C30,12,2)),VALUE(MID(C30,15,2)),VALUE(MID(C30,18,2)))&gt;=DATE(VALUE(LEFT(C30,4)),3,1)+MOD(8-WEEKDAY(DATE(VALUE(LEFT(C30,4)),3,1)),7)+7+TIME(7,0,0),DATE(VALUE(LEFT(C30,4)),3,1)+MOD(8-WEEKDAY(DATE(VALUE(LEFT(C30,4)),3,1)),7)+7+TIME(7,0,0)&lt;DATE(VALUE(LEFT(C30,4)),11,1)+MOD(8-WEEKDAY(DATE(VALUE(LEFT(C30,4)),11,1)),7)+TIME(6,0,0)), TIME(4,0,0),TIME(5,0,0)))</f>
        <v/>
      </c>
      <c r="E30" s="3">
        <f>IF(D30="","",MOD(D30,1))</f>
        <v/>
      </c>
      <c r="F30">
        <f>IF(D30="","",TEXT(D30,"mmm"))</f>
        <v/>
      </c>
      <c r="G30">
        <f>IF(D30="","",YEAR(D30))</f>
        <v/>
      </c>
      <c r="H30">
        <f>IF(D30="","",HOUR(D30))</f>
        <v/>
      </c>
      <c r="I30" t="inlineStr">
        <is>
          <t>26-6347_639201957625560659</t>
        </is>
      </c>
      <c r="J30" t="inlineStr">
        <is>
          <t>HAZSIT||HAZARD_NONCHEM||ELEC_HAZARD_SHORT_CIRCUIT</t>
        </is>
      </c>
      <c r="K30" t="inlineStr"/>
      <c r="L30" t="inlineStr"/>
      <c r="M30" t="inlineStr">
        <is>
          <t>State STREET</t>
        </is>
      </c>
      <c r="N30" t="inlineStr"/>
      <c r="O30" t="inlineStr">
        <is>
          <t>MA</t>
        </is>
      </c>
      <c r="P30" t="inlineStr">
        <is>
          <t>01002</t>
        </is>
      </c>
      <c r="Q30" t="inlineStr">
        <is>
          <t>Hampshire County</t>
        </is>
      </c>
      <c r="R30" t="inlineStr">
        <is>
          <t>RESIDENTIAL</t>
        </is>
      </c>
      <c r="S30" t="inlineStr">
        <is>
          <t>DETATCHED_SINGLE_FAMILY_DWELLING</t>
        </is>
      </c>
      <c r="T30" t="inlineStr"/>
      <c r="U30" t="inlineStr"/>
      <c r="V30" t="inlineStr">
        <is>
          <t>FD25015088|26-6347_639201957625560659|1774801469</t>
        </is>
      </c>
      <c r="W30" t="inlineStr"/>
      <c r="X30" t="inlineStr"/>
      <c r="Y30" t="inlineStr"/>
      <c r="Z30" t="inlineStr"/>
      <c r="AA30" t="inlineStr"/>
      <c r="AB30" t="inlineStr"/>
      <c r="AC30" t="inlineStr">
        <is>
          <t>CONSUMER_PRODUCTS||APPLIANCE_TOOL</t>
        </is>
      </c>
      <c r="AD30" t="inlineStr"/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n">
        <v>0</v>
      </c>
      <c r="AU30" t="n">
        <v>0</v>
      </c>
      <c r="AV30" t="n">
        <v>0</v>
      </c>
      <c r="AW30" t="n">
        <v>0</v>
      </c>
    </row>
    <row r="31">
      <c r="A31" t="inlineStr">
        <is>
          <t>FD25015152</t>
        </is>
      </c>
      <c r="B31" t="inlineStr">
        <is>
          <t>Worthington Fire-Rescue</t>
        </is>
      </c>
      <c r="C31" t="inlineStr">
        <is>
          <t>2026-01-20T19:59:00+00:00</t>
        </is>
      </c>
      <c r="D31" s="2">
        <f>IF(C31="","",DATE(VALUE(LEFT(C31,4)),VALUE(MID(C31,6,2)),VALUE(MID(C31,9,2)))+TIME(VALUE(MID(C31,12,2)),VALUE(MID(C31,15,2)),VALUE(MID(C31,18,2)))-IF(AND(DATE(VALUE(LEFT(C31,4)),VALUE(MID(C31,6,2)),VALUE(MID(C31,9,2)))+TIME(VALUE(MID(C31,12,2)),VALUE(MID(C31,15,2)),VALUE(MID(C31,18,2)))&gt;=DATE(VALUE(LEFT(C31,4)),3,1)+MOD(8-WEEKDAY(DATE(VALUE(LEFT(C31,4)),3,1)),7)+7+TIME(7,0,0),DATE(VALUE(LEFT(C31,4)),3,1)+MOD(8-WEEKDAY(DATE(VALUE(LEFT(C31,4)),3,1)),7)+7+TIME(7,0,0)&lt;DATE(VALUE(LEFT(C31,4)),11,1)+MOD(8-WEEKDAY(DATE(VALUE(LEFT(C31,4)),11,1)),7)+TIME(6,0,0)), TIME(4,0,0),TIME(5,0,0)))</f>
        <v/>
      </c>
      <c r="E31" s="3">
        <f>IF(D31="","",MOD(D31,1))</f>
        <v/>
      </c>
      <c r="F31">
        <f>IF(D31="","",TEXT(D31,"mmm"))</f>
        <v/>
      </c>
      <c r="G31">
        <f>IF(D31="","",YEAR(D31))</f>
        <v/>
      </c>
      <c r="H31">
        <f>IF(D31="","",HOUR(D31))</f>
        <v/>
      </c>
      <c r="I31" t="inlineStr">
        <is>
          <t>45c1d9ea-1bce-44a0-8968-b1a13ae3ed0e</t>
        </is>
      </c>
      <c r="J31" t="inlineStr">
        <is>
          <t>PUBSERV||ALARMS_NONMED||CO_ALARM</t>
        </is>
      </c>
      <c r="K31" t="inlineStr"/>
      <c r="L31" t="inlineStr"/>
      <c r="M31" t="inlineStr">
        <is>
          <t>Ridge</t>
        </is>
      </c>
      <c r="N31" t="inlineStr">
        <is>
          <t>Worthington</t>
        </is>
      </c>
      <c r="O31" t="inlineStr">
        <is>
          <t>MA</t>
        </is>
      </c>
      <c r="P31" t="inlineStr">
        <is>
          <t>01098</t>
        </is>
      </c>
      <c r="Q31" t="inlineStr">
        <is>
          <t>Hampshire County</t>
        </is>
      </c>
      <c r="R31" t="inlineStr">
        <is>
          <t>RESIDENTIAL</t>
        </is>
      </c>
      <c r="S31" t="inlineStr">
        <is>
          <t>DETATCHED_SINGLE_FAMILY_DWELLING</t>
        </is>
      </c>
      <c r="T31" t="inlineStr"/>
      <c r="U31" t="inlineStr"/>
      <c r="V31" t="inlineStr">
        <is>
          <t>FD25015152|1771181552|1768939140</t>
        </is>
      </c>
      <c r="W31" t="inlineStr"/>
      <c r="X31" t="inlineStr"/>
      <c r="Y31" t="inlineStr"/>
      <c r="Z31" t="inlineStr"/>
      <c r="AA31" t="inlineStr"/>
      <c r="AB31" t="inlineStr"/>
      <c r="AC31" t="inlineStr">
        <is>
          <t>CONSUMER_PRODUCTS||OTHER</t>
        </is>
      </c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n">
        <v>0</v>
      </c>
      <c r="AU31" t="n">
        <v>0</v>
      </c>
      <c r="AV31" t="n">
        <v>0</v>
      </c>
      <c r="AW31" t="n">
        <v>0</v>
      </c>
    </row>
    <row r="32">
      <c r="A32" t="inlineStr">
        <is>
          <t>FD25015575</t>
        </is>
      </c>
      <c r="B32" t="inlineStr">
        <is>
          <t>Ware Fire Department</t>
        </is>
      </c>
      <c r="C32" t="inlineStr">
        <is>
          <t>2026-03-25T06:43:00+00:00</t>
        </is>
      </c>
      <c r="D32" s="2">
        <f>IF(C32="","",DATE(VALUE(LEFT(C32,4)),VALUE(MID(C32,6,2)),VALUE(MID(C32,9,2)))+TIME(VALUE(MID(C32,12,2)),VALUE(MID(C32,15,2)),VALUE(MID(C32,18,2)))-IF(AND(DATE(VALUE(LEFT(C32,4)),VALUE(MID(C32,6,2)),VALUE(MID(C32,9,2)))+TIME(VALUE(MID(C32,12,2)),VALUE(MID(C32,15,2)),VALUE(MID(C32,18,2)))&gt;=DATE(VALUE(LEFT(C32,4)),3,1)+MOD(8-WEEKDAY(DATE(VALUE(LEFT(C32,4)),3,1)),7)+7+TIME(7,0,0),DATE(VALUE(LEFT(C32,4)),3,1)+MOD(8-WEEKDAY(DATE(VALUE(LEFT(C32,4)),3,1)),7)+7+TIME(7,0,0)&lt;DATE(VALUE(LEFT(C32,4)),11,1)+MOD(8-WEEKDAY(DATE(VALUE(LEFT(C32,4)),11,1)),7)+TIME(6,0,0)), TIME(4,0,0),TIME(5,0,0)))</f>
        <v/>
      </c>
      <c r="E32" s="3">
        <f>IF(D32="","",MOD(D32,1))</f>
        <v/>
      </c>
      <c r="F32">
        <f>IF(D32="","",TEXT(D32,"mmm"))</f>
        <v/>
      </c>
      <c r="G32">
        <f>IF(D32="","",YEAR(D32))</f>
        <v/>
      </c>
      <c r="H32">
        <f>IF(D32="","",HOUR(D32))</f>
        <v/>
      </c>
      <c r="I32" t="inlineStr">
        <is>
          <t>26-33299_639100353018905952</t>
        </is>
      </c>
      <c r="J32" t="inlineStr">
        <is>
          <t>HAZSIT||HAZARD_NONCHEM||ELEC_HAZARD_SHORT_CIRCUIT</t>
        </is>
      </c>
      <c r="K32" t="inlineStr"/>
      <c r="L32" t="inlineStr"/>
      <c r="M32" t="inlineStr">
        <is>
          <t>Monson Turnpike ROAD Apt 1018</t>
        </is>
      </c>
      <c r="N32" t="inlineStr"/>
      <c r="O32" t="inlineStr">
        <is>
          <t>MA</t>
        </is>
      </c>
      <c r="P32" t="inlineStr">
        <is>
          <t>01082</t>
        </is>
      </c>
      <c r="Q32" t="inlineStr">
        <is>
          <t>Hampshire County</t>
        </is>
      </c>
      <c r="R32" t="inlineStr">
        <is>
          <t>RESIDENTIAL</t>
        </is>
      </c>
      <c r="S32" t="inlineStr">
        <is>
          <t>MANUFACTURED_MOBILE_HOME</t>
        </is>
      </c>
      <c r="T32" t="inlineStr"/>
      <c r="U32" t="inlineStr"/>
      <c r="V32" t="inlineStr">
        <is>
          <t>FD25015575|26-33299_639100353018905952|1774421034</t>
        </is>
      </c>
      <c r="W32" t="inlineStr"/>
      <c r="X32" t="inlineStr"/>
      <c r="Y32" t="inlineStr"/>
      <c r="Z32" t="inlineStr"/>
      <c r="AA32" t="inlineStr"/>
      <c r="AB32" t="inlineStr"/>
      <c r="AC32" t="inlineStr">
        <is>
          <t>CONSUMER_PRODUCTS||APPLIANCE_TOOL</t>
        </is>
      </c>
      <c r="AD32" t="inlineStr">
        <is>
          <t>UNKNOWN</t>
        </is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n">
        <v>0</v>
      </c>
      <c r="AU32" t="n">
        <v>0</v>
      </c>
      <c r="AV32" t="n">
        <v>0</v>
      </c>
      <c r="AW32" t="n">
        <v>0</v>
      </c>
    </row>
    <row r="33">
      <c r="A33" t="inlineStr">
        <is>
          <t>FD25017027</t>
        </is>
      </c>
      <c r="B33" t="inlineStr">
        <is>
          <t>Bedford Fire Department</t>
        </is>
      </c>
      <c r="C33" t="inlineStr">
        <is>
          <t>2026-07-10T21:00:09+00:00</t>
        </is>
      </c>
      <c r="D33" s="2">
        <f>IF(C33="","",DATE(VALUE(LEFT(C33,4)),VALUE(MID(C33,6,2)),VALUE(MID(C33,9,2)))+TIME(VALUE(MID(C33,12,2)),VALUE(MID(C33,15,2)),VALUE(MID(C33,18,2)))-IF(AND(DATE(VALUE(LEFT(C33,4)),VALUE(MID(C33,6,2)),VALUE(MID(C33,9,2)))+TIME(VALUE(MID(C33,12,2)),VALUE(MID(C33,15,2)),VALUE(MID(C33,18,2)))&gt;=DATE(VALUE(LEFT(C33,4)),3,1)+MOD(8-WEEKDAY(DATE(VALUE(LEFT(C33,4)),3,1)),7)+7+TIME(7,0,0),DATE(VALUE(LEFT(C33,4)),3,1)+MOD(8-WEEKDAY(DATE(VALUE(LEFT(C33,4)),3,1)),7)+7+TIME(7,0,0)&lt;DATE(VALUE(LEFT(C33,4)),11,1)+MOD(8-WEEKDAY(DATE(VALUE(LEFT(C33,4)),11,1)),7)+TIME(6,0,0)), TIME(4,0,0),TIME(5,0,0)))</f>
        <v/>
      </c>
      <c r="E33" s="3">
        <f>IF(D33="","",MOD(D33,1))</f>
        <v/>
      </c>
      <c r="F33">
        <f>IF(D33="","",TEXT(D33,"mmm"))</f>
        <v/>
      </c>
      <c r="G33">
        <f>IF(D33="","",YEAR(D33))</f>
        <v/>
      </c>
      <c r="H33">
        <f>IF(D33="","",HOUR(D33))</f>
        <v/>
      </c>
      <c r="I33" t="inlineStr">
        <is>
          <t>2026001842_639193954888045166</t>
        </is>
      </c>
      <c r="J33" t="inlineStr">
        <is>
          <t>FIRE||SPECIAL_FIRE||ESS_FIRE</t>
        </is>
      </c>
      <c r="K33" t="inlineStr"/>
      <c r="L33" t="inlineStr"/>
      <c r="M33" t="inlineStr">
        <is>
          <t>Redcoat ROAD</t>
        </is>
      </c>
      <c r="N33" t="inlineStr"/>
      <c r="O33" t="inlineStr">
        <is>
          <t>MA</t>
        </is>
      </c>
      <c r="P33" t="inlineStr">
        <is>
          <t>01730</t>
        </is>
      </c>
      <c r="Q33" t="inlineStr"/>
      <c r="R33" t="inlineStr">
        <is>
          <t>RESIDENTIAL</t>
        </is>
      </c>
      <c r="S33" t="inlineStr">
        <is>
          <t>ATTACHED_SINGLE_FAMILY_DWELLING</t>
        </is>
      </c>
      <c r="T33" t="inlineStr"/>
      <c r="U33" t="inlineStr"/>
      <c r="V33" t="inlineStr">
        <is>
          <t>FD25017027|2026001842_639193954888045166|1783717209</t>
        </is>
      </c>
      <c r="W33" t="inlineStr"/>
      <c r="X33" t="inlineStr"/>
      <c r="Y33" t="inlineStr"/>
      <c r="Z33" t="inlineStr"/>
      <c r="AA33" t="inlineStr"/>
      <c r="AB33" t="inlineStr"/>
      <c r="AC33" t="inlineStr">
        <is>
          <t>CONSUMER_PRODUCTS||APPLIANCE_TOOL</t>
        </is>
      </c>
      <c r="AD33" t="inlineStr">
        <is>
          <t>SOURCE</t>
        </is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n">
        <v>0</v>
      </c>
      <c r="AU33" t="n">
        <v>0</v>
      </c>
      <c r="AV33" t="n">
        <v>0</v>
      </c>
      <c r="AW33" t="n">
        <v>0</v>
      </c>
    </row>
    <row r="34">
      <c r="A34" t="inlineStr">
        <is>
          <t>FD25017027</t>
        </is>
      </c>
      <c r="B34" t="inlineStr">
        <is>
          <t>Bedford Fire Department</t>
        </is>
      </c>
      <c r="C34" t="inlineStr">
        <is>
          <t>2026-06-08T18:58:34+00:00</t>
        </is>
      </c>
      <c r="D34" s="2">
        <f>IF(C34="","",DATE(VALUE(LEFT(C34,4)),VALUE(MID(C34,6,2)),VALUE(MID(C34,9,2)))+TIME(VALUE(MID(C34,12,2)),VALUE(MID(C34,15,2)),VALUE(MID(C34,18,2)))-IF(AND(DATE(VALUE(LEFT(C34,4)),VALUE(MID(C34,6,2)),VALUE(MID(C34,9,2)))+TIME(VALUE(MID(C34,12,2)),VALUE(MID(C34,15,2)),VALUE(MID(C34,18,2)))&gt;=DATE(VALUE(LEFT(C34,4)),3,1)+MOD(8-WEEKDAY(DATE(VALUE(LEFT(C34,4)),3,1)),7)+7+TIME(7,0,0),DATE(VALUE(LEFT(C34,4)),3,1)+MOD(8-WEEKDAY(DATE(VALUE(LEFT(C34,4)),3,1)),7)+7+TIME(7,0,0)&lt;DATE(VALUE(LEFT(C34,4)),11,1)+MOD(8-WEEKDAY(DATE(VALUE(LEFT(C34,4)),11,1)),7)+TIME(6,0,0)), TIME(4,0,0),TIME(5,0,0)))</f>
        <v/>
      </c>
      <c r="E34" s="3">
        <f>IF(D34="","",MOD(D34,1))</f>
        <v/>
      </c>
      <c r="F34">
        <f>IF(D34="","",TEXT(D34,"mmm"))</f>
        <v/>
      </c>
      <c r="G34">
        <f>IF(D34="","",YEAR(D34))</f>
        <v/>
      </c>
      <c r="H34">
        <f>IF(D34="","",HOUR(D34))</f>
        <v/>
      </c>
      <c r="I34" t="inlineStr">
        <is>
          <t>2026001486_639166011917889069</t>
        </is>
      </c>
      <c r="J34" t="inlineStr">
        <is>
          <t>MEDICAL||INJURY||MOTOR_VEHICLE_COLLISION</t>
        </is>
      </c>
      <c r="K34" t="inlineStr">
        <is>
          <t>FIRE||TRANSPORTATION_FIRE||POWERED_MOBILITY_DEVICE_FIRE</t>
        </is>
      </c>
      <c r="L34" t="inlineStr"/>
      <c r="M34" t="inlineStr">
        <is>
          <t>Great ROAD</t>
        </is>
      </c>
      <c r="N34" t="inlineStr"/>
      <c r="O34" t="inlineStr">
        <is>
          <t>MA</t>
        </is>
      </c>
      <c r="P34" t="inlineStr">
        <is>
          <t>01730</t>
        </is>
      </c>
      <c r="Q34" t="inlineStr">
        <is>
          <t>Middlesex County</t>
        </is>
      </c>
      <c r="R34" t="inlineStr">
        <is>
          <t>ROADWAY_ACCESS</t>
        </is>
      </c>
      <c r="S34" t="inlineStr">
        <is>
          <t>STREET</t>
        </is>
      </c>
      <c r="T34" t="inlineStr"/>
      <c r="U34" t="inlineStr"/>
      <c r="V34" t="inlineStr">
        <is>
          <t>FD25017027|2026001486_639166011917889069|1780945114</t>
        </is>
      </c>
      <c r="W34" t="inlineStr"/>
      <c r="X34" t="inlineStr"/>
      <c r="Y34" t="inlineStr"/>
      <c r="Z34" t="inlineStr"/>
      <c r="AA34" t="inlineStr"/>
      <c r="AB34" t="inlineStr"/>
      <c r="AC34" t="inlineStr">
        <is>
          <t>E_MOBILITY||POWER_ASSISTED_BICYCLE</t>
        </is>
      </c>
      <c r="AD34" t="inlineStr">
        <is>
          <t>SOURCE</t>
        </is>
      </c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n">
        <v>0</v>
      </c>
      <c r="AU34" t="n">
        <v>0</v>
      </c>
      <c r="AV34" t="n">
        <v>0</v>
      </c>
      <c r="AW34" t="n">
        <v>0</v>
      </c>
    </row>
    <row r="35">
      <c r="A35" t="inlineStr">
        <is>
          <t>FD25017027</t>
        </is>
      </c>
      <c r="B35" t="inlineStr">
        <is>
          <t>Bedford Fire Department</t>
        </is>
      </c>
      <c r="C35" t="inlineStr">
        <is>
          <t>2026-02-16T16:09:47+00:00</t>
        </is>
      </c>
      <c r="D35" s="2">
        <f>IF(C35="","",DATE(VALUE(LEFT(C35,4)),VALUE(MID(C35,6,2)),VALUE(MID(C35,9,2)))+TIME(VALUE(MID(C35,12,2)),VALUE(MID(C35,15,2)),VALUE(MID(C35,18,2)))-IF(AND(DATE(VALUE(LEFT(C35,4)),VALUE(MID(C35,6,2)),VALUE(MID(C35,9,2)))+TIME(VALUE(MID(C35,12,2)),VALUE(MID(C35,15,2)),VALUE(MID(C35,18,2)))&gt;=DATE(VALUE(LEFT(C35,4)),3,1)+MOD(8-WEEKDAY(DATE(VALUE(LEFT(C35,4)),3,1)),7)+7+TIME(7,0,0),DATE(VALUE(LEFT(C35,4)),3,1)+MOD(8-WEEKDAY(DATE(VALUE(LEFT(C35,4)),3,1)),7)+7+TIME(7,0,0)&lt;DATE(VALUE(LEFT(C35,4)),11,1)+MOD(8-WEEKDAY(DATE(VALUE(LEFT(C35,4)),11,1)),7)+TIME(6,0,0)), TIME(4,0,0),TIME(5,0,0)))</f>
        <v/>
      </c>
      <c r="E35" s="3">
        <f>IF(D35="","",MOD(D35,1))</f>
        <v/>
      </c>
      <c r="F35">
        <f>IF(D35="","",TEXT(D35,"mmm"))</f>
        <v/>
      </c>
      <c r="G35">
        <f>IF(D35="","",YEAR(D35))</f>
        <v/>
      </c>
      <c r="H35">
        <f>IF(D35="","",HOUR(D35))</f>
        <v/>
      </c>
      <c r="I35" t="inlineStr">
        <is>
          <t>2026000428_639068857105474461</t>
        </is>
      </c>
      <c r="J35" t="inlineStr">
        <is>
          <t>FIRE||STRUCTURE_FIRE||CONFINED_COOKING_APPLIANCE_FIRE</t>
        </is>
      </c>
      <c r="K35" t="inlineStr"/>
      <c r="L35" t="inlineStr"/>
      <c r="M35" t="inlineStr">
        <is>
          <t>Springs ROAD Apt BUILDING 6 room 239</t>
        </is>
      </c>
      <c r="N35" t="inlineStr"/>
      <c r="O35" t="inlineStr">
        <is>
          <t>MA</t>
        </is>
      </c>
      <c r="P35" t="inlineStr">
        <is>
          <t>01730</t>
        </is>
      </c>
      <c r="Q35" t="inlineStr">
        <is>
          <t>Middlesex</t>
        </is>
      </c>
      <c r="R35" t="inlineStr">
        <is>
          <t>HEALTH_CARE</t>
        </is>
      </c>
      <c r="S35" t="inlineStr">
        <is>
          <t>ALCOHOL_DRUG_REHABILITATION_CENTER</t>
        </is>
      </c>
      <c r="T35" t="inlineStr"/>
      <c r="U35" t="inlineStr"/>
      <c r="V35" t="inlineStr">
        <is>
          <t>FD25017027|2026000428_639068857105474461|1771258187</t>
        </is>
      </c>
      <c r="W35" t="inlineStr"/>
      <c r="X35" t="inlineStr"/>
      <c r="Y35" t="inlineStr"/>
      <c r="Z35" t="inlineStr"/>
      <c r="AA35" t="inlineStr"/>
      <c r="AB35" t="inlineStr"/>
      <c r="AC35" t="inlineStr">
        <is>
          <t>CONSUMER_PRODUCTS||CELL_PHONE</t>
        </is>
      </c>
      <c r="AD35" t="inlineStr">
        <is>
          <t>SOURCE</t>
        </is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n">
        <v>0</v>
      </c>
      <c r="AU35" t="n">
        <v>0</v>
      </c>
      <c r="AV35" t="n">
        <v>0</v>
      </c>
      <c r="AW35" t="n">
        <v>0</v>
      </c>
    </row>
    <row r="36">
      <c r="A36" t="inlineStr">
        <is>
          <t>FD25017041</t>
        </is>
      </c>
      <c r="B36" t="inlineStr">
        <is>
          <t>Reading Fire Department</t>
        </is>
      </c>
      <c r="C36" t="inlineStr">
        <is>
          <t>2026-01-03T17:53:52+00:00</t>
        </is>
      </c>
      <c r="D36" s="2">
        <f>IF(C36="","",DATE(VALUE(LEFT(C36,4)),VALUE(MID(C36,6,2)),VALUE(MID(C36,9,2)))+TIME(VALUE(MID(C36,12,2)),VALUE(MID(C36,15,2)),VALUE(MID(C36,18,2)))-IF(AND(DATE(VALUE(LEFT(C36,4)),VALUE(MID(C36,6,2)),VALUE(MID(C36,9,2)))+TIME(VALUE(MID(C36,12,2)),VALUE(MID(C36,15,2)),VALUE(MID(C36,18,2)))&gt;=DATE(VALUE(LEFT(C36,4)),3,1)+MOD(8-WEEKDAY(DATE(VALUE(LEFT(C36,4)),3,1)),7)+7+TIME(7,0,0),DATE(VALUE(LEFT(C36,4)),3,1)+MOD(8-WEEKDAY(DATE(VALUE(LEFT(C36,4)),3,1)),7)+7+TIME(7,0,0)&lt;DATE(VALUE(LEFT(C36,4)),11,1)+MOD(8-WEEKDAY(DATE(VALUE(LEFT(C36,4)),11,1)),7)+TIME(6,0,0)), TIME(4,0,0),TIME(5,0,0)))</f>
        <v/>
      </c>
      <c r="E36" s="3">
        <f>IF(D36="","",MOD(D36,1))</f>
        <v/>
      </c>
      <c r="F36">
        <f>IF(D36="","",TEXT(D36,"mmm"))</f>
        <v/>
      </c>
      <c r="G36">
        <f>IF(D36="","",YEAR(D36))</f>
        <v/>
      </c>
      <c r="H36">
        <f>IF(D36="","",HOUR(D36))</f>
        <v/>
      </c>
      <c r="I36" t="inlineStr">
        <is>
          <t>26-164959_639030635072314838</t>
        </is>
      </c>
      <c r="J36" t="inlineStr">
        <is>
          <t>HAZSIT||HAZARD_NONCHEM||ELEC_HAZARD_SHORT_CIRCUIT</t>
        </is>
      </c>
      <c r="K36" t="inlineStr"/>
      <c r="L36" t="inlineStr"/>
      <c r="M36" t="inlineStr">
        <is>
          <t>10 Summer AVENUE</t>
        </is>
      </c>
      <c r="N36" t="inlineStr"/>
      <c r="O36" t="inlineStr">
        <is>
          <t>MA</t>
        </is>
      </c>
      <c r="P36" t="inlineStr">
        <is>
          <t>01867</t>
        </is>
      </c>
      <c r="Q36" t="inlineStr">
        <is>
          <t>Middlesex County</t>
        </is>
      </c>
      <c r="R36" t="inlineStr">
        <is>
          <t>RESIDENTIAL</t>
        </is>
      </c>
      <c r="S36" t="inlineStr">
        <is>
          <t>ATTACHED_SINGLE_FAMILY_DWELLING</t>
        </is>
      </c>
      <c r="T36" t="inlineStr"/>
      <c r="U36" t="inlineStr"/>
      <c r="V36" t="inlineStr">
        <is>
          <t>FD25017041|26-164959_639030635072314838|1767462832</t>
        </is>
      </c>
      <c r="W36" t="inlineStr"/>
      <c r="X36" t="inlineStr"/>
      <c r="Y36" t="inlineStr"/>
      <c r="Z36" t="inlineStr"/>
      <c r="AA36" t="inlineStr"/>
      <c r="AB36" t="inlineStr"/>
      <c r="AC36" t="inlineStr">
        <is>
          <t>CONSUMER_PRODUCTS||APPLIANCE_TOOL</t>
        </is>
      </c>
      <c r="AD36" t="inlineStr"/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n">
        <v>0</v>
      </c>
      <c r="AU36" t="n">
        <v>0</v>
      </c>
      <c r="AV36" t="n">
        <v>0</v>
      </c>
      <c r="AW36" t="n">
        <v>0</v>
      </c>
    </row>
    <row r="37">
      <c r="A37" t="inlineStr">
        <is>
          <t>FD25017050</t>
        </is>
      </c>
      <c r="B37" t="inlineStr">
        <is>
          <t>Marlborough Fire Department</t>
        </is>
      </c>
      <c r="C37" t="inlineStr">
        <is>
          <t>2026-03-29T14:22:07+00:00</t>
        </is>
      </c>
      <c r="D37" s="2">
        <f>IF(C37="","",DATE(VALUE(LEFT(C37,4)),VALUE(MID(C37,6,2)),VALUE(MID(C37,9,2)))+TIME(VALUE(MID(C37,12,2)),VALUE(MID(C37,15,2)),VALUE(MID(C37,18,2)))-IF(AND(DATE(VALUE(LEFT(C37,4)),VALUE(MID(C37,6,2)),VALUE(MID(C37,9,2)))+TIME(VALUE(MID(C37,12,2)),VALUE(MID(C37,15,2)),VALUE(MID(C37,18,2)))&gt;=DATE(VALUE(LEFT(C37,4)),3,1)+MOD(8-WEEKDAY(DATE(VALUE(LEFT(C37,4)),3,1)),7)+7+TIME(7,0,0),DATE(VALUE(LEFT(C37,4)),3,1)+MOD(8-WEEKDAY(DATE(VALUE(LEFT(C37,4)),3,1)),7)+7+TIME(7,0,0)&lt;DATE(VALUE(LEFT(C37,4)),11,1)+MOD(8-WEEKDAY(DATE(VALUE(LEFT(C37,4)),11,1)),7)+TIME(6,0,0)), TIME(4,0,0),TIME(5,0,0)))</f>
        <v/>
      </c>
      <c r="E37" s="3">
        <f>IF(D37="","",MOD(D37,1))</f>
        <v/>
      </c>
      <c r="F37">
        <f>IF(D37="","",TEXT(D37,"mmm"))</f>
        <v/>
      </c>
      <c r="G37">
        <f>IF(D37="","",YEAR(D37))</f>
        <v/>
      </c>
      <c r="H37">
        <f>IF(D37="","",HOUR(D37))</f>
        <v/>
      </c>
      <c r="I37" t="inlineStr">
        <is>
          <t>2026002230</t>
        </is>
      </c>
      <c r="J37" t="inlineStr">
        <is>
          <t>HAZSIT||OVERPRESSURE||RUPTURE_WITHOUT_FIRE</t>
        </is>
      </c>
      <c r="K37" t="inlineStr"/>
      <c r="L37" t="inlineStr"/>
      <c r="M37" t="inlineStr">
        <is>
          <t>55 HOWLAND ST</t>
        </is>
      </c>
      <c r="N37" t="inlineStr">
        <is>
          <t>MARLBOROUGH</t>
        </is>
      </c>
      <c r="O37" t="inlineStr">
        <is>
          <t>MA</t>
        </is>
      </c>
      <c r="P37" t="inlineStr">
        <is>
          <t>01752</t>
        </is>
      </c>
      <c r="Q37" t="inlineStr"/>
      <c r="R37" t="inlineStr">
        <is>
          <t>RESIDENTIAL</t>
        </is>
      </c>
      <c r="S37" t="inlineStr">
        <is>
          <t>MULTI_FAMILY_LOWRISE_DWELLING</t>
        </is>
      </c>
      <c r="T37" t="inlineStr"/>
      <c r="U37" t="inlineStr"/>
      <c r="V37" t="inlineStr">
        <is>
          <t>FD25017050|2026002230|1774794127</t>
        </is>
      </c>
      <c r="W37" t="inlineStr"/>
      <c r="X37" t="inlineStr"/>
      <c r="Y37" t="inlineStr"/>
      <c r="Z37" t="inlineStr"/>
      <c r="AA37" t="inlineStr"/>
      <c r="AB37" t="inlineStr"/>
      <c r="AC37" t="inlineStr">
        <is>
          <t>CONSUMER_PRODUCTS||CELL_PHONE</t>
        </is>
      </c>
      <c r="AD37" t="inlineStr">
        <is>
          <t>SOURCE</t>
        </is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n">
        <v>0</v>
      </c>
      <c r="AU37" t="n">
        <v>0</v>
      </c>
      <c r="AV37" t="n">
        <v>0</v>
      </c>
      <c r="AW37" t="n">
        <v>0</v>
      </c>
    </row>
    <row r="38">
      <c r="A38" t="inlineStr">
        <is>
          <t>FD25017095</t>
        </is>
      </c>
      <c r="B38" t="inlineStr">
        <is>
          <t>Town Of Acton/Fire Department</t>
        </is>
      </c>
      <c r="C38" t="inlineStr">
        <is>
          <t>2026-03-10T09:00:28+00:00</t>
        </is>
      </c>
      <c r="D38" s="2">
        <f>IF(C38="","",DATE(VALUE(LEFT(C38,4)),VALUE(MID(C38,6,2)),VALUE(MID(C38,9,2)))+TIME(VALUE(MID(C38,12,2)),VALUE(MID(C38,15,2)),VALUE(MID(C38,18,2)))-IF(AND(DATE(VALUE(LEFT(C38,4)),VALUE(MID(C38,6,2)),VALUE(MID(C38,9,2)))+TIME(VALUE(MID(C38,12,2)),VALUE(MID(C38,15,2)),VALUE(MID(C38,18,2)))&gt;=DATE(VALUE(LEFT(C38,4)),3,1)+MOD(8-WEEKDAY(DATE(VALUE(LEFT(C38,4)),3,1)),7)+7+TIME(7,0,0),DATE(VALUE(LEFT(C38,4)),3,1)+MOD(8-WEEKDAY(DATE(VALUE(LEFT(C38,4)),3,1)),7)+7+TIME(7,0,0)&lt;DATE(VALUE(LEFT(C38,4)),11,1)+MOD(8-WEEKDAY(DATE(VALUE(LEFT(C38,4)),11,1)),7)+TIME(6,0,0)), TIME(4,0,0),TIME(5,0,0)))</f>
        <v/>
      </c>
      <c r="E38" s="3">
        <f>IF(D38="","",MOD(D38,1))</f>
        <v/>
      </c>
      <c r="F38">
        <f>IF(D38="","",TEXT(D38,"mmm"))</f>
        <v/>
      </c>
      <c r="G38">
        <f>IF(D38="","",YEAR(D38))</f>
        <v/>
      </c>
      <c r="H38">
        <f>IF(D38="","",HOUR(D38))</f>
        <v/>
      </c>
      <c r="I38" t="inlineStr">
        <is>
          <t>26-4772_639087330026829243</t>
        </is>
      </c>
      <c r="J38" t="inlineStr">
        <is>
          <t>HAZSIT||HAZARD_NONCHEM||ELEC_HAZARD_SHORT_CIRCUIT</t>
        </is>
      </c>
      <c r="K38" t="inlineStr"/>
      <c r="L38" t="inlineStr"/>
      <c r="M38" t="inlineStr">
        <is>
          <t>Main STREET</t>
        </is>
      </c>
      <c r="N38" t="inlineStr"/>
      <c r="O38" t="inlineStr">
        <is>
          <t>MA</t>
        </is>
      </c>
      <c r="P38" t="inlineStr">
        <is>
          <t>01720</t>
        </is>
      </c>
      <c r="Q38" t="inlineStr">
        <is>
          <t>Middlesex County</t>
        </is>
      </c>
      <c r="R38" t="inlineStr">
        <is>
          <t>RESIDENTIAL</t>
        </is>
      </c>
      <c r="S38" t="inlineStr">
        <is>
          <t>ATTACHED_SINGLE_FAMILY_DWELLING</t>
        </is>
      </c>
      <c r="T38" t="inlineStr"/>
      <c r="U38" t="inlineStr"/>
      <c r="V38" t="inlineStr">
        <is>
          <t>FD25017095|26-4772_639087330026829243|1773133252</t>
        </is>
      </c>
      <c r="W38" t="inlineStr"/>
      <c r="X38" t="inlineStr"/>
      <c r="Y38" t="inlineStr"/>
      <c r="Z38" t="inlineStr"/>
      <c r="AA38" t="inlineStr"/>
      <c r="AB38" t="inlineStr"/>
      <c r="AC38" t="inlineStr">
        <is>
          <t>ENERGY_STORAGE_SYSTEM||OTHER</t>
        </is>
      </c>
      <c r="AD38" t="inlineStr">
        <is>
          <t>UNKNOWN</t>
        </is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n">
        <v>0</v>
      </c>
      <c r="AU38" t="n">
        <v>0</v>
      </c>
      <c r="AV38" t="n">
        <v>0</v>
      </c>
      <c r="AW38" t="n">
        <v>0</v>
      </c>
    </row>
    <row r="39">
      <c r="A39" t="inlineStr">
        <is>
          <t>FD25017107</t>
        </is>
      </c>
      <c r="B39" t="inlineStr">
        <is>
          <t>Melrose Fire Department</t>
        </is>
      </c>
      <c r="C39" t="inlineStr">
        <is>
          <t>2026-07-26T21:12:34+00:00</t>
        </is>
      </c>
      <c r="D39" s="2">
        <f>IF(C39="","",DATE(VALUE(LEFT(C39,4)),VALUE(MID(C39,6,2)),VALUE(MID(C39,9,2)))+TIME(VALUE(MID(C39,12,2)),VALUE(MID(C39,15,2)),VALUE(MID(C39,18,2)))-IF(AND(DATE(VALUE(LEFT(C39,4)),VALUE(MID(C39,6,2)),VALUE(MID(C39,9,2)))+TIME(VALUE(MID(C39,12,2)),VALUE(MID(C39,15,2)),VALUE(MID(C39,18,2)))&gt;=DATE(VALUE(LEFT(C39,4)),3,1)+MOD(8-WEEKDAY(DATE(VALUE(LEFT(C39,4)),3,1)),7)+7+TIME(7,0,0),DATE(VALUE(LEFT(C39,4)),3,1)+MOD(8-WEEKDAY(DATE(VALUE(LEFT(C39,4)),3,1)),7)+7+TIME(7,0,0)&lt;DATE(VALUE(LEFT(C39,4)),11,1)+MOD(8-WEEKDAY(DATE(VALUE(LEFT(C39,4)),11,1)),7)+TIME(6,0,0)), TIME(4,0,0),TIME(5,0,0)))</f>
        <v/>
      </c>
      <c r="E39" s="3">
        <f>IF(D39="","",MOD(D39,1))</f>
        <v/>
      </c>
      <c r="F39">
        <f>IF(D39="","",TEXT(D39,"mmm"))</f>
        <v/>
      </c>
      <c r="G39">
        <f>IF(D39="","",YEAR(D39))</f>
        <v/>
      </c>
      <c r="H39">
        <f>IF(D39="","",HOUR(D39))</f>
        <v/>
      </c>
      <c r="I39" t="inlineStr">
        <is>
          <t>26-2422</t>
        </is>
      </c>
      <c r="J39" t="inlineStr">
        <is>
          <t>FIRE||STRUCTURE_FIRE||ROOM_AND_CONTENTS_FIRE</t>
        </is>
      </c>
      <c r="K39" t="inlineStr"/>
      <c r="L39" t="inlineStr"/>
      <c r="M39" t="inlineStr">
        <is>
          <t>50 PARK</t>
        </is>
      </c>
      <c r="N39" t="inlineStr"/>
      <c r="O39" t="inlineStr">
        <is>
          <t>MA</t>
        </is>
      </c>
      <c r="P39" t="inlineStr">
        <is>
          <t>02176</t>
        </is>
      </c>
      <c r="Q39" t="inlineStr">
        <is>
          <t>Middlesex County</t>
        </is>
      </c>
      <c r="R39" t="inlineStr"/>
      <c r="S39" t="inlineStr"/>
      <c r="T39" t="inlineStr"/>
      <c r="U39" t="inlineStr"/>
      <c r="V39" t="inlineStr">
        <is>
          <t>FD25017107|26-2422|1785100354</t>
        </is>
      </c>
      <c r="W39" t="inlineStr"/>
      <c r="X39" t="inlineStr"/>
      <c r="Y39" t="inlineStr"/>
      <c r="Z39" t="inlineStr"/>
      <c r="AA39" t="inlineStr"/>
      <c r="AB39" t="inlineStr"/>
      <c r="AC39" t="inlineStr">
        <is>
          <t>CONSUMER_PRODUCTS||OTHER</t>
        </is>
      </c>
      <c r="AD39" t="inlineStr">
        <is>
          <t>SOURCE</t>
        </is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n">
        <v>0</v>
      </c>
      <c r="AU39" t="n">
        <v>0</v>
      </c>
      <c r="AV39" t="n">
        <v>0</v>
      </c>
      <c r="AW39" t="n">
        <v>0</v>
      </c>
    </row>
    <row r="40">
      <c r="A40" t="inlineStr">
        <is>
          <t>FD25017248</t>
        </is>
      </c>
      <c r="B40" t="inlineStr">
        <is>
          <t>Sherborn Fire And Rescue Department</t>
        </is>
      </c>
      <c r="C40" t="inlineStr">
        <is>
          <t>2026-01-31T05:34:00+00:00</t>
        </is>
      </c>
      <c r="D40" s="2">
        <f>IF(C40="","",DATE(VALUE(LEFT(C40,4)),VALUE(MID(C40,6,2)),VALUE(MID(C40,9,2)))+TIME(VALUE(MID(C40,12,2)),VALUE(MID(C40,15,2)),VALUE(MID(C40,18,2)))-IF(AND(DATE(VALUE(LEFT(C40,4)),VALUE(MID(C40,6,2)),VALUE(MID(C40,9,2)))+TIME(VALUE(MID(C40,12,2)),VALUE(MID(C40,15,2)),VALUE(MID(C40,18,2)))&gt;=DATE(VALUE(LEFT(C40,4)),3,1)+MOD(8-WEEKDAY(DATE(VALUE(LEFT(C40,4)),3,1)),7)+7+TIME(7,0,0),DATE(VALUE(LEFT(C40,4)),3,1)+MOD(8-WEEKDAY(DATE(VALUE(LEFT(C40,4)),3,1)),7)+7+TIME(7,0,0)&lt;DATE(VALUE(LEFT(C40,4)),11,1)+MOD(8-WEEKDAY(DATE(VALUE(LEFT(C40,4)),11,1)),7)+TIME(6,0,0)), TIME(4,0,0),TIME(5,0,0)))</f>
        <v/>
      </c>
      <c r="E40" s="3">
        <f>IF(D40="","",MOD(D40,1))</f>
        <v/>
      </c>
      <c r="F40">
        <f>IF(D40="","",TEXT(D40,"mmm"))</f>
        <v/>
      </c>
      <c r="G40">
        <f>IF(D40="","",YEAR(D40))</f>
        <v/>
      </c>
      <c r="H40">
        <f>IF(D40="","",HOUR(D40))</f>
        <v/>
      </c>
      <c r="I40" t="inlineStr">
        <is>
          <t>26-20326</t>
        </is>
      </c>
      <c r="J40" t="inlineStr">
        <is>
          <t>HAZSIT||HAZARD_NONCHEM||ELEC_POWER_LINE_DOWN_ARCHING_MALFUNC</t>
        </is>
      </c>
      <c r="K40" t="inlineStr"/>
      <c r="L40" t="inlineStr"/>
      <c r="M40" t="inlineStr">
        <is>
          <t>Woodland</t>
        </is>
      </c>
      <c r="N40" t="inlineStr">
        <is>
          <t>Sherborn</t>
        </is>
      </c>
      <c r="O40" t="inlineStr">
        <is>
          <t>MA</t>
        </is>
      </c>
      <c r="P40" t="inlineStr">
        <is>
          <t>01770</t>
        </is>
      </c>
      <c r="Q40" t="inlineStr">
        <is>
          <t>Middlesex County</t>
        </is>
      </c>
      <c r="R40" t="inlineStr">
        <is>
          <t>ROADWAY_ACCESS</t>
        </is>
      </c>
      <c r="S40" t="inlineStr">
        <is>
          <t>STREET</t>
        </is>
      </c>
      <c r="T40" t="inlineStr"/>
      <c r="U40" t="inlineStr"/>
      <c r="V40" t="inlineStr">
        <is>
          <t>FD25017248|26-20326|1769837640</t>
        </is>
      </c>
      <c r="W40" t="inlineStr"/>
      <c r="X40" t="inlineStr"/>
      <c r="Y40" t="inlineStr"/>
      <c r="Z40" t="inlineStr"/>
      <c r="AA40" t="inlineStr"/>
      <c r="AB40" t="inlineStr"/>
      <c r="AC40" t="inlineStr">
        <is>
          <t>CONSUMER_PRODUCTS||OTHER</t>
        </is>
      </c>
      <c r="AD40" t="inlineStr">
        <is>
          <t>SOURCE</t>
        </is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n">
        <v>0</v>
      </c>
      <c r="AU40" t="n">
        <v>0</v>
      </c>
      <c r="AV40" t="n">
        <v>0</v>
      </c>
      <c r="AW40" t="n">
        <v>0</v>
      </c>
    </row>
    <row r="41">
      <c r="A41" t="inlineStr">
        <is>
          <t>FD25017266</t>
        </is>
      </c>
      <c r="B41" t="inlineStr">
        <is>
          <t>Arlington Fire Department</t>
        </is>
      </c>
      <c r="C41" t="inlineStr">
        <is>
          <t>2026-03-19T13:30:39+00:00</t>
        </is>
      </c>
      <c r="D41" s="2">
        <f>IF(C41="","",DATE(VALUE(LEFT(C41,4)),VALUE(MID(C41,6,2)),VALUE(MID(C41,9,2)))+TIME(VALUE(MID(C41,12,2)),VALUE(MID(C41,15,2)),VALUE(MID(C41,18,2)))-IF(AND(DATE(VALUE(LEFT(C41,4)),VALUE(MID(C41,6,2)),VALUE(MID(C41,9,2)))+TIME(VALUE(MID(C41,12,2)),VALUE(MID(C41,15,2)),VALUE(MID(C41,18,2)))&gt;=DATE(VALUE(LEFT(C41,4)),3,1)+MOD(8-WEEKDAY(DATE(VALUE(LEFT(C41,4)),3,1)),7)+7+TIME(7,0,0),DATE(VALUE(LEFT(C41,4)),3,1)+MOD(8-WEEKDAY(DATE(VALUE(LEFT(C41,4)),3,1)),7)+7+TIME(7,0,0)&lt;DATE(VALUE(LEFT(C41,4)),11,1)+MOD(8-WEEKDAY(DATE(VALUE(LEFT(C41,4)),11,1)),7)+TIME(6,0,0)), TIME(4,0,0),TIME(5,0,0)))</f>
        <v/>
      </c>
      <c r="E41" s="3">
        <f>IF(D41="","",MOD(D41,1))</f>
        <v/>
      </c>
      <c r="F41">
        <f>IF(D41="","",TEXT(D41,"mmm"))</f>
        <v/>
      </c>
      <c r="G41">
        <f>IF(D41="","",YEAR(D41))</f>
        <v/>
      </c>
      <c r="H41">
        <f>IF(D41="","",HOUR(D41))</f>
        <v/>
      </c>
      <c r="I41" t="inlineStr">
        <is>
          <t>2026-6008180</t>
        </is>
      </c>
      <c r="J41" t="inlineStr">
        <is>
          <t>FIRE||STRUCTURE_FIRE||ROOM_AND_CONTENTS_FIRE</t>
        </is>
      </c>
      <c r="K41" t="inlineStr"/>
      <c r="L41" t="inlineStr"/>
      <c r="M41" t="inlineStr">
        <is>
          <t>7 WINTER</t>
        </is>
      </c>
      <c r="N41" t="inlineStr"/>
      <c r="O41" t="inlineStr">
        <is>
          <t>MA</t>
        </is>
      </c>
      <c r="P41" t="inlineStr">
        <is>
          <t>02474</t>
        </is>
      </c>
      <c r="Q41" t="inlineStr">
        <is>
          <t>Middlesex County</t>
        </is>
      </c>
      <c r="R41" t="inlineStr"/>
      <c r="S41" t="inlineStr"/>
      <c r="T41" t="inlineStr"/>
      <c r="U41" t="inlineStr"/>
      <c r="V41" t="inlineStr">
        <is>
          <t>FD25017266|2026-6008180|1773927039</t>
        </is>
      </c>
      <c r="W41" t="inlineStr"/>
      <c r="X41" t="inlineStr"/>
      <c r="Y41" t="inlineStr"/>
      <c r="Z41" t="inlineStr"/>
      <c r="AA41" t="inlineStr"/>
      <c r="AB41" t="inlineStr"/>
      <c r="AC41" t="inlineStr">
        <is>
          <t>CONSUMER_PRODUCTS||COMPUTER_TABLET</t>
        </is>
      </c>
      <c r="AD41" t="inlineStr">
        <is>
          <t>SOURCE</t>
        </is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n">
        <v>0</v>
      </c>
      <c r="AU41" t="n">
        <v>0</v>
      </c>
      <c r="AV41" t="n">
        <v>0</v>
      </c>
      <c r="AW41" t="n">
        <v>0</v>
      </c>
    </row>
    <row r="42">
      <c r="A42" t="inlineStr">
        <is>
          <t>FD25017401</t>
        </is>
      </c>
      <c r="B42" t="inlineStr">
        <is>
          <t>Groton Fire Department</t>
        </is>
      </c>
      <c r="C42" t="inlineStr">
        <is>
          <t>2026-08-05T16:13:00+00:00</t>
        </is>
      </c>
      <c r="D42" s="2">
        <f>IF(C42="","",DATE(VALUE(LEFT(C42,4)),VALUE(MID(C42,6,2)),VALUE(MID(C42,9,2)))+TIME(VALUE(MID(C42,12,2)),VALUE(MID(C42,15,2)),VALUE(MID(C42,18,2)))-IF(AND(DATE(VALUE(LEFT(C42,4)),VALUE(MID(C42,6,2)),VALUE(MID(C42,9,2)))+TIME(VALUE(MID(C42,12,2)),VALUE(MID(C42,15,2)),VALUE(MID(C42,18,2)))&gt;=DATE(VALUE(LEFT(C42,4)),3,1)+MOD(8-WEEKDAY(DATE(VALUE(LEFT(C42,4)),3,1)),7)+7+TIME(7,0,0),DATE(VALUE(LEFT(C42,4)),3,1)+MOD(8-WEEKDAY(DATE(VALUE(LEFT(C42,4)),3,1)),7)+7+TIME(7,0,0)&lt;DATE(VALUE(LEFT(C42,4)),11,1)+MOD(8-WEEKDAY(DATE(VALUE(LEFT(C42,4)),11,1)),7)+TIME(6,0,0)), TIME(4,0,0),TIME(5,0,0)))</f>
        <v/>
      </c>
      <c r="E42" s="3">
        <f>IF(D42="","",MOD(D42,1))</f>
        <v/>
      </c>
      <c r="F42">
        <f>IF(D42="","",TEXT(D42,"mmm"))</f>
        <v/>
      </c>
      <c r="G42">
        <f>IF(D42="","",YEAR(D42))</f>
        <v/>
      </c>
      <c r="H42">
        <f>IF(D42="","",HOUR(D42))</f>
        <v/>
      </c>
      <c r="I42" t="inlineStr">
        <is>
          <t>26-41258_639217213465817871</t>
        </is>
      </c>
      <c r="J42" t="inlineStr">
        <is>
          <t>FIRE||TRANSPORTATION_FIRE||VEHICLE_FIRE_PASSENGER</t>
        </is>
      </c>
      <c r="K42" t="inlineStr"/>
      <c r="L42" t="inlineStr"/>
      <c r="M42" t="inlineStr">
        <is>
          <t>Gay</t>
        </is>
      </c>
      <c r="N42" t="inlineStr">
        <is>
          <t>Groton</t>
        </is>
      </c>
      <c r="O42" t="inlineStr">
        <is>
          <t>MA</t>
        </is>
      </c>
      <c r="P42" t="inlineStr">
        <is>
          <t>01450</t>
        </is>
      </c>
      <c r="Q42" t="inlineStr">
        <is>
          <t>Middlesex County</t>
        </is>
      </c>
      <c r="R42" t="inlineStr"/>
      <c r="S42" t="inlineStr"/>
      <c r="T42" t="inlineStr"/>
      <c r="U42" t="inlineStr"/>
      <c r="V42" t="inlineStr">
        <is>
          <t>FD25017401|26-41258_639217213465817871|1785946507</t>
        </is>
      </c>
      <c r="W42" t="inlineStr"/>
      <c r="X42" t="inlineStr"/>
      <c r="Y42" t="inlineStr"/>
      <c r="Z42" t="inlineStr"/>
      <c r="AA42" t="inlineStr"/>
      <c r="AB42" t="inlineStr"/>
      <c r="AC42" t="inlineStr">
        <is>
          <t>ELECTRIC_VEHICLE||CAR_RR||FULL_ELECTRIC</t>
        </is>
      </c>
      <c r="AD42" t="inlineStr">
        <is>
          <t>UNKNOWN</t>
        </is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n">
        <v>0</v>
      </c>
      <c r="AU42" t="n">
        <v>4</v>
      </c>
      <c r="AV42" t="n">
        <v>0</v>
      </c>
      <c r="AW42" t="n">
        <v>1</v>
      </c>
    </row>
    <row r="43">
      <c r="A43" t="inlineStr">
        <is>
          <t>FD25017868</t>
        </is>
      </c>
      <c r="B43" t="inlineStr">
        <is>
          <t>Hopkinton Fire Department</t>
        </is>
      </c>
      <c r="C43" t="inlineStr">
        <is>
          <t>2026-05-20T10:15:34+00:00</t>
        </is>
      </c>
      <c r="D43" s="2">
        <f>IF(C43="","",DATE(VALUE(LEFT(C43,4)),VALUE(MID(C43,6,2)),VALUE(MID(C43,9,2)))+TIME(VALUE(MID(C43,12,2)),VALUE(MID(C43,15,2)),VALUE(MID(C43,18,2)))-IF(AND(DATE(VALUE(LEFT(C43,4)),VALUE(MID(C43,6,2)),VALUE(MID(C43,9,2)))+TIME(VALUE(MID(C43,12,2)),VALUE(MID(C43,15,2)),VALUE(MID(C43,18,2)))&gt;=DATE(VALUE(LEFT(C43,4)),3,1)+MOD(8-WEEKDAY(DATE(VALUE(LEFT(C43,4)),3,1)),7)+7+TIME(7,0,0),DATE(VALUE(LEFT(C43,4)),3,1)+MOD(8-WEEKDAY(DATE(VALUE(LEFT(C43,4)),3,1)),7)+7+TIME(7,0,0)&lt;DATE(VALUE(LEFT(C43,4)),11,1)+MOD(8-WEEKDAY(DATE(VALUE(LEFT(C43,4)),11,1)),7)+TIME(6,0,0)), TIME(4,0,0),TIME(5,0,0)))</f>
        <v/>
      </c>
      <c r="E43" s="3">
        <f>IF(D43="","",MOD(D43,1))</f>
        <v/>
      </c>
      <c r="F43">
        <f>IF(D43="","",TEXT(D43,"mmm"))</f>
        <v/>
      </c>
      <c r="G43">
        <f>IF(D43="","",YEAR(D43))</f>
        <v/>
      </c>
      <c r="H43">
        <f>IF(D43="","",HOUR(D43))</f>
        <v/>
      </c>
      <c r="I43" t="inlineStr">
        <is>
          <t>2026001071</t>
        </is>
      </c>
      <c r="J43" t="inlineStr">
        <is>
          <t>FIRE||OUTSIDE_FIRE||TRASH_RUBBISH_FIRE</t>
        </is>
      </c>
      <c r="K43" t="inlineStr"/>
      <c r="L43" t="inlineStr"/>
      <c r="M43" t="inlineStr">
        <is>
          <t>394 Wood St</t>
        </is>
      </c>
      <c r="N43" t="inlineStr"/>
      <c r="O43" t="inlineStr">
        <is>
          <t>MA</t>
        </is>
      </c>
      <c r="P43" t="inlineStr">
        <is>
          <t>01748</t>
        </is>
      </c>
      <c r="Q43" t="inlineStr">
        <is>
          <t>Hopkinton</t>
        </is>
      </c>
      <c r="R43" t="inlineStr">
        <is>
          <t>UTILITY_MISC</t>
        </is>
      </c>
      <c r="S43" t="inlineStr">
        <is>
          <t>TRASH_RECYCLING_FACILITY</t>
        </is>
      </c>
      <c r="T43" t="inlineStr"/>
      <c r="U43" t="inlineStr"/>
      <c r="V43" t="inlineStr">
        <is>
          <t>FD25017868|2026001071|1779272150</t>
        </is>
      </c>
      <c r="W43" t="inlineStr"/>
      <c r="X43" t="inlineStr"/>
      <c r="Y43" t="inlineStr"/>
      <c r="Z43" t="inlineStr"/>
      <c r="AA43" t="inlineStr"/>
      <c r="AB43" t="inlineStr"/>
      <c r="AC43" t="inlineStr">
        <is>
          <t>CONSUMER_PRODUCTS||POWER_BANK</t>
        </is>
      </c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n">
        <v>0</v>
      </c>
      <c r="AU43" t="n">
        <v>0</v>
      </c>
      <c r="AV43" t="n">
        <v>0</v>
      </c>
      <c r="AW43" t="n">
        <v>0</v>
      </c>
    </row>
    <row r="44">
      <c r="A44" t="inlineStr">
        <is>
          <t>FD25017868</t>
        </is>
      </c>
      <c r="B44" t="inlineStr">
        <is>
          <t>Hopkinton Fire Department</t>
        </is>
      </c>
      <c r="C44" t="inlineStr">
        <is>
          <t>2026-05-13T16:53:12+00:00</t>
        </is>
      </c>
      <c r="D44" s="2">
        <f>IF(C44="","",DATE(VALUE(LEFT(C44,4)),VALUE(MID(C44,6,2)),VALUE(MID(C44,9,2)))+TIME(VALUE(MID(C44,12,2)),VALUE(MID(C44,15,2)),VALUE(MID(C44,18,2)))-IF(AND(DATE(VALUE(LEFT(C44,4)),VALUE(MID(C44,6,2)),VALUE(MID(C44,9,2)))+TIME(VALUE(MID(C44,12,2)),VALUE(MID(C44,15,2)),VALUE(MID(C44,18,2)))&gt;=DATE(VALUE(LEFT(C44,4)),3,1)+MOD(8-WEEKDAY(DATE(VALUE(LEFT(C44,4)),3,1)),7)+7+TIME(7,0,0),DATE(VALUE(LEFT(C44,4)),3,1)+MOD(8-WEEKDAY(DATE(VALUE(LEFT(C44,4)),3,1)),7)+7+TIME(7,0,0)&lt;DATE(VALUE(LEFT(C44,4)),11,1)+MOD(8-WEEKDAY(DATE(VALUE(LEFT(C44,4)),11,1)),7)+TIME(6,0,0)), TIME(4,0,0),TIME(5,0,0)))</f>
        <v/>
      </c>
      <c r="E44" s="3">
        <f>IF(D44="","",MOD(D44,1))</f>
        <v/>
      </c>
      <c r="F44">
        <f>IF(D44="","",TEXT(D44,"mmm"))</f>
        <v/>
      </c>
      <c r="G44">
        <f>IF(D44="","",YEAR(D44))</f>
        <v/>
      </c>
      <c r="H44">
        <f>IF(D44="","",HOUR(D44))</f>
        <v/>
      </c>
      <c r="I44" t="inlineStr">
        <is>
          <t>2026001029</t>
        </is>
      </c>
      <c r="J44" t="inlineStr">
        <is>
          <t>MEDICAL||INJURY||MOTOR_VEHICLE_COLLISION</t>
        </is>
      </c>
      <c r="K44" t="inlineStr"/>
      <c r="L44" t="inlineStr"/>
      <c r="M44" t="inlineStr">
        <is>
          <t>Lumber St/W Main St</t>
        </is>
      </c>
      <c r="N44" t="inlineStr"/>
      <c r="O44" t="inlineStr">
        <is>
          <t>MA</t>
        </is>
      </c>
      <c r="P44" t="inlineStr">
        <is>
          <t>01748</t>
        </is>
      </c>
      <c r="Q44" t="inlineStr">
        <is>
          <t>Hopkinton</t>
        </is>
      </c>
      <c r="R44" t="inlineStr">
        <is>
          <t>ROADWAY_ACCESS</t>
        </is>
      </c>
      <c r="S44" t="inlineStr">
        <is>
          <t>STREET</t>
        </is>
      </c>
      <c r="T44" t="inlineStr"/>
      <c r="U44" t="inlineStr"/>
      <c r="V44" t="inlineStr">
        <is>
          <t>FD25017868|2026001029|1778691192</t>
        </is>
      </c>
      <c r="W44" t="inlineStr"/>
      <c r="X44" t="inlineStr"/>
      <c r="Y44" t="inlineStr"/>
      <c r="Z44" t="inlineStr"/>
      <c r="AA44" t="inlineStr"/>
      <c r="AB44" t="inlineStr"/>
      <c r="AC44" t="inlineStr">
        <is>
          <t>ELECTRIC_VEHICLE||CAR_RR||FULL_ELECTRIC</t>
        </is>
      </c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n">
        <v>0</v>
      </c>
      <c r="AU44" t="n">
        <v>0</v>
      </c>
      <c r="AV44" t="n">
        <v>0</v>
      </c>
      <c r="AW44" t="n">
        <v>0</v>
      </c>
    </row>
    <row r="45">
      <c r="A45" t="inlineStr">
        <is>
          <t>FD25017868</t>
        </is>
      </c>
      <c r="B45" t="inlineStr">
        <is>
          <t>Hopkinton Fire Department</t>
        </is>
      </c>
      <c r="C45" t="inlineStr">
        <is>
          <t>2026-04-17T17:01:53+00:00</t>
        </is>
      </c>
      <c r="D45" s="2">
        <f>IF(C45="","",DATE(VALUE(LEFT(C45,4)),VALUE(MID(C45,6,2)),VALUE(MID(C45,9,2)))+TIME(VALUE(MID(C45,12,2)),VALUE(MID(C45,15,2)),VALUE(MID(C45,18,2)))-IF(AND(DATE(VALUE(LEFT(C45,4)),VALUE(MID(C45,6,2)),VALUE(MID(C45,9,2)))+TIME(VALUE(MID(C45,12,2)),VALUE(MID(C45,15,2)),VALUE(MID(C45,18,2)))&gt;=DATE(VALUE(LEFT(C45,4)),3,1)+MOD(8-WEEKDAY(DATE(VALUE(LEFT(C45,4)),3,1)),7)+7+TIME(7,0,0),DATE(VALUE(LEFT(C45,4)),3,1)+MOD(8-WEEKDAY(DATE(VALUE(LEFT(C45,4)),3,1)),7)+7+TIME(7,0,0)&lt;DATE(VALUE(LEFT(C45,4)),11,1)+MOD(8-WEEKDAY(DATE(VALUE(LEFT(C45,4)),11,1)),7)+TIME(6,0,0)), TIME(4,0,0),TIME(5,0,0)))</f>
        <v/>
      </c>
      <c r="E45" s="3">
        <f>IF(D45="","",MOD(D45,1))</f>
        <v/>
      </c>
      <c r="F45">
        <f>IF(D45="","",TEXT(D45,"mmm"))</f>
        <v/>
      </c>
      <c r="G45">
        <f>IF(D45="","",YEAR(D45))</f>
        <v/>
      </c>
      <c r="H45">
        <f>IF(D45="","",HOUR(D45))</f>
        <v/>
      </c>
      <c r="I45" t="inlineStr">
        <is>
          <t>2026000816</t>
        </is>
      </c>
      <c r="J45" t="inlineStr">
        <is>
          <t>MEDICAL||INJURY||MOTOR_VEHICLE_COLLISION</t>
        </is>
      </c>
      <c r="K45" t="inlineStr"/>
      <c r="L45" t="inlineStr"/>
      <c r="M45" t="inlineStr">
        <is>
          <t>32 W Main St</t>
        </is>
      </c>
      <c r="N45" t="inlineStr"/>
      <c r="O45" t="inlineStr">
        <is>
          <t>MA</t>
        </is>
      </c>
      <c r="P45" t="inlineStr">
        <is>
          <t>01748</t>
        </is>
      </c>
      <c r="Q45" t="inlineStr">
        <is>
          <t>Hopkinton</t>
        </is>
      </c>
      <c r="R45" t="inlineStr">
        <is>
          <t>ROADWAY_ACCESS</t>
        </is>
      </c>
      <c r="S45" t="inlineStr">
        <is>
          <t>STREET</t>
        </is>
      </c>
      <c r="T45" t="inlineStr"/>
      <c r="U45" t="inlineStr"/>
      <c r="V45" t="inlineStr">
        <is>
          <t>FD25017868|2026000816|1776445332</t>
        </is>
      </c>
      <c r="W45" t="inlineStr"/>
      <c r="X45" t="inlineStr"/>
      <c r="Y45" t="inlineStr"/>
      <c r="Z45" t="inlineStr"/>
      <c r="AA45" t="inlineStr"/>
      <c r="AB45" t="inlineStr"/>
      <c r="AC45" t="inlineStr">
        <is>
          <t>ELECTRIC_VEHICLE||CAR_RR||FULL_ELECTRIC</t>
        </is>
      </c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n">
        <v>0</v>
      </c>
      <c r="AU45" t="n">
        <v>0</v>
      </c>
      <c r="AV45" t="n">
        <v>0</v>
      </c>
      <c r="AW45" t="n">
        <v>0</v>
      </c>
    </row>
    <row r="46">
      <c r="A46" t="inlineStr">
        <is>
          <t>FD25017955</t>
        </is>
      </c>
      <c r="B46" t="inlineStr">
        <is>
          <t>Stow Fire</t>
        </is>
      </c>
      <c r="C46" t="inlineStr">
        <is>
          <t>2026-08-02T21:36:00+00:00</t>
        </is>
      </c>
      <c r="D46" s="2">
        <f>IF(C46="","",DATE(VALUE(LEFT(C46,4)),VALUE(MID(C46,6,2)),VALUE(MID(C46,9,2)))+TIME(VALUE(MID(C46,12,2)),VALUE(MID(C46,15,2)),VALUE(MID(C46,18,2)))-IF(AND(DATE(VALUE(LEFT(C46,4)),VALUE(MID(C46,6,2)),VALUE(MID(C46,9,2)))+TIME(VALUE(MID(C46,12,2)),VALUE(MID(C46,15,2)),VALUE(MID(C46,18,2)))&gt;=DATE(VALUE(LEFT(C46,4)),3,1)+MOD(8-WEEKDAY(DATE(VALUE(LEFT(C46,4)),3,1)),7)+7+TIME(7,0,0),DATE(VALUE(LEFT(C46,4)),3,1)+MOD(8-WEEKDAY(DATE(VALUE(LEFT(C46,4)),3,1)),7)+7+TIME(7,0,0)&lt;DATE(VALUE(LEFT(C46,4)),11,1)+MOD(8-WEEKDAY(DATE(VALUE(LEFT(C46,4)),11,1)),7)+TIME(6,0,0)), TIME(4,0,0),TIME(5,0,0)))</f>
        <v/>
      </c>
      <c r="E46" s="3">
        <f>IF(D46="","",MOD(D46,1))</f>
        <v/>
      </c>
      <c r="F46">
        <f>IF(D46="","",TEXT(D46,"mmm"))</f>
        <v/>
      </c>
      <c r="G46">
        <f>IF(D46="","",YEAR(D46))</f>
        <v/>
      </c>
      <c r="H46">
        <f>IF(D46="","",HOUR(D46))</f>
        <v/>
      </c>
      <c r="I46" t="inlineStr">
        <is>
          <t>50e9ffbb-dd6d-4f62-8a00-70b42b453712</t>
        </is>
      </c>
      <c r="J46" t="inlineStr">
        <is>
          <t>PUBSERV||CITIZEN_ASSIST||CITIZEN_ASSIST_SERVICE_CALL</t>
        </is>
      </c>
      <c r="K46" t="inlineStr"/>
      <c r="L46" t="inlineStr"/>
      <c r="M46" t="inlineStr">
        <is>
          <t>Hudson</t>
        </is>
      </c>
      <c r="N46" t="inlineStr">
        <is>
          <t>Stow</t>
        </is>
      </c>
      <c r="O46" t="inlineStr">
        <is>
          <t>MA</t>
        </is>
      </c>
      <c r="P46" t="inlineStr">
        <is>
          <t>01775</t>
        </is>
      </c>
      <c r="Q46" t="inlineStr">
        <is>
          <t>Middlesex County</t>
        </is>
      </c>
      <c r="R46" t="inlineStr">
        <is>
          <t>RESIDENTIAL</t>
        </is>
      </c>
      <c r="S46" t="inlineStr">
        <is>
          <t>DETATCHED_SINGLE_FAMILY_DWELLING</t>
        </is>
      </c>
      <c r="T46" t="inlineStr"/>
      <c r="U46" t="inlineStr"/>
      <c r="V46" t="inlineStr">
        <is>
          <t>FD25017955|26-694|1785706560</t>
        </is>
      </c>
      <c r="W46" t="inlineStr"/>
      <c r="X46" t="inlineStr"/>
      <c r="Y46" t="inlineStr"/>
      <c r="Z46" t="inlineStr"/>
      <c r="AA46" t="inlineStr"/>
      <c r="AB46" t="inlineStr"/>
      <c r="AC46" t="inlineStr">
        <is>
          <t>CONSUMER_PRODUCTS||POWER_BANK</t>
        </is>
      </c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n">
        <v>0</v>
      </c>
      <c r="AU46" t="n">
        <v>0</v>
      </c>
      <c r="AV46" t="n">
        <v>0</v>
      </c>
      <c r="AW46" t="n">
        <v>0</v>
      </c>
    </row>
    <row r="47">
      <c r="A47" t="inlineStr">
        <is>
          <t>FD25017955</t>
        </is>
      </c>
      <c r="B47" t="inlineStr">
        <is>
          <t>Stow Fire</t>
        </is>
      </c>
      <c r="C47" t="inlineStr">
        <is>
          <t>2026-03-10T15:19:00+00:00</t>
        </is>
      </c>
      <c r="D47" s="2">
        <f>IF(C47="","",DATE(VALUE(LEFT(C47,4)),VALUE(MID(C47,6,2)),VALUE(MID(C47,9,2)))+TIME(VALUE(MID(C47,12,2)),VALUE(MID(C47,15,2)),VALUE(MID(C47,18,2)))-IF(AND(DATE(VALUE(LEFT(C47,4)),VALUE(MID(C47,6,2)),VALUE(MID(C47,9,2)))+TIME(VALUE(MID(C47,12,2)),VALUE(MID(C47,15,2)),VALUE(MID(C47,18,2)))&gt;=DATE(VALUE(LEFT(C47,4)),3,1)+MOD(8-WEEKDAY(DATE(VALUE(LEFT(C47,4)),3,1)),7)+7+TIME(7,0,0),DATE(VALUE(LEFT(C47,4)),3,1)+MOD(8-WEEKDAY(DATE(VALUE(LEFT(C47,4)),3,1)),7)+7+TIME(7,0,0)&lt;DATE(VALUE(LEFT(C47,4)),11,1)+MOD(8-WEEKDAY(DATE(VALUE(LEFT(C47,4)),11,1)),7)+TIME(6,0,0)), TIME(4,0,0),TIME(5,0,0)))</f>
        <v/>
      </c>
      <c r="E47" s="3">
        <f>IF(D47="","",MOD(D47,1))</f>
        <v/>
      </c>
      <c r="F47">
        <f>IF(D47="","",TEXT(D47,"mmm"))</f>
        <v/>
      </c>
      <c r="G47">
        <f>IF(D47="","",YEAR(D47))</f>
        <v/>
      </c>
      <c r="H47">
        <f>IF(D47="","",HOUR(D47))</f>
        <v/>
      </c>
      <c r="I47" t="inlineStr">
        <is>
          <t>c4850898-e42a-4ebf-8d32-40e349c173f0</t>
        </is>
      </c>
      <c r="J47" t="inlineStr">
        <is>
          <t>FIRE||STRUCTURE_FIRE||STRUCTURAL_INVOLVEMENT_FIRE</t>
        </is>
      </c>
      <c r="K47" t="inlineStr"/>
      <c r="L47" t="inlineStr"/>
      <c r="M47" t="inlineStr">
        <is>
          <t>Old Orchard</t>
        </is>
      </c>
      <c r="N47" t="inlineStr">
        <is>
          <t>Boxborough</t>
        </is>
      </c>
      <c r="O47" t="inlineStr">
        <is>
          <t>MA</t>
        </is>
      </c>
      <c r="P47" t="inlineStr">
        <is>
          <t>01719</t>
        </is>
      </c>
      <c r="Q47" t="inlineStr">
        <is>
          <t>Middlesex County</t>
        </is>
      </c>
      <c r="R47" t="inlineStr">
        <is>
          <t>RESIDENTIAL</t>
        </is>
      </c>
      <c r="S47" t="inlineStr">
        <is>
          <t>DETATCHED_SINGLE_FAMILY_DWELLING</t>
        </is>
      </c>
      <c r="T47" t="inlineStr"/>
      <c r="U47" t="inlineStr"/>
      <c r="V47" t="inlineStr">
        <is>
          <t>FD25017955|26-218|1773155940</t>
        </is>
      </c>
      <c r="W47" t="inlineStr"/>
      <c r="X47" t="inlineStr"/>
      <c r="Y47" t="inlineStr"/>
      <c r="Z47" t="inlineStr"/>
      <c r="AA47" t="inlineStr"/>
      <c r="AB47" t="inlineStr"/>
      <c r="AC47" t="inlineStr">
        <is>
          <t>CONSUMER_PRODUCTS||POWER_BANK||CONSUMER_PRODUCTS||APPLIANCE_TOOL</t>
        </is>
      </c>
      <c r="AD47" t="inlineStr">
        <is>
          <t>UNKNOWN||UNKNOWN</t>
        </is>
      </c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n">
        <v>0</v>
      </c>
      <c r="AU47" t="n">
        <v>0</v>
      </c>
      <c r="AV47" t="n">
        <v>0</v>
      </c>
      <c r="AW47" t="n">
        <v>0</v>
      </c>
    </row>
    <row r="48">
      <c r="A48" t="inlineStr">
        <is>
          <t>FD25017955</t>
        </is>
      </c>
      <c r="B48" t="inlineStr">
        <is>
          <t>Stow Fire</t>
        </is>
      </c>
      <c r="C48" t="inlineStr">
        <is>
          <t>2026-03-10T15:19:00+00:00</t>
        </is>
      </c>
      <c r="D48" s="2">
        <f>IF(C48="","",DATE(VALUE(LEFT(C48,4)),VALUE(MID(C48,6,2)),VALUE(MID(C48,9,2)))+TIME(VALUE(MID(C48,12,2)),VALUE(MID(C48,15,2)),VALUE(MID(C48,18,2)))-IF(AND(DATE(VALUE(LEFT(C48,4)),VALUE(MID(C48,6,2)),VALUE(MID(C48,9,2)))+TIME(VALUE(MID(C48,12,2)),VALUE(MID(C48,15,2)),VALUE(MID(C48,18,2)))&gt;=DATE(VALUE(LEFT(C48,4)),3,1)+MOD(8-WEEKDAY(DATE(VALUE(LEFT(C48,4)),3,1)),7)+7+TIME(7,0,0),DATE(VALUE(LEFT(C48,4)),3,1)+MOD(8-WEEKDAY(DATE(VALUE(LEFT(C48,4)),3,1)),7)+7+TIME(7,0,0)&lt;DATE(VALUE(LEFT(C48,4)),11,1)+MOD(8-WEEKDAY(DATE(VALUE(LEFT(C48,4)),11,1)),7)+TIME(6,0,0)), TIME(4,0,0),TIME(5,0,0)))</f>
        <v/>
      </c>
      <c r="E48" s="3">
        <f>IF(D48="","",MOD(D48,1))</f>
        <v/>
      </c>
      <c r="F48">
        <f>IF(D48="","",TEXT(D48,"mmm"))</f>
        <v/>
      </c>
      <c r="G48">
        <f>IF(D48="","",YEAR(D48))</f>
        <v/>
      </c>
      <c r="H48">
        <f>IF(D48="","",HOUR(D48))</f>
        <v/>
      </c>
      <c r="I48" t="inlineStr">
        <is>
          <t>cb3729e7-33f7-4ecf-8b72-a40a67a7b321</t>
        </is>
      </c>
      <c r="J48" t="inlineStr">
        <is>
          <t>FIRE||STRUCTURE_FIRE||STRUCTURAL_INVOLVEMENT_FIRE</t>
        </is>
      </c>
      <c r="K48" t="inlineStr"/>
      <c r="L48" t="inlineStr"/>
      <c r="M48" t="inlineStr">
        <is>
          <t>Old Orchard</t>
        </is>
      </c>
      <c r="N48" t="inlineStr">
        <is>
          <t>Boxborough</t>
        </is>
      </c>
      <c r="O48" t="inlineStr">
        <is>
          <t>MA</t>
        </is>
      </c>
      <c r="P48" t="inlineStr">
        <is>
          <t>01719</t>
        </is>
      </c>
      <c r="Q48" t="inlineStr">
        <is>
          <t>Middlesex County</t>
        </is>
      </c>
      <c r="R48" t="inlineStr">
        <is>
          <t>RESIDENTIAL</t>
        </is>
      </c>
      <c r="S48" t="inlineStr">
        <is>
          <t>DETATCHED_SINGLE_FAMILY_DWELLING</t>
        </is>
      </c>
      <c r="T48" t="inlineStr"/>
      <c r="U48" t="inlineStr"/>
      <c r="V48" t="inlineStr">
        <is>
          <t>FD25017955|1773232383|1773155940</t>
        </is>
      </c>
      <c r="W48" t="inlineStr"/>
      <c r="X48" t="inlineStr"/>
      <c r="Y48" t="inlineStr"/>
      <c r="Z48" t="inlineStr"/>
      <c r="AA48" t="inlineStr"/>
      <c r="AB48" t="inlineStr"/>
      <c r="AC48" t="inlineStr">
        <is>
          <t>CONSUMER_PRODUCTS||APPLIANCE_TOOL||CONSUMER_PRODUCTS||APPLIANCE_TOOL</t>
        </is>
      </c>
      <c r="AD48" t="inlineStr">
        <is>
          <t>UNKNOWN||UNKNOWN</t>
        </is>
      </c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n">
        <v>0</v>
      </c>
      <c r="AU48" t="n">
        <v>0</v>
      </c>
      <c r="AV48" t="n">
        <v>0</v>
      </c>
      <c r="AW48" t="n">
        <v>0</v>
      </c>
    </row>
    <row r="49">
      <c r="A49" t="inlineStr">
        <is>
          <t>FD25021451</t>
        </is>
      </c>
      <c r="B49" t="inlineStr">
        <is>
          <t>City Of Quincy Fire Department</t>
        </is>
      </c>
      <c r="C49" t="inlineStr">
        <is>
          <t>2026-05-17T16:36:35+00:00</t>
        </is>
      </c>
      <c r="D49" s="2">
        <f>IF(C49="","",DATE(VALUE(LEFT(C49,4)),VALUE(MID(C49,6,2)),VALUE(MID(C49,9,2)))+TIME(VALUE(MID(C49,12,2)),VALUE(MID(C49,15,2)),VALUE(MID(C49,18,2)))-IF(AND(DATE(VALUE(LEFT(C49,4)),VALUE(MID(C49,6,2)),VALUE(MID(C49,9,2)))+TIME(VALUE(MID(C49,12,2)),VALUE(MID(C49,15,2)),VALUE(MID(C49,18,2)))&gt;=DATE(VALUE(LEFT(C49,4)),3,1)+MOD(8-WEEKDAY(DATE(VALUE(LEFT(C49,4)),3,1)),7)+7+TIME(7,0,0),DATE(VALUE(LEFT(C49,4)),3,1)+MOD(8-WEEKDAY(DATE(VALUE(LEFT(C49,4)),3,1)),7)+7+TIME(7,0,0)&lt;DATE(VALUE(LEFT(C49,4)),11,1)+MOD(8-WEEKDAY(DATE(VALUE(LEFT(C49,4)),11,1)),7)+TIME(6,0,0)), TIME(4,0,0),TIME(5,0,0)))</f>
        <v/>
      </c>
      <c r="E49" s="3">
        <f>IF(D49="","",MOD(D49,1))</f>
        <v/>
      </c>
      <c r="F49">
        <f>IF(D49="","",TEXT(D49,"mmm"))</f>
        <v/>
      </c>
      <c r="G49">
        <f>IF(D49="","",YEAR(D49))</f>
        <v/>
      </c>
      <c r="H49">
        <f>IF(D49="","",HOUR(D49))</f>
        <v/>
      </c>
      <c r="I49" t="inlineStr">
        <is>
          <t>26-04241</t>
        </is>
      </c>
      <c r="J49" t="inlineStr">
        <is>
          <t>FIRE||SPECIAL_FIRE||ESS_FIRE</t>
        </is>
      </c>
      <c r="K49" t="inlineStr"/>
      <c r="L49" t="inlineStr"/>
      <c r="M49" t="inlineStr">
        <is>
          <t>Macy</t>
        </is>
      </c>
      <c r="N49" t="inlineStr">
        <is>
          <t>Quincy</t>
        </is>
      </c>
      <c r="O49" t="inlineStr">
        <is>
          <t>MA</t>
        </is>
      </c>
      <c r="P49" t="inlineStr">
        <is>
          <t>02169</t>
        </is>
      </c>
      <c r="Q49" t="inlineStr">
        <is>
          <t>Norfolk County</t>
        </is>
      </c>
      <c r="R49" t="inlineStr">
        <is>
          <t>RESIDENTIAL</t>
        </is>
      </c>
      <c r="S49" t="inlineStr">
        <is>
          <t>MULTI_FAMILY_LOWRISE_DWELLING</t>
        </is>
      </c>
      <c r="T49" t="inlineStr"/>
      <c r="U49" t="inlineStr"/>
      <c r="V49" t="inlineStr">
        <is>
          <t>FD25021451|26-04241|1779035795</t>
        </is>
      </c>
      <c r="W49" t="inlineStr"/>
      <c r="X49" t="inlineStr"/>
      <c r="Y49" t="inlineStr"/>
      <c r="Z49" t="inlineStr"/>
      <c r="AA49" t="inlineStr"/>
      <c r="AB49" t="inlineStr"/>
      <c r="AC49" t="inlineStr">
        <is>
          <t>CONSUMER_PRODUCTS||CELL_PHONE</t>
        </is>
      </c>
      <c r="AD49" t="inlineStr">
        <is>
          <t>SOURCE</t>
        </is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n">
        <v>0</v>
      </c>
      <c r="AU49" t="n">
        <v>0</v>
      </c>
      <c r="AV49" t="n">
        <v>0</v>
      </c>
      <c r="AW49" t="n">
        <v>0</v>
      </c>
    </row>
    <row r="50">
      <c r="A50" t="inlineStr">
        <is>
          <t>FD25021451</t>
        </is>
      </c>
      <c r="B50" t="inlineStr">
        <is>
          <t>City Of Quincy Fire Department</t>
        </is>
      </c>
      <c r="C50" t="inlineStr">
        <is>
          <t>2026-03-25T22:56:54+00:00</t>
        </is>
      </c>
      <c r="D50" s="2">
        <f>IF(C50="","",DATE(VALUE(LEFT(C50,4)),VALUE(MID(C50,6,2)),VALUE(MID(C50,9,2)))+TIME(VALUE(MID(C50,12,2)),VALUE(MID(C50,15,2)),VALUE(MID(C50,18,2)))-IF(AND(DATE(VALUE(LEFT(C50,4)),VALUE(MID(C50,6,2)),VALUE(MID(C50,9,2)))+TIME(VALUE(MID(C50,12,2)),VALUE(MID(C50,15,2)),VALUE(MID(C50,18,2)))&gt;=DATE(VALUE(LEFT(C50,4)),3,1)+MOD(8-WEEKDAY(DATE(VALUE(LEFT(C50,4)),3,1)),7)+7+TIME(7,0,0),DATE(VALUE(LEFT(C50,4)),3,1)+MOD(8-WEEKDAY(DATE(VALUE(LEFT(C50,4)),3,1)),7)+7+TIME(7,0,0)&lt;DATE(VALUE(LEFT(C50,4)),11,1)+MOD(8-WEEKDAY(DATE(VALUE(LEFT(C50,4)),11,1)),7)+TIME(6,0,0)), TIME(4,0,0),TIME(5,0,0)))</f>
        <v/>
      </c>
      <c r="E50" s="3">
        <f>IF(D50="","",MOD(D50,1))</f>
        <v/>
      </c>
      <c r="F50">
        <f>IF(D50="","",TEXT(D50,"mmm"))</f>
        <v/>
      </c>
      <c r="G50">
        <f>IF(D50="","",YEAR(D50))</f>
        <v/>
      </c>
      <c r="H50">
        <f>IF(D50="","",HOUR(D50))</f>
        <v/>
      </c>
      <c r="I50" t="inlineStr">
        <is>
          <t>26-02611</t>
        </is>
      </c>
      <c r="J50" t="inlineStr">
        <is>
          <t>HAZSIT||INVESTIGATION||SMOKE_INVESTIGATION</t>
        </is>
      </c>
      <c r="K50" t="inlineStr"/>
      <c r="L50" t="inlineStr"/>
      <c r="M50" t="inlineStr">
        <is>
          <t>Newport</t>
        </is>
      </c>
      <c r="N50" t="inlineStr">
        <is>
          <t>Quincy</t>
        </is>
      </c>
      <c r="O50" t="inlineStr">
        <is>
          <t>MA</t>
        </is>
      </c>
      <c r="P50" t="inlineStr">
        <is>
          <t>02171</t>
        </is>
      </c>
      <c r="Q50" t="inlineStr">
        <is>
          <t>Norfolk County</t>
        </is>
      </c>
      <c r="R50" t="inlineStr"/>
      <c r="S50" t="inlineStr"/>
      <c r="T50" t="inlineStr"/>
      <c r="U50" t="inlineStr"/>
      <c r="V50" t="inlineStr">
        <is>
          <t>FD25021451|26-02611|1774479414</t>
        </is>
      </c>
      <c r="W50" t="inlineStr"/>
      <c r="X50" t="inlineStr"/>
      <c r="Y50" t="inlineStr"/>
      <c r="Z50" t="inlineStr"/>
      <c r="AA50" t="inlineStr"/>
      <c r="AB50" t="inlineStr"/>
      <c r="AC50" t="inlineStr">
        <is>
          <t>CONSUMER_PRODUCTS||OTHER</t>
        </is>
      </c>
      <c r="AD50" t="inlineStr"/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n">
        <v>0</v>
      </c>
      <c r="AU50" t="n">
        <v>0</v>
      </c>
      <c r="AV50" t="n">
        <v>0</v>
      </c>
      <c r="AW50" t="n">
        <v>0</v>
      </c>
    </row>
    <row r="51">
      <c r="A51" t="inlineStr">
        <is>
          <t>FD25021556</t>
        </is>
      </c>
      <c r="B51" t="inlineStr">
        <is>
          <t>Braintree Fire Department</t>
        </is>
      </c>
      <c r="C51" t="inlineStr">
        <is>
          <t>2026-05-16T21:11:42+00:00</t>
        </is>
      </c>
      <c r="D51" s="2">
        <f>IF(C51="","",DATE(VALUE(LEFT(C51,4)),VALUE(MID(C51,6,2)),VALUE(MID(C51,9,2)))+TIME(VALUE(MID(C51,12,2)),VALUE(MID(C51,15,2)),VALUE(MID(C51,18,2)))-IF(AND(DATE(VALUE(LEFT(C51,4)),VALUE(MID(C51,6,2)),VALUE(MID(C51,9,2)))+TIME(VALUE(MID(C51,12,2)),VALUE(MID(C51,15,2)),VALUE(MID(C51,18,2)))&gt;=DATE(VALUE(LEFT(C51,4)),3,1)+MOD(8-WEEKDAY(DATE(VALUE(LEFT(C51,4)),3,1)),7)+7+TIME(7,0,0),DATE(VALUE(LEFT(C51,4)),3,1)+MOD(8-WEEKDAY(DATE(VALUE(LEFT(C51,4)),3,1)),7)+7+TIME(7,0,0)&lt;DATE(VALUE(LEFT(C51,4)),11,1)+MOD(8-WEEKDAY(DATE(VALUE(LEFT(C51,4)),11,1)),7)+TIME(6,0,0)), TIME(4,0,0),TIME(5,0,0)))</f>
        <v/>
      </c>
      <c r="E51" s="3">
        <f>IF(D51="","",MOD(D51,1))</f>
        <v/>
      </c>
      <c r="F51">
        <f>IF(D51="","",TEXT(D51,"mmm"))</f>
        <v/>
      </c>
      <c r="G51">
        <f>IF(D51="","",YEAR(D51))</f>
        <v/>
      </c>
      <c r="H51">
        <f>IF(D51="","",HOUR(D51))</f>
        <v/>
      </c>
      <c r="I51" t="inlineStr">
        <is>
          <t>2026002893</t>
        </is>
      </c>
      <c r="J51" t="inlineStr">
        <is>
          <t>FIRE||OUTSIDE_FIRE||OTHER_OUTSIDE_FIRE</t>
        </is>
      </c>
      <c r="K51" t="inlineStr"/>
      <c r="L51" t="inlineStr"/>
      <c r="M51" t="inlineStr">
        <is>
          <t>1681 WASHINGTON  ST</t>
        </is>
      </c>
      <c r="N51" t="inlineStr">
        <is>
          <t>BRAINTREE</t>
        </is>
      </c>
      <c r="O51" t="inlineStr">
        <is>
          <t>MA</t>
        </is>
      </c>
      <c r="P51" t="inlineStr">
        <is>
          <t>02184</t>
        </is>
      </c>
      <c r="Q51" t="inlineStr"/>
      <c r="R51" t="inlineStr">
        <is>
          <t>COMMERCIAL</t>
        </is>
      </c>
      <c r="S51" t="inlineStr">
        <is>
          <t>OFFICE_OTHER_TECHNICAL_SERVICES</t>
        </is>
      </c>
      <c r="T51" t="inlineStr"/>
      <c r="U51" t="inlineStr"/>
      <c r="V51" t="inlineStr">
        <is>
          <t>FD25021556|2026002893|1778965963</t>
        </is>
      </c>
      <c r="W51" t="inlineStr"/>
      <c r="X51" t="inlineStr"/>
      <c r="Y51" t="inlineStr"/>
      <c r="Z51" t="inlineStr"/>
      <c r="AA51" t="inlineStr"/>
      <c r="AB51" t="inlineStr"/>
      <c r="AC51" t="inlineStr">
        <is>
          <t>CONSUMER_PRODUCTS||OTHER</t>
        </is>
      </c>
      <c r="AD51" t="inlineStr">
        <is>
          <t>SOURCE</t>
        </is>
      </c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n">
        <v>0</v>
      </c>
      <c r="AU51" t="n">
        <v>0</v>
      </c>
      <c r="AV51" t="n">
        <v>0</v>
      </c>
      <c r="AW51" t="n">
        <v>0</v>
      </c>
    </row>
    <row r="52">
      <c r="A52" t="inlineStr">
        <is>
          <t>FD25021556</t>
        </is>
      </c>
      <c r="B52" t="inlineStr">
        <is>
          <t>Braintree Fire Department</t>
        </is>
      </c>
      <c r="C52" t="inlineStr">
        <is>
          <t>2026-02-12T09:25:00+00:00</t>
        </is>
      </c>
      <c r="D52" s="2">
        <f>IF(C52="","",DATE(VALUE(LEFT(C52,4)),VALUE(MID(C52,6,2)),VALUE(MID(C52,9,2)))+TIME(VALUE(MID(C52,12,2)),VALUE(MID(C52,15,2)),VALUE(MID(C52,18,2)))-IF(AND(DATE(VALUE(LEFT(C52,4)),VALUE(MID(C52,6,2)),VALUE(MID(C52,9,2)))+TIME(VALUE(MID(C52,12,2)),VALUE(MID(C52,15,2)),VALUE(MID(C52,18,2)))&gt;=DATE(VALUE(LEFT(C52,4)),3,1)+MOD(8-WEEKDAY(DATE(VALUE(LEFT(C52,4)),3,1)),7)+7+TIME(7,0,0),DATE(VALUE(LEFT(C52,4)),3,1)+MOD(8-WEEKDAY(DATE(VALUE(LEFT(C52,4)),3,1)),7)+7+TIME(7,0,0)&lt;DATE(VALUE(LEFT(C52,4)),11,1)+MOD(8-WEEKDAY(DATE(VALUE(LEFT(C52,4)),11,1)),7)+TIME(6,0,0)), TIME(4,0,0),TIME(5,0,0)))</f>
        <v/>
      </c>
      <c r="E52" s="3">
        <f>IF(D52="","",MOD(D52,1))</f>
        <v/>
      </c>
      <c r="F52">
        <f>IF(D52="","",TEXT(D52,"mmm"))</f>
        <v/>
      </c>
      <c r="G52">
        <f>IF(D52="","",YEAR(D52))</f>
        <v/>
      </c>
      <c r="H52">
        <f>IF(D52="","",HOUR(D52))</f>
        <v/>
      </c>
      <c r="I52" t="inlineStr">
        <is>
          <t>2026000889</t>
        </is>
      </c>
      <c r="J52" t="inlineStr">
        <is>
          <t>FIRE||TRANSPORTATION_FIRE||VEHICLE_FIRE_RV</t>
        </is>
      </c>
      <c r="K52" t="inlineStr"/>
      <c r="L52" t="inlineStr"/>
      <c r="M52" t="inlineStr">
        <is>
          <t>180 FORBES RD</t>
        </is>
      </c>
      <c r="N52" t="inlineStr">
        <is>
          <t>BRAINTREE</t>
        </is>
      </c>
      <c r="O52" t="inlineStr">
        <is>
          <t>MA</t>
        </is>
      </c>
      <c r="P52" t="inlineStr">
        <is>
          <t>02184</t>
        </is>
      </c>
      <c r="Q52" t="inlineStr"/>
      <c r="R52" t="inlineStr"/>
      <c r="S52" t="inlineStr"/>
      <c r="T52" t="inlineStr"/>
      <c r="U52" t="inlineStr"/>
      <c r="V52" t="inlineStr">
        <is>
          <t>FD25021556|2026000889|1770888330</t>
        </is>
      </c>
      <c r="W52" t="inlineStr"/>
      <c r="X52" t="inlineStr"/>
      <c r="Y52" t="inlineStr"/>
      <c r="Z52" t="inlineStr"/>
      <c r="AA52" t="inlineStr"/>
      <c r="AB52" t="inlineStr"/>
      <c r="AC52" t="inlineStr">
        <is>
          <t>ELECTRIC_VEHICLE||BUS_RR||HYBRID</t>
        </is>
      </c>
      <c r="AD52" t="inlineStr">
        <is>
          <t>SOURCE</t>
        </is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n">
        <v>0</v>
      </c>
      <c r="AU52" t="n">
        <v>0</v>
      </c>
      <c r="AV52" t="n">
        <v>0</v>
      </c>
      <c r="AW52" t="n">
        <v>0</v>
      </c>
    </row>
    <row r="53">
      <c r="A53" t="inlineStr">
        <is>
          <t>FD25021583</t>
        </is>
      </c>
      <c r="B53" t="inlineStr">
        <is>
          <t>Plainville Fire Department</t>
        </is>
      </c>
      <c r="C53" t="inlineStr">
        <is>
          <t>2026-07-22T23:08:04+00:00</t>
        </is>
      </c>
      <c r="D53" s="2">
        <f>IF(C53="","",DATE(VALUE(LEFT(C53,4)),VALUE(MID(C53,6,2)),VALUE(MID(C53,9,2)))+TIME(VALUE(MID(C53,12,2)),VALUE(MID(C53,15,2)),VALUE(MID(C53,18,2)))-IF(AND(DATE(VALUE(LEFT(C53,4)),VALUE(MID(C53,6,2)),VALUE(MID(C53,9,2)))+TIME(VALUE(MID(C53,12,2)),VALUE(MID(C53,15,2)),VALUE(MID(C53,18,2)))&gt;=DATE(VALUE(LEFT(C53,4)),3,1)+MOD(8-WEEKDAY(DATE(VALUE(LEFT(C53,4)),3,1)),7)+7+TIME(7,0,0),DATE(VALUE(LEFT(C53,4)),3,1)+MOD(8-WEEKDAY(DATE(VALUE(LEFT(C53,4)),3,1)),7)+7+TIME(7,0,0)&lt;DATE(VALUE(LEFT(C53,4)),11,1)+MOD(8-WEEKDAY(DATE(VALUE(LEFT(C53,4)),11,1)),7)+TIME(6,0,0)), TIME(4,0,0),TIME(5,0,0)))</f>
        <v/>
      </c>
      <c r="E53" s="3">
        <f>IF(D53="","",MOD(D53,1))</f>
        <v/>
      </c>
      <c r="F53">
        <f>IF(D53="","",TEXT(D53,"mmm"))</f>
        <v/>
      </c>
      <c r="G53">
        <f>IF(D53="","",YEAR(D53))</f>
        <v/>
      </c>
      <c r="H53">
        <f>IF(D53="","",HOUR(D53))</f>
        <v/>
      </c>
      <c r="I53" t="inlineStr">
        <is>
          <t>2026-59630</t>
        </is>
      </c>
      <c r="J53" t="inlineStr">
        <is>
          <t>FIRE||SPECIAL_FIRE||ESS_FIRE</t>
        </is>
      </c>
      <c r="K53" t="inlineStr"/>
      <c r="L53" t="inlineStr"/>
      <c r="M53" t="inlineStr">
        <is>
          <t>14 BELCHER</t>
        </is>
      </c>
      <c r="N53" t="inlineStr"/>
      <c r="O53" t="inlineStr">
        <is>
          <t>MA</t>
        </is>
      </c>
      <c r="P53" t="inlineStr">
        <is>
          <t>02762</t>
        </is>
      </c>
      <c r="Q53" t="inlineStr">
        <is>
          <t>Norfolk County</t>
        </is>
      </c>
      <c r="R53" t="inlineStr"/>
      <c r="S53" t="inlineStr"/>
      <c r="T53" t="inlineStr"/>
      <c r="U53" t="inlineStr"/>
      <c r="V53" t="inlineStr">
        <is>
          <t>FD25021583|2026-59630|1784761684</t>
        </is>
      </c>
      <c r="W53" t="inlineStr"/>
      <c r="X53" t="inlineStr"/>
      <c r="Y53" t="inlineStr"/>
      <c r="Z53" t="inlineStr"/>
      <c r="AA53" t="inlineStr"/>
      <c r="AB53" t="inlineStr"/>
      <c r="AC53" t="inlineStr">
        <is>
          <t>ENERGY_STORAGE_SYSTEM||BATTERY</t>
        </is>
      </c>
      <c r="AD53" t="inlineStr">
        <is>
          <t>SOURCE</t>
        </is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n">
        <v>0</v>
      </c>
      <c r="AU53" t="n">
        <v>0</v>
      </c>
      <c r="AV53" t="n">
        <v>0</v>
      </c>
      <c r="AW53" t="n">
        <v>0</v>
      </c>
    </row>
    <row r="54">
      <c r="A54" t="inlineStr">
        <is>
          <t>FD25023004</t>
        </is>
      </c>
      <c r="B54" t="inlineStr">
        <is>
          <t>Hingham Fire Department</t>
        </is>
      </c>
      <c r="C54" t="inlineStr">
        <is>
          <t>2026-06-16T15:31:00+00:00</t>
        </is>
      </c>
      <c r="D54" s="2">
        <f>IF(C54="","",DATE(VALUE(LEFT(C54,4)),VALUE(MID(C54,6,2)),VALUE(MID(C54,9,2)))+TIME(VALUE(MID(C54,12,2)),VALUE(MID(C54,15,2)),VALUE(MID(C54,18,2)))-IF(AND(DATE(VALUE(LEFT(C54,4)),VALUE(MID(C54,6,2)),VALUE(MID(C54,9,2)))+TIME(VALUE(MID(C54,12,2)),VALUE(MID(C54,15,2)),VALUE(MID(C54,18,2)))&gt;=DATE(VALUE(LEFT(C54,4)),3,1)+MOD(8-WEEKDAY(DATE(VALUE(LEFT(C54,4)),3,1)),7)+7+TIME(7,0,0),DATE(VALUE(LEFT(C54,4)),3,1)+MOD(8-WEEKDAY(DATE(VALUE(LEFT(C54,4)),3,1)),7)+7+TIME(7,0,0)&lt;DATE(VALUE(LEFT(C54,4)),11,1)+MOD(8-WEEKDAY(DATE(VALUE(LEFT(C54,4)),11,1)),7)+TIME(6,0,0)), TIME(4,0,0),TIME(5,0,0)))</f>
        <v/>
      </c>
      <c r="E54" s="3">
        <f>IF(D54="","",MOD(D54,1))</f>
        <v/>
      </c>
      <c r="F54">
        <f>IF(D54="","",TEXT(D54,"mmm"))</f>
        <v/>
      </c>
      <c r="G54">
        <f>IF(D54="","",YEAR(D54))</f>
        <v/>
      </c>
      <c r="H54">
        <f>IF(D54="","",HOUR(D54))</f>
        <v/>
      </c>
      <c r="I54" t="inlineStr">
        <is>
          <t>HFM-26-02592</t>
        </is>
      </c>
      <c r="J54" t="inlineStr">
        <is>
          <t>FIRE||STRUCTURE_FIRE||ROOM_AND_CONTENTS_FIRE</t>
        </is>
      </c>
      <c r="K54" t="inlineStr"/>
      <c r="L54" t="inlineStr"/>
      <c r="M54" t="inlineStr">
        <is>
          <t>24 VOLUSIA</t>
        </is>
      </c>
      <c r="N54" t="inlineStr"/>
      <c r="O54" t="inlineStr">
        <is>
          <t>MA</t>
        </is>
      </c>
      <c r="P54" t="inlineStr">
        <is>
          <t>02043</t>
        </is>
      </c>
      <c r="Q54" t="inlineStr">
        <is>
          <t>Plymouth County</t>
        </is>
      </c>
      <c r="R54" t="inlineStr"/>
      <c r="S54" t="inlineStr"/>
      <c r="T54" t="inlineStr"/>
      <c r="U54" t="inlineStr"/>
      <c r="V54" t="inlineStr">
        <is>
          <t>FD25023004|HFM-26-02592|1781623860</t>
        </is>
      </c>
      <c r="W54" t="inlineStr"/>
      <c r="X54" t="inlineStr"/>
      <c r="Y54" t="inlineStr"/>
      <c r="Z54" t="inlineStr"/>
      <c r="AA54" t="inlineStr"/>
      <c r="AB54" t="inlineStr"/>
      <c r="AC54" t="inlineStr">
        <is>
          <t>CONSUMER_PRODUCTS||COMPUTER_TABLET</t>
        </is>
      </c>
      <c r="AD54" t="inlineStr"/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n">
        <v>0</v>
      </c>
      <c r="AU54" t="n">
        <v>0</v>
      </c>
      <c r="AV54" t="n">
        <v>0</v>
      </c>
      <c r="AW54" t="n">
        <v>0</v>
      </c>
    </row>
    <row r="55">
      <c r="A55" t="inlineStr">
        <is>
          <t>FD25023004</t>
        </is>
      </c>
      <c r="B55" t="inlineStr">
        <is>
          <t>Hingham Fire Department</t>
        </is>
      </c>
      <c r="C55" t="inlineStr">
        <is>
          <t>2026-05-27T13:55:00+00:00</t>
        </is>
      </c>
      <c r="D55" s="2">
        <f>IF(C55="","",DATE(VALUE(LEFT(C55,4)),VALUE(MID(C55,6,2)),VALUE(MID(C55,9,2)))+TIME(VALUE(MID(C55,12,2)),VALUE(MID(C55,15,2)),VALUE(MID(C55,18,2)))-IF(AND(DATE(VALUE(LEFT(C55,4)),VALUE(MID(C55,6,2)),VALUE(MID(C55,9,2)))+TIME(VALUE(MID(C55,12,2)),VALUE(MID(C55,15,2)),VALUE(MID(C55,18,2)))&gt;=DATE(VALUE(LEFT(C55,4)),3,1)+MOD(8-WEEKDAY(DATE(VALUE(LEFT(C55,4)),3,1)),7)+7+TIME(7,0,0),DATE(VALUE(LEFT(C55,4)),3,1)+MOD(8-WEEKDAY(DATE(VALUE(LEFT(C55,4)),3,1)),7)+7+TIME(7,0,0)&lt;DATE(VALUE(LEFT(C55,4)),11,1)+MOD(8-WEEKDAY(DATE(VALUE(LEFT(C55,4)),11,1)),7)+TIME(6,0,0)), TIME(4,0,0),TIME(5,0,0)))</f>
        <v/>
      </c>
      <c r="E55" s="3">
        <f>IF(D55="","",MOD(D55,1))</f>
        <v/>
      </c>
      <c r="F55">
        <f>IF(D55="","",TEXT(D55,"mmm"))</f>
        <v/>
      </c>
      <c r="G55">
        <f>IF(D55="","",YEAR(D55))</f>
        <v/>
      </c>
      <c r="H55">
        <f>IF(D55="","",HOUR(D55))</f>
        <v/>
      </c>
      <c r="I55" t="inlineStr">
        <is>
          <t>HFM-26-02215</t>
        </is>
      </c>
      <c r="J55" t="inlineStr">
        <is>
          <t>FIRE||STRUCTURE_FIRE||ROOM_AND_CONTENTS_FIRE</t>
        </is>
      </c>
      <c r="K55" t="inlineStr"/>
      <c r="L55" t="inlineStr"/>
      <c r="M55" t="inlineStr">
        <is>
          <t>17 UNION</t>
        </is>
      </c>
      <c r="N55" t="inlineStr"/>
      <c r="O55" t="inlineStr">
        <is>
          <t>MA</t>
        </is>
      </c>
      <c r="P55" t="inlineStr">
        <is>
          <t>02043</t>
        </is>
      </c>
      <c r="Q55" t="inlineStr">
        <is>
          <t>Plymouth County</t>
        </is>
      </c>
      <c r="R55" t="inlineStr">
        <is>
          <t>EDUCATION</t>
        </is>
      </c>
      <c r="S55" t="inlineStr">
        <is>
          <t>K_12_SCHOOLS</t>
        </is>
      </c>
      <c r="T55" t="inlineStr"/>
      <c r="U55" t="inlineStr"/>
      <c r="V55" t="inlineStr">
        <is>
          <t>FD25023004|HFM-26-02215|1779890100</t>
        </is>
      </c>
      <c r="W55" t="inlineStr"/>
      <c r="X55" t="inlineStr"/>
      <c r="Y55" t="inlineStr"/>
      <c r="Z55" t="inlineStr"/>
      <c r="AA55" t="inlineStr"/>
      <c r="AB55" t="inlineStr"/>
      <c r="AC55" t="inlineStr">
        <is>
          <t>CONSUMER_PRODUCTS||POWER_BANK</t>
        </is>
      </c>
      <c r="AD55" t="inlineStr"/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n">
        <v>0</v>
      </c>
      <c r="AU55" t="n">
        <v>0</v>
      </c>
      <c r="AV55" t="n">
        <v>0</v>
      </c>
      <c r="AW55" t="n">
        <v>0</v>
      </c>
    </row>
    <row r="56">
      <c r="A56" t="inlineStr">
        <is>
          <t>FD25023053</t>
        </is>
      </c>
      <c r="B56" t="inlineStr">
        <is>
          <t>West Bridgewater Fire Department</t>
        </is>
      </c>
      <c r="C56" t="inlineStr">
        <is>
          <t>2026-06-08T14:09:00+00:00</t>
        </is>
      </c>
      <c r="D56" s="2">
        <f>IF(C56="","",DATE(VALUE(LEFT(C56,4)),VALUE(MID(C56,6,2)),VALUE(MID(C56,9,2)))+TIME(VALUE(MID(C56,12,2)),VALUE(MID(C56,15,2)),VALUE(MID(C56,18,2)))-IF(AND(DATE(VALUE(LEFT(C56,4)),VALUE(MID(C56,6,2)),VALUE(MID(C56,9,2)))+TIME(VALUE(MID(C56,12,2)),VALUE(MID(C56,15,2)),VALUE(MID(C56,18,2)))&gt;=DATE(VALUE(LEFT(C56,4)),3,1)+MOD(8-WEEKDAY(DATE(VALUE(LEFT(C56,4)),3,1)),7)+7+TIME(7,0,0),DATE(VALUE(LEFT(C56,4)),3,1)+MOD(8-WEEKDAY(DATE(VALUE(LEFT(C56,4)),3,1)),7)+7+TIME(7,0,0)&lt;DATE(VALUE(LEFT(C56,4)),11,1)+MOD(8-WEEKDAY(DATE(VALUE(LEFT(C56,4)),11,1)),7)+TIME(6,0,0)), TIME(4,0,0),TIME(5,0,0)))</f>
        <v/>
      </c>
      <c r="E56" s="3">
        <f>IF(D56="","",MOD(D56,1))</f>
        <v/>
      </c>
      <c r="F56">
        <f>IF(D56="","",TEXT(D56,"mmm"))</f>
        <v/>
      </c>
      <c r="G56">
        <f>IF(D56="","",YEAR(D56))</f>
        <v/>
      </c>
      <c r="H56">
        <f>IF(D56="","",HOUR(D56))</f>
        <v/>
      </c>
      <c r="I56" t="inlineStr">
        <is>
          <t>260608-104808-WBFDMA_639165424224223295</t>
        </is>
      </c>
      <c r="J56" t="inlineStr">
        <is>
          <t>FIRE||STRUCTURE_FIRE||STRUCTURAL_INVOLVEMENT_FIRE</t>
        </is>
      </c>
      <c r="K56" t="inlineStr">
        <is>
          <t>HAZSIT||HAZARD_NONCHEM||ELEC_HAZARD_SHORT_CIRCUIT</t>
        </is>
      </c>
      <c r="L56" t="inlineStr"/>
      <c r="M56" t="inlineStr">
        <is>
          <t>Cross STREET</t>
        </is>
      </c>
      <c r="N56" t="inlineStr"/>
      <c r="O56" t="inlineStr">
        <is>
          <t>MA</t>
        </is>
      </c>
      <c r="P56" t="inlineStr">
        <is>
          <t>02379</t>
        </is>
      </c>
      <c r="Q56" t="inlineStr">
        <is>
          <t>Plymouth County</t>
        </is>
      </c>
      <c r="R56" t="inlineStr">
        <is>
          <t>RESIDENTIAL</t>
        </is>
      </c>
      <c r="S56" t="inlineStr">
        <is>
          <t>ATTACHED_SINGLE_FAMILY_DWELLING</t>
        </is>
      </c>
      <c r="T56" t="inlineStr"/>
      <c r="U56" t="inlineStr"/>
      <c r="V56" t="inlineStr">
        <is>
          <t>FD25023053|260608-104808-WBFDMA_639165424224223295|1780927740</t>
        </is>
      </c>
      <c r="W56" t="inlineStr"/>
      <c r="X56" t="inlineStr"/>
      <c r="Y56" t="inlineStr"/>
      <c r="Z56" t="inlineStr"/>
      <c r="AA56" t="inlineStr"/>
      <c r="AB56" t="inlineStr"/>
      <c r="AC56" t="inlineStr">
        <is>
          <t>CONSUMER_PRODUCTS||OTHER</t>
        </is>
      </c>
      <c r="AD56" t="inlineStr"/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n">
        <v>0</v>
      </c>
      <c r="AU56" t="n">
        <v>0</v>
      </c>
      <c r="AV56" t="n">
        <v>0</v>
      </c>
      <c r="AW56" t="n">
        <v>0</v>
      </c>
    </row>
    <row r="57">
      <c r="A57" t="inlineStr">
        <is>
          <t>FD25023053</t>
        </is>
      </c>
      <c r="B57" t="inlineStr">
        <is>
          <t>West Bridgewater Fire Department</t>
        </is>
      </c>
      <c r="C57" t="inlineStr">
        <is>
          <t>2026-01-06T18:17:00+00:00</t>
        </is>
      </c>
      <c r="D57" s="2">
        <f>IF(C57="","",DATE(VALUE(LEFT(C57,4)),VALUE(MID(C57,6,2)),VALUE(MID(C57,9,2)))+TIME(VALUE(MID(C57,12,2)),VALUE(MID(C57,15,2)),VALUE(MID(C57,18,2)))-IF(AND(DATE(VALUE(LEFT(C57,4)),VALUE(MID(C57,6,2)),VALUE(MID(C57,9,2)))+TIME(VALUE(MID(C57,12,2)),VALUE(MID(C57,15,2)),VALUE(MID(C57,18,2)))&gt;=DATE(VALUE(LEFT(C57,4)),3,1)+MOD(8-WEEKDAY(DATE(VALUE(LEFT(C57,4)),3,1)),7)+7+TIME(7,0,0),DATE(VALUE(LEFT(C57,4)),3,1)+MOD(8-WEEKDAY(DATE(VALUE(LEFT(C57,4)),3,1)),7)+7+TIME(7,0,0)&lt;DATE(VALUE(LEFT(C57,4)),11,1)+MOD(8-WEEKDAY(DATE(VALUE(LEFT(C57,4)),11,1)),7)+TIME(6,0,0)), TIME(4,0,0),TIME(5,0,0)))</f>
        <v/>
      </c>
      <c r="E57" s="3">
        <f>IF(D57="","",MOD(D57,1))</f>
        <v/>
      </c>
      <c r="F57">
        <f>IF(D57="","",TEXT(D57,"mmm"))</f>
        <v/>
      </c>
      <c r="G57">
        <f>IF(D57="","",YEAR(D57))</f>
        <v/>
      </c>
      <c r="H57">
        <f>IF(D57="","",HOUR(D57))</f>
        <v/>
      </c>
      <c r="I57" t="inlineStr">
        <is>
          <t>260106-181707-WBFDMA_639033255016972241</t>
        </is>
      </c>
      <c r="J57" t="inlineStr">
        <is>
          <t>HAZSIT||OVERPRESSURE||RUPTURE_WITHOUT_FIRE</t>
        </is>
      </c>
      <c r="K57" t="inlineStr"/>
      <c r="L57" t="inlineStr"/>
      <c r="M57" t="inlineStr">
        <is>
          <t>155 W Center STREET</t>
        </is>
      </c>
      <c r="N57" t="inlineStr"/>
      <c r="O57" t="inlineStr">
        <is>
          <t>MA</t>
        </is>
      </c>
      <c r="P57" t="inlineStr">
        <is>
          <t>02379</t>
        </is>
      </c>
      <c r="Q57" t="inlineStr">
        <is>
          <t>Plymouth County</t>
        </is>
      </c>
      <c r="R57" t="inlineStr">
        <is>
          <t>EDUCATION</t>
        </is>
      </c>
      <c r="S57" t="inlineStr">
        <is>
          <t>K_12_SCHOOLS</t>
        </is>
      </c>
      <c r="T57" t="inlineStr"/>
      <c r="U57" t="inlineStr"/>
      <c r="V57" t="inlineStr">
        <is>
          <t>FD25023053|260106-181707-WBFDMA_639033255016972241|1767723420</t>
        </is>
      </c>
      <c r="W57" t="inlineStr"/>
      <c r="X57" t="inlineStr"/>
      <c r="Y57" t="inlineStr"/>
      <c r="Z57" t="inlineStr"/>
      <c r="AA57" t="inlineStr"/>
      <c r="AB57" t="inlineStr"/>
      <c r="AC57" t="inlineStr">
        <is>
          <t>ENERGY_STORAGE_SYSTEM||BATTERY</t>
        </is>
      </c>
      <c r="AD57" t="inlineStr">
        <is>
          <t>SOURCE</t>
        </is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n">
        <v>0</v>
      </c>
      <c r="AU57" t="n">
        <v>0</v>
      </c>
      <c r="AV57" t="n">
        <v>0</v>
      </c>
      <c r="AW57" t="n">
        <v>0</v>
      </c>
    </row>
    <row r="58">
      <c r="A58" t="inlineStr">
        <is>
          <t>FD25023065</t>
        </is>
      </c>
      <c r="B58" t="inlineStr">
        <is>
          <t>Plymouth Fire Department</t>
        </is>
      </c>
      <c r="C58" t="inlineStr">
        <is>
          <t>2026-09-02T16:47:36+00:00</t>
        </is>
      </c>
      <c r="D58" s="2">
        <f>IF(C58="","",DATE(VALUE(LEFT(C58,4)),VALUE(MID(C58,6,2)),VALUE(MID(C58,9,2)))+TIME(VALUE(MID(C58,12,2)),VALUE(MID(C58,15,2)),VALUE(MID(C58,18,2)))-IF(AND(DATE(VALUE(LEFT(C58,4)),VALUE(MID(C58,6,2)),VALUE(MID(C58,9,2)))+TIME(VALUE(MID(C58,12,2)),VALUE(MID(C58,15,2)),VALUE(MID(C58,18,2)))&gt;=DATE(VALUE(LEFT(C58,4)),3,1)+MOD(8-WEEKDAY(DATE(VALUE(LEFT(C58,4)),3,1)),7)+7+TIME(7,0,0),DATE(VALUE(LEFT(C58,4)),3,1)+MOD(8-WEEKDAY(DATE(VALUE(LEFT(C58,4)),3,1)),7)+7+TIME(7,0,0)&lt;DATE(VALUE(LEFT(C58,4)),11,1)+MOD(8-WEEKDAY(DATE(VALUE(LEFT(C58,4)),11,1)),7)+TIME(6,0,0)), TIME(4,0,0),TIME(5,0,0)))</f>
        <v/>
      </c>
      <c r="E58" s="3">
        <f>IF(D58="","",MOD(D58,1))</f>
        <v/>
      </c>
      <c r="F58">
        <f>IF(D58="","",TEXT(D58,"mmm"))</f>
        <v/>
      </c>
      <c r="G58">
        <f>IF(D58="","",YEAR(D58))</f>
        <v/>
      </c>
      <c r="H58">
        <f>IF(D58="","",HOUR(D58))</f>
        <v/>
      </c>
      <c r="I58" t="inlineStr">
        <is>
          <t>2026009962</t>
        </is>
      </c>
      <c r="J58" t="inlineStr">
        <is>
          <t>HAZSIT||OVERPRESSURE||RUPTURE_WITHOUT_FIRE</t>
        </is>
      </c>
      <c r="K58" t="inlineStr"/>
      <c r="L58" t="inlineStr"/>
      <c r="M58" t="inlineStr">
        <is>
          <t>64 PALMER ROAD</t>
        </is>
      </c>
      <c r="N58" t="inlineStr">
        <is>
          <t>PLYMOUTH</t>
        </is>
      </c>
      <c r="O58" t="inlineStr">
        <is>
          <t>MA</t>
        </is>
      </c>
      <c r="P58" t="inlineStr">
        <is>
          <t>02360</t>
        </is>
      </c>
      <c r="Q58" t="inlineStr"/>
      <c r="R58" t="inlineStr"/>
      <c r="S58" t="inlineStr"/>
      <c r="T58" t="inlineStr"/>
      <c r="U58" t="inlineStr"/>
      <c r="V58" t="inlineStr">
        <is>
          <t>FD25023065|2026009962|1788367656</t>
        </is>
      </c>
      <c r="W58" t="inlineStr"/>
      <c r="X58" t="inlineStr"/>
      <c r="Y58" t="inlineStr"/>
      <c r="Z58" t="inlineStr"/>
      <c r="AA58" t="inlineStr"/>
      <c r="AB58" t="inlineStr"/>
      <c r="AC58" t="inlineStr">
        <is>
          <t>CONSUMER_PRODUCTS||APPLIANCE_TOOL</t>
        </is>
      </c>
      <c r="AD58" t="inlineStr">
        <is>
          <t>SOURCE</t>
        </is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n">
        <v>0</v>
      </c>
      <c r="AU58" t="n">
        <v>0</v>
      </c>
      <c r="AV58" t="n">
        <v>0</v>
      </c>
      <c r="AW58" t="n">
        <v>0</v>
      </c>
    </row>
    <row r="59">
      <c r="A59" t="inlineStr">
        <is>
          <t>FD25023455</t>
        </is>
      </c>
      <c r="B59" t="inlineStr">
        <is>
          <t>Wareham Fire Department</t>
        </is>
      </c>
      <c r="C59" t="inlineStr">
        <is>
          <t>2026-07-27T15:45:00+00:00</t>
        </is>
      </c>
      <c r="D59" s="2">
        <f>IF(C59="","",DATE(VALUE(LEFT(C59,4)),VALUE(MID(C59,6,2)),VALUE(MID(C59,9,2)))+TIME(VALUE(MID(C59,12,2)),VALUE(MID(C59,15,2)),VALUE(MID(C59,18,2)))-IF(AND(DATE(VALUE(LEFT(C59,4)),VALUE(MID(C59,6,2)),VALUE(MID(C59,9,2)))+TIME(VALUE(MID(C59,12,2)),VALUE(MID(C59,15,2)),VALUE(MID(C59,18,2)))&gt;=DATE(VALUE(LEFT(C59,4)),3,1)+MOD(8-WEEKDAY(DATE(VALUE(LEFT(C59,4)),3,1)),7)+7+TIME(7,0,0),DATE(VALUE(LEFT(C59,4)),3,1)+MOD(8-WEEKDAY(DATE(VALUE(LEFT(C59,4)),3,1)),7)+7+TIME(7,0,0)&lt;DATE(VALUE(LEFT(C59,4)),11,1)+MOD(8-WEEKDAY(DATE(VALUE(LEFT(C59,4)),11,1)),7)+TIME(6,0,0)), TIME(4,0,0),TIME(5,0,0)))</f>
        <v/>
      </c>
      <c r="E59" s="3">
        <f>IF(D59="","",MOD(D59,1))</f>
        <v/>
      </c>
      <c r="F59">
        <f>IF(D59="","",TEXT(D59,"mmm"))</f>
        <v/>
      </c>
      <c r="G59">
        <f>IF(D59="","",YEAR(D59))</f>
        <v/>
      </c>
      <c r="H59">
        <f>IF(D59="","",HOUR(D59))</f>
        <v/>
      </c>
      <c r="I59" t="inlineStr">
        <is>
          <t>WFM-2026-1939</t>
        </is>
      </c>
      <c r="J59" t="inlineStr">
        <is>
          <t>FIRE||TRANSPORTATION_FIRE||VEHICLE_FIRE_PASSENGER</t>
        </is>
      </c>
      <c r="K59" t="inlineStr"/>
      <c r="L59" t="inlineStr"/>
      <c r="M59" t="inlineStr">
        <is>
          <t>Glen Charlie</t>
        </is>
      </c>
      <c r="N59" t="inlineStr">
        <is>
          <t>East Wareham</t>
        </is>
      </c>
      <c r="O59" t="inlineStr">
        <is>
          <t>MA</t>
        </is>
      </c>
      <c r="P59" t="inlineStr">
        <is>
          <t>02538</t>
        </is>
      </c>
      <c r="Q59" t="inlineStr">
        <is>
          <t>Plymouth County</t>
        </is>
      </c>
      <c r="R59" t="inlineStr">
        <is>
          <t>OUTDOOR</t>
        </is>
      </c>
      <c r="S59" t="inlineStr">
        <is>
          <t>CAMP_SITE</t>
        </is>
      </c>
      <c r="T59" t="inlineStr"/>
      <c r="U59" t="inlineStr"/>
      <c r="V59" t="inlineStr">
        <is>
          <t>FD25023455|WFM-2026-1939|1785167100</t>
        </is>
      </c>
      <c r="W59" t="inlineStr"/>
      <c r="X59" t="inlineStr"/>
      <c r="Y59" t="inlineStr"/>
      <c r="Z59" t="inlineStr"/>
      <c r="AA59" t="inlineStr"/>
      <c r="AB59" t="inlineStr"/>
      <c r="AC59" t="inlineStr">
        <is>
          <t>ELECTRIC_VEHICLE||LIGHT_EV_NRR||FUEL_CELL</t>
        </is>
      </c>
      <c r="AD59" t="inlineStr"/>
      <c r="AE59" t="inlineStr"/>
      <c r="AF59" t="inlineStr"/>
      <c r="AG59" t="inlineStr"/>
      <c r="AH59" t="inlineStr"/>
      <c r="AI59" t="inlineStr"/>
      <c r="AJ59" t="inlineStr"/>
      <c r="AK59" t="inlineStr"/>
      <c r="AL59" t="inlineStr"/>
      <c r="AM59" t="inlineStr"/>
      <c r="AN59" t="inlineStr"/>
      <c r="AO59" t="inlineStr"/>
      <c r="AP59" t="inlineStr"/>
      <c r="AQ59" t="inlineStr"/>
      <c r="AR59" t="inlineStr"/>
      <c r="AS59" t="inlineStr"/>
      <c r="AT59" t="n">
        <v>0</v>
      </c>
      <c r="AU59" t="n">
        <v>0</v>
      </c>
      <c r="AV59" t="n">
        <v>0</v>
      </c>
      <c r="AW59" t="n">
        <v>0</v>
      </c>
    </row>
    <row r="60">
      <c r="A60" t="inlineStr">
        <is>
          <t>FD25023793</t>
        </is>
      </c>
      <c r="B60" t="inlineStr">
        <is>
          <t>Marshfield Fire Department</t>
        </is>
      </c>
      <c r="C60" t="inlineStr">
        <is>
          <t>2026-03-14T20:26:00+00:00</t>
        </is>
      </c>
      <c r="D60" s="2">
        <f>IF(C60="","",DATE(VALUE(LEFT(C60,4)),VALUE(MID(C60,6,2)),VALUE(MID(C60,9,2)))+TIME(VALUE(MID(C60,12,2)),VALUE(MID(C60,15,2)),VALUE(MID(C60,18,2)))-IF(AND(DATE(VALUE(LEFT(C60,4)),VALUE(MID(C60,6,2)),VALUE(MID(C60,9,2)))+TIME(VALUE(MID(C60,12,2)),VALUE(MID(C60,15,2)),VALUE(MID(C60,18,2)))&gt;=DATE(VALUE(LEFT(C60,4)),3,1)+MOD(8-WEEKDAY(DATE(VALUE(LEFT(C60,4)),3,1)),7)+7+TIME(7,0,0),DATE(VALUE(LEFT(C60,4)),3,1)+MOD(8-WEEKDAY(DATE(VALUE(LEFT(C60,4)),3,1)),7)+7+TIME(7,0,0)&lt;DATE(VALUE(LEFT(C60,4)),11,1)+MOD(8-WEEKDAY(DATE(VALUE(LEFT(C60,4)),11,1)),7)+TIME(6,0,0)), TIME(4,0,0),TIME(5,0,0)))</f>
        <v/>
      </c>
      <c r="E60" s="3">
        <f>IF(D60="","",MOD(D60,1))</f>
        <v/>
      </c>
      <c r="F60">
        <f>IF(D60="","",TEXT(D60,"mmm"))</f>
        <v/>
      </c>
      <c r="G60">
        <f>IF(D60="","",YEAR(D60))</f>
        <v/>
      </c>
      <c r="H60">
        <f>IF(D60="","",HOUR(D60))</f>
        <v/>
      </c>
      <c r="I60" t="inlineStr">
        <is>
          <t>26-1054_639091206313504123</t>
        </is>
      </c>
      <c r="J60" t="inlineStr">
        <is>
          <t>HAZSIT||INVESTIGATION||SMOKE_INVESTIGATION</t>
        </is>
      </c>
      <c r="K60" t="inlineStr">
        <is>
          <t>HAZSIT||HAZARD_NONCHEM||ELEC_POWER_LINE_DOWN_ARCHING_MALFUNC</t>
        </is>
      </c>
      <c r="L60" t="inlineStr"/>
      <c r="M60" t="inlineStr">
        <is>
          <t>Tea Rock LANE</t>
        </is>
      </c>
      <c r="N60" t="inlineStr"/>
      <c r="O60" t="inlineStr">
        <is>
          <t>MA</t>
        </is>
      </c>
      <c r="P60" t="inlineStr">
        <is>
          <t>02050</t>
        </is>
      </c>
      <c r="Q60" t="inlineStr">
        <is>
          <t>Plymouth County</t>
        </is>
      </c>
      <c r="R60" t="inlineStr"/>
      <c r="S60" t="inlineStr"/>
      <c r="T60" t="inlineStr"/>
      <c r="U60" t="inlineStr"/>
      <c r="V60" t="inlineStr">
        <is>
          <t>FD25023793|26-1054_639091206313504123|1773519960</t>
        </is>
      </c>
      <c r="W60" t="inlineStr"/>
      <c r="X60" t="inlineStr"/>
      <c r="Y60" t="inlineStr"/>
      <c r="Z60" t="inlineStr"/>
      <c r="AA60" t="inlineStr"/>
      <c r="AB60" t="inlineStr"/>
      <c r="AC60" t="inlineStr">
        <is>
          <t>CONSUMER_PRODUCTS||POWER_BANK</t>
        </is>
      </c>
      <c r="AD60" t="inlineStr">
        <is>
          <t>UNKNOWN</t>
        </is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n">
        <v>0</v>
      </c>
      <c r="AU60" t="n">
        <v>0</v>
      </c>
      <c r="AV60" t="n">
        <v>0</v>
      </c>
      <c r="AW60" t="n">
        <v>0</v>
      </c>
    </row>
    <row r="61">
      <c r="A61" t="inlineStr">
        <is>
          <t>FD25025316</t>
        </is>
      </c>
      <c r="B61" t="inlineStr">
        <is>
          <t>Boston Fire Department</t>
        </is>
      </c>
      <c r="C61" t="inlineStr">
        <is>
          <t>2026-09-01T02:54:51+00:00</t>
        </is>
      </c>
      <c r="D61" s="2">
        <f>IF(C61="","",DATE(VALUE(LEFT(C61,4)),VALUE(MID(C61,6,2)),VALUE(MID(C61,9,2)))+TIME(VALUE(MID(C61,12,2)),VALUE(MID(C61,15,2)),VALUE(MID(C61,18,2)))-IF(AND(DATE(VALUE(LEFT(C61,4)),VALUE(MID(C61,6,2)),VALUE(MID(C61,9,2)))+TIME(VALUE(MID(C61,12,2)),VALUE(MID(C61,15,2)),VALUE(MID(C61,18,2)))&gt;=DATE(VALUE(LEFT(C61,4)),3,1)+MOD(8-WEEKDAY(DATE(VALUE(LEFT(C61,4)),3,1)),7)+7+TIME(7,0,0),DATE(VALUE(LEFT(C61,4)),3,1)+MOD(8-WEEKDAY(DATE(VALUE(LEFT(C61,4)),3,1)),7)+7+TIME(7,0,0)&lt;DATE(VALUE(LEFT(C61,4)),11,1)+MOD(8-WEEKDAY(DATE(VALUE(LEFT(C61,4)),11,1)),7)+TIME(6,0,0)), TIME(4,0,0),TIME(5,0,0)))</f>
        <v/>
      </c>
      <c r="E61" s="3">
        <f>IF(D61="","",MOD(D61,1))</f>
        <v/>
      </c>
      <c r="F61">
        <f>IF(D61="","",TEXT(D61,"mmm"))</f>
        <v/>
      </c>
      <c r="G61">
        <f>IF(D61="","",YEAR(D61))</f>
        <v/>
      </c>
      <c r="H61">
        <f>IF(D61="","",HOUR(D61))</f>
        <v/>
      </c>
      <c r="I61" t="inlineStr">
        <is>
          <t>26-0062237</t>
        </is>
      </c>
      <c r="J61" t="inlineStr">
        <is>
          <t>HAZSIT||HAZARD_NONCHEM||ELEC_HAZARD_SHORT_CIRCUIT</t>
        </is>
      </c>
      <c r="K61" t="inlineStr"/>
      <c r="L61" t="inlineStr"/>
      <c r="M61" t="inlineStr">
        <is>
          <t>HAMILTON ST</t>
        </is>
      </c>
      <c r="N61" t="inlineStr"/>
      <c r="O61" t="inlineStr">
        <is>
          <t>MA</t>
        </is>
      </c>
      <c r="P61" t="inlineStr">
        <is>
          <t>02125</t>
        </is>
      </c>
      <c r="Q61" t="inlineStr">
        <is>
          <t>SUFFOLK</t>
        </is>
      </c>
      <c r="R61" t="inlineStr">
        <is>
          <t>RESIDENTIAL</t>
        </is>
      </c>
      <c r="S61" t="inlineStr">
        <is>
          <t>MULTI_FAMILY_LOWRISE_DWELLING</t>
        </is>
      </c>
      <c r="T61" t="inlineStr"/>
      <c r="U61" t="inlineStr"/>
      <c r="V61" t="inlineStr">
        <is>
          <t>FD25025316|26-0062237|1788231291</t>
        </is>
      </c>
      <c r="W61" t="inlineStr"/>
      <c r="X61" t="inlineStr"/>
      <c r="Y61" t="inlineStr"/>
      <c r="Z61" t="inlineStr"/>
      <c r="AA61" t="inlineStr"/>
      <c r="AB61" t="inlineStr"/>
      <c r="AC61" t="inlineStr">
        <is>
          <t>CONSUMER_PRODUCTS||OTHER</t>
        </is>
      </c>
      <c r="AD61" t="inlineStr"/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/>
      <c r="AN61" t="inlineStr"/>
      <c r="AO61" t="inlineStr"/>
      <c r="AP61" t="inlineStr"/>
      <c r="AQ61" t="inlineStr"/>
      <c r="AR61" t="inlineStr"/>
      <c r="AS61" t="inlineStr"/>
      <c r="AT61" t="n">
        <v>0</v>
      </c>
      <c r="AU61" t="n">
        <v>0</v>
      </c>
      <c r="AV61" t="n">
        <v>0</v>
      </c>
      <c r="AW61" t="n">
        <v>0</v>
      </c>
    </row>
    <row r="62">
      <c r="A62" t="inlineStr">
        <is>
          <t>FD25025316</t>
        </is>
      </c>
      <c r="B62" t="inlineStr">
        <is>
          <t>Boston Fire Department</t>
        </is>
      </c>
      <c r="C62" t="inlineStr">
        <is>
          <t>2026-08-31T13:01:06+00:00</t>
        </is>
      </c>
      <c r="D62" s="2">
        <f>IF(C62="","",DATE(VALUE(LEFT(C62,4)),VALUE(MID(C62,6,2)),VALUE(MID(C62,9,2)))+TIME(VALUE(MID(C62,12,2)),VALUE(MID(C62,15,2)),VALUE(MID(C62,18,2)))-IF(AND(DATE(VALUE(LEFT(C62,4)),VALUE(MID(C62,6,2)),VALUE(MID(C62,9,2)))+TIME(VALUE(MID(C62,12,2)),VALUE(MID(C62,15,2)),VALUE(MID(C62,18,2)))&gt;=DATE(VALUE(LEFT(C62,4)),3,1)+MOD(8-WEEKDAY(DATE(VALUE(LEFT(C62,4)),3,1)),7)+7+TIME(7,0,0),DATE(VALUE(LEFT(C62,4)),3,1)+MOD(8-WEEKDAY(DATE(VALUE(LEFT(C62,4)),3,1)),7)+7+TIME(7,0,0)&lt;DATE(VALUE(LEFT(C62,4)),11,1)+MOD(8-WEEKDAY(DATE(VALUE(LEFT(C62,4)),11,1)),7)+TIME(6,0,0)), TIME(4,0,0),TIME(5,0,0)))</f>
        <v/>
      </c>
      <c r="E62" s="3">
        <f>IF(D62="","",MOD(D62,1))</f>
        <v/>
      </c>
      <c r="F62">
        <f>IF(D62="","",TEXT(D62,"mmm"))</f>
        <v/>
      </c>
      <c r="G62">
        <f>IF(D62="","",YEAR(D62))</f>
        <v/>
      </c>
      <c r="H62">
        <f>IF(D62="","",HOUR(D62))</f>
        <v/>
      </c>
      <c r="I62" t="inlineStr">
        <is>
          <t>26-0062028</t>
        </is>
      </c>
      <c r="J62" t="inlineStr">
        <is>
          <t>FIRE||STRUCTURE_FIRE||STRUCTURAL_INVOLVEMENT_FIRE</t>
        </is>
      </c>
      <c r="K62" t="inlineStr"/>
      <c r="L62" t="inlineStr"/>
      <c r="M62" t="inlineStr">
        <is>
          <t>N BEACON ST</t>
        </is>
      </c>
      <c r="N62" t="inlineStr"/>
      <c r="O62" t="inlineStr">
        <is>
          <t>MA</t>
        </is>
      </c>
      <c r="P62" t="inlineStr">
        <is>
          <t>02135</t>
        </is>
      </c>
      <c r="Q62" t="inlineStr">
        <is>
          <t>SUFFOLK</t>
        </is>
      </c>
      <c r="R62" t="inlineStr">
        <is>
          <t>RESIDENTIAL</t>
        </is>
      </c>
      <c r="S62" t="inlineStr">
        <is>
          <t>MULTI_FAMILY_LOWRISE_DWELLING</t>
        </is>
      </c>
      <c r="T62" t="inlineStr"/>
      <c r="U62" t="inlineStr"/>
      <c r="V62" t="inlineStr">
        <is>
          <t>FD25025316|26-0062028|1788181266</t>
        </is>
      </c>
      <c r="W62" t="inlineStr"/>
      <c r="X62" t="inlineStr"/>
      <c r="Y62" t="inlineStr"/>
      <c r="Z62" t="inlineStr"/>
      <c r="AA62" t="inlineStr"/>
      <c r="AB62" t="inlineStr"/>
      <c r="AC62" t="inlineStr">
        <is>
          <t>E_MOBILITY||ELECTRIC_SCOOTER_MOPED</t>
        </is>
      </c>
      <c r="AD62" t="inlineStr">
        <is>
          <t>UNKNOWN</t>
        </is>
      </c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n">
        <v>0</v>
      </c>
      <c r="AU62" t="n">
        <v>0</v>
      </c>
      <c r="AV62" t="n">
        <v>0</v>
      </c>
      <c r="AW62" t="n">
        <v>0</v>
      </c>
    </row>
    <row r="63">
      <c r="A63" t="inlineStr">
        <is>
          <t>FD25025316</t>
        </is>
      </c>
      <c r="B63" t="inlineStr">
        <is>
          <t>Boston Fire Department</t>
        </is>
      </c>
      <c r="C63" t="inlineStr">
        <is>
          <t>2026-08-28T04:22:03+00:00</t>
        </is>
      </c>
      <c r="D63" s="2">
        <f>IF(C63="","",DATE(VALUE(LEFT(C63,4)),VALUE(MID(C63,6,2)),VALUE(MID(C63,9,2)))+TIME(VALUE(MID(C63,12,2)),VALUE(MID(C63,15,2)),VALUE(MID(C63,18,2)))-IF(AND(DATE(VALUE(LEFT(C63,4)),VALUE(MID(C63,6,2)),VALUE(MID(C63,9,2)))+TIME(VALUE(MID(C63,12,2)),VALUE(MID(C63,15,2)),VALUE(MID(C63,18,2)))&gt;=DATE(VALUE(LEFT(C63,4)),3,1)+MOD(8-WEEKDAY(DATE(VALUE(LEFT(C63,4)),3,1)),7)+7+TIME(7,0,0),DATE(VALUE(LEFT(C63,4)),3,1)+MOD(8-WEEKDAY(DATE(VALUE(LEFT(C63,4)),3,1)),7)+7+TIME(7,0,0)&lt;DATE(VALUE(LEFT(C63,4)),11,1)+MOD(8-WEEKDAY(DATE(VALUE(LEFT(C63,4)),11,1)),7)+TIME(6,0,0)), TIME(4,0,0),TIME(5,0,0)))</f>
        <v/>
      </c>
      <c r="E63" s="3">
        <f>IF(D63="","",MOD(D63,1))</f>
        <v/>
      </c>
      <c r="F63">
        <f>IF(D63="","",TEXT(D63,"mmm"))</f>
        <v/>
      </c>
      <c r="G63">
        <f>IF(D63="","",YEAR(D63))</f>
        <v/>
      </c>
      <c r="H63">
        <f>IF(D63="","",HOUR(D63))</f>
        <v/>
      </c>
      <c r="I63" t="inlineStr">
        <is>
          <t>26-0061151</t>
        </is>
      </c>
      <c r="J63" t="inlineStr">
        <is>
          <t>FIRE||STRUCTURE_FIRE||CONFINED_COOKING_APPLIANCE_FIRE</t>
        </is>
      </c>
      <c r="K63" t="inlineStr"/>
      <c r="L63" t="inlineStr"/>
      <c r="M63" t="inlineStr">
        <is>
          <t>HARRISON AVE</t>
        </is>
      </c>
      <c r="N63" t="inlineStr"/>
      <c r="O63" t="inlineStr">
        <is>
          <t>MA</t>
        </is>
      </c>
      <c r="P63" t="inlineStr">
        <is>
          <t>02118</t>
        </is>
      </c>
      <c r="Q63" t="inlineStr">
        <is>
          <t>SUFFOLK</t>
        </is>
      </c>
      <c r="R63" t="inlineStr">
        <is>
          <t>RESIDENTIAL</t>
        </is>
      </c>
      <c r="S63" t="inlineStr">
        <is>
          <t>MULTI_FAMILY_HIGHRISE_DWELLING</t>
        </is>
      </c>
      <c r="T63" t="inlineStr"/>
      <c r="U63" t="inlineStr"/>
      <c r="V63" t="inlineStr">
        <is>
          <t>FD25025316|26-0061151|1787890923</t>
        </is>
      </c>
      <c r="W63" t="inlineStr"/>
      <c r="X63" t="inlineStr"/>
      <c r="Y63" t="inlineStr"/>
      <c r="Z63" t="inlineStr"/>
      <c r="AA63" t="inlineStr"/>
      <c r="AB63" t="inlineStr"/>
      <c r="AC63" t="inlineStr">
        <is>
          <t>CONSUMER_PRODUCTS||APPLIANCE_TOOL</t>
        </is>
      </c>
      <c r="AD63" t="inlineStr">
        <is>
          <t>UNKNOWN</t>
        </is>
      </c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n">
        <v>0</v>
      </c>
      <c r="AU63" t="n">
        <v>0</v>
      </c>
      <c r="AV63" t="n">
        <v>0</v>
      </c>
      <c r="AW63" t="n">
        <v>0</v>
      </c>
    </row>
    <row r="64">
      <c r="A64" t="inlineStr">
        <is>
          <t>FD25025316</t>
        </is>
      </c>
      <c r="B64" t="inlineStr">
        <is>
          <t>Boston Fire Department</t>
        </is>
      </c>
      <c r="C64" t="inlineStr">
        <is>
          <t>2026-08-27T17:24:00+00:00</t>
        </is>
      </c>
      <c r="D64" s="2">
        <f>IF(C64="","",DATE(VALUE(LEFT(C64,4)),VALUE(MID(C64,6,2)),VALUE(MID(C64,9,2)))+TIME(VALUE(MID(C64,12,2)),VALUE(MID(C64,15,2)),VALUE(MID(C64,18,2)))-IF(AND(DATE(VALUE(LEFT(C64,4)),VALUE(MID(C64,6,2)),VALUE(MID(C64,9,2)))+TIME(VALUE(MID(C64,12,2)),VALUE(MID(C64,15,2)),VALUE(MID(C64,18,2)))&gt;=DATE(VALUE(LEFT(C64,4)),3,1)+MOD(8-WEEKDAY(DATE(VALUE(LEFT(C64,4)),3,1)),7)+7+TIME(7,0,0),DATE(VALUE(LEFT(C64,4)),3,1)+MOD(8-WEEKDAY(DATE(VALUE(LEFT(C64,4)),3,1)),7)+7+TIME(7,0,0)&lt;DATE(VALUE(LEFT(C64,4)),11,1)+MOD(8-WEEKDAY(DATE(VALUE(LEFT(C64,4)),11,1)),7)+TIME(6,0,0)), TIME(4,0,0),TIME(5,0,0)))</f>
        <v/>
      </c>
      <c r="E64" s="3">
        <f>IF(D64="","",MOD(D64,1))</f>
        <v/>
      </c>
      <c r="F64">
        <f>IF(D64="","",TEXT(D64,"mmm"))</f>
        <v/>
      </c>
      <c r="G64">
        <f>IF(D64="","",YEAR(D64))</f>
        <v/>
      </c>
      <c r="H64">
        <f>IF(D64="","",HOUR(D64))</f>
        <v/>
      </c>
      <c r="I64" t="inlineStr">
        <is>
          <t>26-0061002</t>
        </is>
      </c>
      <c r="J64" t="inlineStr">
        <is>
          <t>HAZSIT||OVERPRESSURE||RUPTURE_WITHOUT_FIRE</t>
        </is>
      </c>
      <c r="K64" t="inlineStr">
        <is>
          <t>NOEMERG||GOOD_INTENT||INVESTIGATE_HAZARDOUS_RELEASE</t>
        </is>
      </c>
      <c r="L64" t="inlineStr"/>
      <c r="M64" t="inlineStr">
        <is>
          <t>BOYLSTON ST</t>
        </is>
      </c>
      <c r="N64" t="inlineStr"/>
      <c r="O64" t="inlineStr">
        <is>
          <t>MA</t>
        </is>
      </c>
      <c r="P64" t="inlineStr">
        <is>
          <t>02130</t>
        </is>
      </c>
      <c r="Q64" t="inlineStr">
        <is>
          <t>SUFFOLK</t>
        </is>
      </c>
      <c r="R64" t="inlineStr">
        <is>
          <t>RESIDENTIAL</t>
        </is>
      </c>
      <c r="S64" t="inlineStr">
        <is>
          <t>MULTI_FAMILY_LOWRISE_DWELLING</t>
        </is>
      </c>
      <c r="T64" t="inlineStr"/>
      <c r="U64" t="inlineStr"/>
      <c r="V64" t="inlineStr">
        <is>
          <t>FD25025316|26-0061002|1787851440</t>
        </is>
      </c>
      <c r="W64" t="inlineStr"/>
      <c r="X64" t="inlineStr"/>
      <c r="Y64" t="inlineStr"/>
      <c r="Z64" t="inlineStr"/>
      <c r="AA64" t="inlineStr"/>
      <c r="AB64" t="inlineStr"/>
      <c r="AC64" t="inlineStr">
        <is>
          <t>CONSUMER_PRODUCTS||POWER_BANK</t>
        </is>
      </c>
      <c r="AD64" t="inlineStr">
        <is>
          <t>SOURCE</t>
        </is>
      </c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n">
        <v>0</v>
      </c>
      <c r="AU64" t="n">
        <v>0</v>
      </c>
      <c r="AV64" t="n">
        <v>0</v>
      </c>
      <c r="AW64" t="n">
        <v>0</v>
      </c>
    </row>
    <row r="65">
      <c r="A65" t="inlineStr">
        <is>
          <t>FD25025316</t>
        </is>
      </c>
      <c r="B65" t="inlineStr">
        <is>
          <t>Boston Fire Department</t>
        </is>
      </c>
      <c r="C65" t="inlineStr">
        <is>
          <t>2026-08-24T21:37:11+00:00</t>
        </is>
      </c>
      <c r="D65" s="2">
        <f>IF(C65="","",DATE(VALUE(LEFT(C65,4)),VALUE(MID(C65,6,2)),VALUE(MID(C65,9,2)))+TIME(VALUE(MID(C65,12,2)),VALUE(MID(C65,15,2)),VALUE(MID(C65,18,2)))-IF(AND(DATE(VALUE(LEFT(C65,4)),VALUE(MID(C65,6,2)),VALUE(MID(C65,9,2)))+TIME(VALUE(MID(C65,12,2)),VALUE(MID(C65,15,2)),VALUE(MID(C65,18,2)))&gt;=DATE(VALUE(LEFT(C65,4)),3,1)+MOD(8-WEEKDAY(DATE(VALUE(LEFT(C65,4)),3,1)),7)+7+TIME(7,0,0),DATE(VALUE(LEFT(C65,4)),3,1)+MOD(8-WEEKDAY(DATE(VALUE(LEFT(C65,4)),3,1)),7)+7+TIME(7,0,0)&lt;DATE(VALUE(LEFT(C65,4)),11,1)+MOD(8-WEEKDAY(DATE(VALUE(LEFT(C65,4)),11,1)),7)+TIME(6,0,0)), TIME(4,0,0),TIME(5,0,0)))</f>
        <v/>
      </c>
      <c r="E65" s="3">
        <f>IF(D65="","",MOD(D65,1))</f>
        <v/>
      </c>
      <c r="F65">
        <f>IF(D65="","",TEXT(D65,"mmm"))</f>
        <v/>
      </c>
      <c r="G65">
        <f>IF(D65="","",YEAR(D65))</f>
        <v/>
      </c>
      <c r="H65">
        <f>IF(D65="","",HOUR(D65))</f>
        <v/>
      </c>
      <c r="I65" t="inlineStr">
        <is>
          <t>26-0060313</t>
        </is>
      </c>
      <c r="J65" t="inlineStr">
        <is>
          <t>HAZSIT||OVERPRESSURE||NO_RUPTURE</t>
        </is>
      </c>
      <c r="K65" t="inlineStr"/>
      <c r="L65" t="inlineStr"/>
      <c r="M65" t="inlineStr">
        <is>
          <t>COLUMBIA RD</t>
        </is>
      </c>
      <c r="N65" t="inlineStr"/>
      <c r="O65" t="inlineStr">
        <is>
          <t>MA</t>
        </is>
      </c>
      <c r="P65" t="inlineStr">
        <is>
          <t>02127</t>
        </is>
      </c>
      <c r="Q65" t="inlineStr">
        <is>
          <t>SUFFOLK</t>
        </is>
      </c>
      <c r="R65" t="inlineStr">
        <is>
          <t>ROADWAY_ACCESS</t>
        </is>
      </c>
      <c r="S65" t="inlineStr">
        <is>
          <t>STREET</t>
        </is>
      </c>
      <c r="T65" t="inlineStr"/>
      <c r="U65" t="inlineStr"/>
      <c r="V65" t="inlineStr">
        <is>
          <t>FD25025316|26-0060313|1787607431</t>
        </is>
      </c>
      <c r="W65" t="inlineStr"/>
      <c r="X65" t="inlineStr"/>
      <c r="Y65" t="inlineStr"/>
      <c r="Z65" t="inlineStr"/>
      <c r="AA65" t="inlineStr"/>
      <c r="AB65" t="inlineStr"/>
      <c r="AC65" t="inlineStr">
        <is>
          <t>CONSUMER_PRODUCTS||OTHER</t>
        </is>
      </c>
      <c r="AD65" t="inlineStr">
        <is>
          <t>SOURCE</t>
        </is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n">
        <v>0</v>
      </c>
      <c r="AU65" t="n">
        <v>0</v>
      </c>
      <c r="AV65" t="n">
        <v>0</v>
      </c>
      <c r="AW65" t="n">
        <v>0</v>
      </c>
    </row>
    <row r="66">
      <c r="A66" t="inlineStr">
        <is>
          <t>FD25025316</t>
        </is>
      </c>
      <c r="B66" t="inlineStr">
        <is>
          <t>Boston Fire Department</t>
        </is>
      </c>
      <c r="C66" t="inlineStr">
        <is>
          <t>2026-08-24T10:44:00+00:00</t>
        </is>
      </c>
      <c r="D66" s="2">
        <f>IF(C66="","",DATE(VALUE(LEFT(C66,4)),VALUE(MID(C66,6,2)),VALUE(MID(C66,9,2)))+TIME(VALUE(MID(C66,12,2)),VALUE(MID(C66,15,2)),VALUE(MID(C66,18,2)))-IF(AND(DATE(VALUE(LEFT(C66,4)),VALUE(MID(C66,6,2)),VALUE(MID(C66,9,2)))+TIME(VALUE(MID(C66,12,2)),VALUE(MID(C66,15,2)),VALUE(MID(C66,18,2)))&gt;=DATE(VALUE(LEFT(C66,4)),3,1)+MOD(8-WEEKDAY(DATE(VALUE(LEFT(C66,4)),3,1)),7)+7+TIME(7,0,0),DATE(VALUE(LEFT(C66,4)),3,1)+MOD(8-WEEKDAY(DATE(VALUE(LEFT(C66,4)),3,1)),7)+7+TIME(7,0,0)&lt;DATE(VALUE(LEFT(C66,4)),11,1)+MOD(8-WEEKDAY(DATE(VALUE(LEFT(C66,4)),11,1)),7)+TIME(6,0,0)), TIME(4,0,0),TIME(5,0,0)))</f>
        <v/>
      </c>
      <c r="E66" s="3">
        <f>IF(D66="","",MOD(D66,1))</f>
        <v/>
      </c>
      <c r="F66">
        <f>IF(D66="","",TEXT(D66,"mmm"))</f>
        <v/>
      </c>
      <c r="G66">
        <f>IF(D66="","",YEAR(D66))</f>
        <v/>
      </c>
      <c r="H66">
        <f>IF(D66="","",HOUR(D66))</f>
        <v/>
      </c>
      <c r="I66" t="inlineStr">
        <is>
          <t>26-0060150</t>
        </is>
      </c>
      <c r="J66" t="inlineStr">
        <is>
          <t>FIRE||OUTSIDE_FIRE||UTILITY_INFRASTRUCTURE_FIRE</t>
        </is>
      </c>
      <c r="K66" t="inlineStr"/>
      <c r="L66" t="inlineStr"/>
      <c r="M66" t="inlineStr">
        <is>
          <t>FREEPORT ST / ELLSWORTH ST</t>
        </is>
      </c>
      <c r="N66" t="inlineStr"/>
      <c r="O66" t="inlineStr">
        <is>
          <t>MA</t>
        </is>
      </c>
      <c r="P66" t="inlineStr">
        <is>
          <t>02122</t>
        </is>
      </c>
      <c r="Q66" t="inlineStr">
        <is>
          <t>SUFFOLK</t>
        </is>
      </c>
      <c r="R66" t="inlineStr">
        <is>
          <t>ROADWAY_ACCESS</t>
        </is>
      </c>
      <c r="S66" t="inlineStr">
        <is>
          <t>STREET</t>
        </is>
      </c>
      <c r="T66" t="inlineStr"/>
      <c r="U66" t="inlineStr"/>
      <c r="V66" t="inlineStr">
        <is>
          <t>FD25025316|26-0060150|1787568240</t>
        </is>
      </c>
      <c r="W66" t="inlineStr"/>
      <c r="X66" t="inlineStr"/>
      <c r="Y66" t="inlineStr"/>
      <c r="Z66" t="inlineStr"/>
      <c r="AA66" t="inlineStr"/>
      <c r="AB66" t="inlineStr"/>
      <c r="AC66" t="inlineStr">
        <is>
          <t>ENERGY_STORAGE_SYSTEM||OTHER</t>
        </is>
      </c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n">
        <v>0</v>
      </c>
      <c r="AU66" t="n">
        <v>0</v>
      </c>
      <c r="AV66" t="n">
        <v>0</v>
      </c>
      <c r="AW66" t="n">
        <v>0</v>
      </c>
    </row>
    <row r="67">
      <c r="A67" t="inlineStr">
        <is>
          <t>FD25025316</t>
        </is>
      </c>
      <c r="B67" t="inlineStr">
        <is>
          <t>Boston Fire Department</t>
        </is>
      </c>
      <c r="C67" t="inlineStr">
        <is>
          <t>2026-08-18T16:12:58+00:00</t>
        </is>
      </c>
      <c r="D67" s="2">
        <f>IF(C67="","",DATE(VALUE(LEFT(C67,4)),VALUE(MID(C67,6,2)),VALUE(MID(C67,9,2)))+TIME(VALUE(MID(C67,12,2)),VALUE(MID(C67,15,2)),VALUE(MID(C67,18,2)))-IF(AND(DATE(VALUE(LEFT(C67,4)),VALUE(MID(C67,6,2)),VALUE(MID(C67,9,2)))+TIME(VALUE(MID(C67,12,2)),VALUE(MID(C67,15,2)),VALUE(MID(C67,18,2)))&gt;=DATE(VALUE(LEFT(C67,4)),3,1)+MOD(8-WEEKDAY(DATE(VALUE(LEFT(C67,4)),3,1)),7)+7+TIME(7,0,0),DATE(VALUE(LEFT(C67,4)),3,1)+MOD(8-WEEKDAY(DATE(VALUE(LEFT(C67,4)),3,1)),7)+7+TIME(7,0,0)&lt;DATE(VALUE(LEFT(C67,4)),11,1)+MOD(8-WEEKDAY(DATE(VALUE(LEFT(C67,4)),11,1)),7)+TIME(6,0,0)), TIME(4,0,0),TIME(5,0,0)))</f>
        <v/>
      </c>
      <c r="E67" s="3">
        <f>IF(D67="","",MOD(D67,1))</f>
        <v/>
      </c>
      <c r="F67">
        <f>IF(D67="","",TEXT(D67,"mmm"))</f>
        <v/>
      </c>
      <c r="G67">
        <f>IF(D67="","",YEAR(D67))</f>
        <v/>
      </c>
      <c r="H67">
        <f>IF(D67="","",HOUR(D67))</f>
        <v/>
      </c>
      <c r="I67" t="inlineStr">
        <is>
          <t>26-0058698</t>
        </is>
      </c>
      <c r="J67" t="inlineStr">
        <is>
          <t>HAZSIT||HAZARD_NONCHEM||ELEC_HAZARD_SHORT_CIRCUIT</t>
        </is>
      </c>
      <c r="K67" t="inlineStr">
        <is>
          <t>PUBSERV||CITIZEN_ASSIST||CITIZEN_ASSIST_SERVICE_CALL</t>
        </is>
      </c>
      <c r="L67" t="inlineStr">
        <is>
          <t>FIRE||SPECIAL_FIRE||EXPLOSION</t>
        </is>
      </c>
      <c r="M67" t="inlineStr">
        <is>
          <t>S HUNTINGTON AVE</t>
        </is>
      </c>
      <c r="N67" t="inlineStr"/>
      <c r="O67" t="inlineStr">
        <is>
          <t>MA</t>
        </is>
      </c>
      <c r="P67" t="inlineStr">
        <is>
          <t>02130</t>
        </is>
      </c>
      <c r="Q67" t="inlineStr">
        <is>
          <t>SUFFOLK</t>
        </is>
      </c>
      <c r="R67" t="inlineStr">
        <is>
          <t>ROADWAY_ACCESS</t>
        </is>
      </c>
      <c r="S67" t="inlineStr">
        <is>
          <t>SIDEWALK</t>
        </is>
      </c>
      <c r="T67" t="inlineStr"/>
      <c r="U67" t="inlineStr"/>
      <c r="V67" t="inlineStr">
        <is>
          <t>FD25025316|26-0058698|1787069578</t>
        </is>
      </c>
      <c r="W67" t="inlineStr"/>
      <c r="X67" t="inlineStr"/>
      <c r="Y67" t="inlineStr"/>
      <c r="Z67" t="inlineStr"/>
      <c r="AA67" t="inlineStr"/>
      <c r="AB67" t="inlineStr"/>
      <c r="AC67" t="inlineStr">
        <is>
          <t>CONSUMER_PRODUCTS||APPLIANCE_TOOL</t>
        </is>
      </c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n">
        <v>0</v>
      </c>
      <c r="AU67" t="n">
        <v>0</v>
      </c>
      <c r="AV67" t="n">
        <v>0</v>
      </c>
      <c r="AW67" t="n">
        <v>0</v>
      </c>
    </row>
    <row r="68">
      <c r="A68" t="inlineStr">
        <is>
          <t>FD25025316</t>
        </is>
      </c>
      <c r="B68" t="inlineStr">
        <is>
          <t>Boston Fire Department</t>
        </is>
      </c>
      <c r="C68" t="inlineStr">
        <is>
          <t>2026-08-18T14:49:09+00:00</t>
        </is>
      </c>
      <c r="D68" s="2">
        <f>IF(C68="","",DATE(VALUE(LEFT(C68,4)),VALUE(MID(C68,6,2)),VALUE(MID(C68,9,2)))+TIME(VALUE(MID(C68,12,2)),VALUE(MID(C68,15,2)),VALUE(MID(C68,18,2)))-IF(AND(DATE(VALUE(LEFT(C68,4)),VALUE(MID(C68,6,2)),VALUE(MID(C68,9,2)))+TIME(VALUE(MID(C68,12,2)),VALUE(MID(C68,15,2)),VALUE(MID(C68,18,2)))&gt;=DATE(VALUE(LEFT(C68,4)),3,1)+MOD(8-WEEKDAY(DATE(VALUE(LEFT(C68,4)),3,1)),7)+7+TIME(7,0,0),DATE(VALUE(LEFT(C68,4)),3,1)+MOD(8-WEEKDAY(DATE(VALUE(LEFT(C68,4)),3,1)),7)+7+TIME(7,0,0)&lt;DATE(VALUE(LEFT(C68,4)),11,1)+MOD(8-WEEKDAY(DATE(VALUE(LEFT(C68,4)),11,1)),7)+TIME(6,0,0)), TIME(4,0,0),TIME(5,0,0)))</f>
        <v/>
      </c>
      <c r="E68" s="3">
        <f>IF(D68="","",MOD(D68,1))</f>
        <v/>
      </c>
      <c r="F68">
        <f>IF(D68="","",TEXT(D68,"mmm"))</f>
        <v/>
      </c>
      <c r="G68">
        <f>IF(D68="","",YEAR(D68))</f>
        <v/>
      </c>
      <c r="H68">
        <f>IF(D68="","",HOUR(D68))</f>
        <v/>
      </c>
      <c r="I68" t="inlineStr">
        <is>
          <t>26-0058670</t>
        </is>
      </c>
      <c r="J68" t="inlineStr">
        <is>
          <t>HAZSIT||HAZARD_NONCHEM||ELEC_HAZARD_SHORT_CIRCUIT</t>
        </is>
      </c>
      <c r="K68" t="inlineStr"/>
      <c r="L68" t="inlineStr"/>
      <c r="M68" t="inlineStr">
        <is>
          <t>S HUNTINGTON AVE</t>
        </is>
      </c>
      <c r="N68" t="inlineStr"/>
      <c r="O68" t="inlineStr">
        <is>
          <t>MA</t>
        </is>
      </c>
      <c r="P68" t="inlineStr">
        <is>
          <t>02130</t>
        </is>
      </c>
      <c r="Q68" t="inlineStr">
        <is>
          <t>SUFFOLK</t>
        </is>
      </c>
      <c r="R68" t="inlineStr">
        <is>
          <t>RESIDENTIAL</t>
        </is>
      </c>
      <c r="S68" t="inlineStr">
        <is>
          <t>MULTI_FAMILY_LOWRISE_DWELLING</t>
        </is>
      </c>
      <c r="T68" t="inlineStr"/>
      <c r="U68" t="inlineStr"/>
      <c r="V68" t="inlineStr">
        <is>
          <t>FD25025316|26-0058670|1787064549</t>
        </is>
      </c>
      <c r="W68" t="inlineStr"/>
      <c r="X68" t="inlineStr"/>
      <c r="Y68" t="inlineStr"/>
      <c r="Z68" t="inlineStr"/>
      <c r="AA68" t="inlineStr"/>
      <c r="AB68" t="inlineStr"/>
      <c r="AC68" t="inlineStr">
        <is>
          <t>CONSUMER_PRODUCTS||APPLIANCE_TOOL</t>
        </is>
      </c>
      <c r="AD68" t="inlineStr">
        <is>
          <t>SOURCE</t>
        </is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n">
        <v>0</v>
      </c>
      <c r="AU68" t="n">
        <v>0</v>
      </c>
      <c r="AV68" t="n">
        <v>0</v>
      </c>
      <c r="AW68" t="n">
        <v>0</v>
      </c>
    </row>
    <row r="69">
      <c r="A69" t="inlineStr">
        <is>
          <t>FD25025316</t>
        </is>
      </c>
      <c r="B69" t="inlineStr">
        <is>
          <t>Boston Fire Department</t>
        </is>
      </c>
      <c r="C69" t="inlineStr">
        <is>
          <t>2026-08-17T05:42:09+00:00</t>
        </is>
      </c>
      <c r="D69" s="2">
        <f>IF(C69="","",DATE(VALUE(LEFT(C69,4)),VALUE(MID(C69,6,2)),VALUE(MID(C69,9,2)))+TIME(VALUE(MID(C69,12,2)),VALUE(MID(C69,15,2)),VALUE(MID(C69,18,2)))-IF(AND(DATE(VALUE(LEFT(C69,4)),VALUE(MID(C69,6,2)),VALUE(MID(C69,9,2)))+TIME(VALUE(MID(C69,12,2)),VALUE(MID(C69,15,2)),VALUE(MID(C69,18,2)))&gt;=DATE(VALUE(LEFT(C69,4)),3,1)+MOD(8-WEEKDAY(DATE(VALUE(LEFT(C69,4)),3,1)),7)+7+TIME(7,0,0),DATE(VALUE(LEFT(C69,4)),3,1)+MOD(8-WEEKDAY(DATE(VALUE(LEFT(C69,4)),3,1)),7)+7+TIME(7,0,0)&lt;DATE(VALUE(LEFT(C69,4)),11,1)+MOD(8-WEEKDAY(DATE(VALUE(LEFT(C69,4)),11,1)),7)+TIME(6,0,0)), TIME(4,0,0),TIME(5,0,0)))</f>
        <v/>
      </c>
      <c r="E69" s="3">
        <f>IF(D69="","",MOD(D69,1))</f>
        <v/>
      </c>
      <c r="F69">
        <f>IF(D69="","",TEXT(D69,"mmm"))</f>
        <v/>
      </c>
      <c r="G69">
        <f>IF(D69="","",YEAR(D69))</f>
        <v/>
      </c>
      <c r="H69">
        <f>IF(D69="","",HOUR(D69))</f>
        <v/>
      </c>
      <c r="I69" t="inlineStr">
        <is>
          <t>26-0058323</t>
        </is>
      </c>
      <c r="J69" t="inlineStr">
        <is>
          <t>HAZSIT||HAZARD_NONCHEM||MOTOR_VEHICLE_COLLISION</t>
        </is>
      </c>
      <c r="K69" t="inlineStr"/>
      <c r="L69" t="inlineStr"/>
      <c r="M69" t="inlineStr">
        <is>
          <t>BRAY ST / COLUMBUS AVE</t>
        </is>
      </c>
      <c r="N69" t="inlineStr"/>
      <c r="O69" t="inlineStr">
        <is>
          <t>MA</t>
        </is>
      </c>
      <c r="P69" t="inlineStr">
        <is>
          <t>02119</t>
        </is>
      </c>
      <c r="Q69" t="inlineStr">
        <is>
          <t>SUFFOLK</t>
        </is>
      </c>
      <c r="R69" t="inlineStr">
        <is>
          <t>RESIDENTIAL</t>
        </is>
      </c>
      <c r="S69" t="inlineStr">
        <is>
          <t>DETATCHED_GARAGE</t>
        </is>
      </c>
      <c r="T69" t="inlineStr"/>
      <c r="U69" t="inlineStr"/>
      <c r="V69" t="inlineStr">
        <is>
          <t>FD25025316|26-0058323|1786945329</t>
        </is>
      </c>
      <c r="W69" t="inlineStr"/>
      <c r="X69" t="inlineStr"/>
      <c r="Y69" t="inlineStr"/>
      <c r="Z69" t="inlineStr"/>
      <c r="AA69" t="inlineStr"/>
      <c r="AB69" t="inlineStr"/>
      <c r="AC69" t="inlineStr">
        <is>
          <t>CONSUMER_PRODUCTS||OTHER</t>
        </is>
      </c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n">
        <v>0</v>
      </c>
      <c r="AU69" t="n">
        <v>0</v>
      </c>
      <c r="AV69" t="n">
        <v>0</v>
      </c>
      <c r="AW69" t="n">
        <v>0</v>
      </c>
    </row>
    <row r="70">
      <c r="A70" t="inlineStr">
        <is>
          <t>FD25025316</t>
        </is>
      </c>
      <c r="B70" t="inlineStr">
        <is>
          <t>Boston Fire Department</t>
        </is>
      </c>
      <c r="C70" t="inlineStr">
        <is>
          <t>2026-08-13T11:19:33+00:00</t>
        </is>
      </c>
      <c r="D70" s="2">
        <f>IF(C70="","",DATE(VALUE(LEFT(C70,4)),VALUE(MID(C70,6,2)),VALUE(MID(C70,9,2)))+TIME(VALUE(MID(C70,12,2)),VALUE(MID(C70,15,2)),VALUE(MID(C70,18,2)))-IF(AND(DATE(VALUE(LEFT(C70,4)),VALUE(MID(C70,6,2)),VALUE(MID(C70,9,2)))+TIME(VALUE(MID(C70,12,2)),VALUE(MID(C70,15,2)),VALUE(MID(C70,18,2)))&gt;=DATE(VALUE(LEFT(C70,4)),3,1)+MOD(8-WEEKDAY(DATE(VALUE(LEFT(C70,4)),3,1)),7)+7+TIME(7,0,0),DATE(VALUE(LEFT(C70,4)),3,1)+MOD(8-WEEKDAY(DATE(VALUE(LEFT(C70,4)),3,1)),7)+7+TIME(7,0,0)&lt;DATE(VALUE(LEFT(C70,4)),11,1)+MOD(8-WEEKDAY(DATE(VALUE(LEFT(C70,4)),11,1)),7)+TIME(6,0,0)), TIME(4,0,0),TIME(5,0,0)))</f>
        <v/>
      </c>
      <c r="E70" s="3">
        <f>IF(D70="","",MOD(D70,1))</f>
        <v/>
      </c>
      <c r="F70">
        <f>IF(D70="","",TEXT(D70,"mmm"))</f>
        <v/>
      </c>
      <c r="G70">
        <f>IF(D70="","",YEAR(D70))</f>
        <v/>
      </c>
      <c r="H70">
        <f>IF(D70="","",HOUR(D70))</f>
        <v/>
      </c>
      <c r="I70" t="inlineStr">
        <is>
          <t>26-0057325</t>
        </is>
      </c>
      <c r="J70" t="inlineStr">
        <is>
          <t>FIRE||OUTSIDE_FIRE||TRASH_RUBBISH_FIRE</t>
        </is>
      </c>
      <c r="K70" t="inlineStr"/>
      <c r="L70" t="inlineStr"/>
      <c r="M70" t="inlineStr">
        <is>
          <t>ASHMONT ST / RUNDEL PARK</t>
        </is>
      </c>
      <c r="N70" t="inlineStr"/>
      <c r="O70" t="inlineStr">
        <is>
          <t>MA</t>
        </is>
      </c>
      <c r="P70" t="inlineStr">
        <is>
          <t>02124</t>
        </is>
      </c>
      <c r="Q70" t="inlineStr">
        <is>
          <t>SUFFOLK</t>
        </is>
      </c>
      <c r="R70" t="inlineStr">
        <is>
          <t>ROADWAY_ACCESS</t>
        </is>
      </c>
      <c r="S70" t="inlineStr">
        <is>
          <t>STREET</t>
        </is>
      </c>
      <c r="T70" t="inlineStr"/>
      <c r="U70" t="inlineStr"/>
      <c r="V70" t="inlineStr">
        <is>
          <t>FD25025316|26-0057325|1786619973</t>
        </is>
      </c>
      <c r="W70" t="inlineStr"/>
      <c r="X70" t="inlineStr"/>
      <c r="Y70" t="inlineStr"/>
      <c r="Z70" t="inlineStr"/>
      <c r="AA70" t="inlineStr"/>
      <c r="AB70" t="inlineStr"/>
      <c r="AC70" t="inlineStr">
        <is>
          <t>CONSUMER_PRODUCTS||POWER_BANK</t>
        </is>
      </c>
      <c r="AD70" t="inlineStr">
        <is>
          <t>SOURCE</t>
        </is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n">
        <v>0</v>
      </c>
      <c r="AU70" t="n">
        <v>0</v>
      </c>
      <c r="AV70" t="n">
        <v>0</v>
      </c>
      <c r="AW70" t="n">
        <v>0</v>
      </c>
    </row>
    <row r="71">
      <c r="A71" t="inlineStr">
        <is>
          <t>FD25025316</t>
        </is>
      </c>
      <c r="B71" t="inlineStr">
        <is>
          <t>Boston Fire Department</t>
        </is>
      </c>
      <c r="C71" t="inlineStr">
        <is>
          <t>2026-08-08T21:16:11+00:00</t>
        </is>
      </c>
      <c r="D71" s="2">
        <f>IF(C71="","",DATE(VALUE(LEFT(C71,4)),VALUE(MID(C71,6,2)),VALUE(MID(C71,9,2)))+TIME(VALUE(MID(C71,12,2)),VALUE(MID(C71,15,2)),VALUE(MID(C71,18,2)))-IF(AND(DATE(VALUE(LEFT(C71,4)),VALUE(MID(C71,6,2)),VALUE(MID(C71,9,2)))+TIME(VALUE(MID(C71,12,2)),VALUE(MID(C71,15,2)),VALUE(MID(C71,18,2)))&gt;=DATE(VALUE(LEFT(C71,4)),3,1)+MOD(8-WEEKDAY(DATE(VALUE(LEFT(C71,4)),3,1)),7)+7+TIME(7,0,0),DATE(VALUE(LEFT(C71,4)),3,1)+MOD(8-WEEKDAY(DATE(VALUE(LEFT(C71,4)),3,1)),7)+7+TIME(7,0,0)&lt;DATE(VALUE(LEFT(C71,4)),11,1)+MOD(8-WEEKDAY(DATE(VALUE(LEFT(C71,4)),11,1)),7)+TIME(6,0,0)), TIME(4,0,0),TIME(5,0,0)))</f>
        <v/>
      </c>
      <c r="E71" s="3">
        <f>IF(D71="","",MOD(D71,1))</f>
        <v/>
      </c>
      <c r="F71">
        <f>IF(D71="","",TEXT(D71,"mmm"))</f>
        <v/>
      </c>
      <c r="G71">
        <f>IF(D71="","",YEAR(D71))</f>
        <v/>
      </c>
      <c r="H71">
        <f>IF(D71="","",HOUR(D71))</f>
        <v/>
      </c>
      <c r="I71" t="inlineStr">
        <is>
          <t>26-0056139</t>
        </is>
      </c>
      <c r="J71" t="inlineStr">
        <is>
          <t>FIRE||STRUCTURE_FIRE||ROOM_AND_CONTENTS_FIRE</t>
        </is>
      </c>
      <c r="K71" t="inlineStr"/>
      <c r="L71" t="inlineStr"/>
      <c r="M71" t="inlineStr">
        <is>
          <t>WASHINGTON ST</t>
        </is>
      </c>
      <c r="N71" t="inlineStr"/>
      <c r="O71" t="inlineStr">
        <is>
          <t>MA</t>
        </is>
      </c>
      <c r="P71" t="inlineStr">
        <is>
          <t>02135</t>
        </is>
      </c>
      <c r="Q71" t="inlineStr">
        <is>
          <t>SUFFOLK</t>
        </is>
      </c>
      <c r="R71" t="inlineStr">
        <is>
          <t>RESIDENTIAL</t>
        </is>
      </c>
      <c r="S71" t="inlineStr">
        <is>
          <t>MULTI_FAMILY_LOWRISE_DWELLING</t>
        </is>
      </c>
      <c r="T71" t="inlineStr"/>
      <c r="U71" t="inlineStr"/>
      <c r="V71" t="inlineStr">
        <is>
          <t>FD25025316|26-0056139|1786223771</t>
        </is>
      </c>
      <c r="W71" t="inlineStr"/>
      <c r="X71" t="inlineStr"/>
      <c r="Y71" t="inlineStr"/>
      <c r="Z71" t="inlineStr"/>
      <c r="AA71" t="inlineStr"/>
      <c r="AB71" t="inlineStr"/>
      <c r="AC71" t="inlineStr">
        <is>
          <t>E_MOBILITY||ELECTRIC_SCOOTER_MOPED</t>
        </is>
      </c>
      <c r="AD71" t="inlineStr">
        <is>
          <t>SOURCE</t>
        </is>
      </c>
      <c r="AE71" t="inlineStr"/>
      <c r="AF71" t="inlineStr"/>
      <c r="AG71" t="inlineStr"/>
      <c r="AH71" t="inlineStr"/>
      <c r="AI71" t="inlineStr"/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inlineStr"/>
      <c r="AS71" t="inlineStr"/>
      <c r="AT71" t="n">
        <v>0</v>
      </c>
      <c r="AU71" t="n">
        <v>0</v>
      </c>
      <c r="AV71" t="n">
        <v>0</v>
      </c>
      <c r="AW71" t="n">
        <v>0</v>
      </c>
    </row>
    <row r="72">
      <c r="A72" t="inlineStr">
        <is>
          <t>FD25025316</t>
        </is>
      </c>
      <c r="B72" t="inlineStr">
        <is>
          <t>Boston Fire Department</t>
        </is>
      </c>
      <c r="C72" t="inlineStr">
        <is>
          <t>2026-08-07T02:52:37+00:00</t>
        </is>
      </c>
      <c r="D72" s="2">
        <f>IF(C72="","",DATE(VALUE(LEFT(C72,4)),VALUE(MID(C72,6,2)),VALUE(MID(C72,9,2)))+TIME(VALUE(MID(C72,12,2)),VALUE(MID(C72,15,2)),VALUE(MID(C72,18,2)))-IF(AND(DATE(VALUE(LEFT(C72,4)),VALUE(MID(C72,6,2)),VALUE(MID(C72,9,2)))+TIME(VALUE(MID(C72,12,2)),VALUE(MID(C72,15,2)),VALUE(MID(C72,18,2)))&gt;=DATE(VALUE(LEFT(C72,4)),3,1)+MOD(8-WEEKDAY(DATE(VALUE(LEFT(C72,4)),3,1)),7)+7+TIME(7,0,0),DATE(VALUE(LEFT(C72,4)),3,1)+MOD(8-WEEKDAY(DATE(VALUE(LEFT(C72,4)),3,1)),7)+7+TIME(7,0,0)&lt;DATE(VALUE(LEFT(C72,4)),11,1)+MOD(8-WEEKDAY(DATE(VALUE(LEFT(C72,4)),11,1)),7)+TIME(6,0,0)), TIME(4,0,0),TIME(5,0,0)))</f>
        <v/>
      </c>
      <c r="E72" s="3">
        <f>IF(D72="","",MOD(D72,1))</f>
        <v/>
      </c>
      <c r="F72">
        <f>IF(D72="","",TEXT(D72,"mmm"))</f>
        <v/>
      </c>
      <c r="G72">
        <f>IF(D72="","",YEAR(D72))</f>
        <v/>
      </c>
      <c r="H72">
        <f>IF(D72="","",HOUR(D72))</f>
        <v/>
      </c>
      <c r="I72" t="inlineStr">
        <is>
          <t>26-0055624</t>
        </is>
      </c>
      <c r="J72" t="inlineStr">
        <is>
          <t>HAZSIT||HAZARD_NONCHEM||ELEC_HAZARD_SHORT_CIRCUIT</t>
        </is>
      </c>
      <c r="K72" t="inlineStr"/>
      <c r="L72" t="inlineStr"/>
      <c r="M72" t="inlineStr">
        <is>
          <t>BLUEFIELD TER</t>
        </is>
      </c>
      <c r="N72" t="inlineStr"/>
      <c r="O72" t="inlineStr">
        <is>
          <t>MA</t>
        </is>
      </c>
      <c r="P72" t="inlineStr">
        <is>
          <t>02126</t>
        </is>
      </c>
      <c r="Q72" t="inlineStr">
        <is>
          <t>SUFFOLK</t>
        </is>
      </c>
      <c r="R72" t="inlineStr">
        <is>
          <t>RESIDENTIAL</t>
        </is>
      </c>
      <c r="S72" t="inlineStr">
        <is>
          <t>DETATCHED_SINGLE_FAMILY_DWELLING</t>
        </is>
      </c>
      <c r="T72" t="inlineStr"/>
      <c r="U72" t="inlineStr"/>
      <c r="V72" t="inlineStr">
        <is>
          <t>FD25025316|26-0055624|1786071157</t>
        </is>
      </c>
      <c r="W72" t="inlineStr"/>
      <c r="X72" t="inlineStr"/>
      <c r="Y72" t="inlineStr"/>
      <c r="Z72" t="inlineStr"/>
      <c r="AA72" t="inlineStr"/>
      <c r="AB72" t="inlineStr"/>
      <c r="AC72" t="inlineStr">
        <is>
          <t>CONSUMER_PRODUCTS||OTHER||CONSUMER_PRODUCTS||APPLIANCE_TOOL</t>
        </is>
      </c>
      <c r="AD72" t="inlineStr"/>
      <c r="AE72" t="inlineStr"/>
      <c r="AF72" t="inlineStr"/>
      <c r="AG72" t="inlineStr"/>
      <c r="AH72" t="inlineStr"/>
      <c r="AI72" t="inlineStr"/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n">
        <v>0</v>
      </c>
      <c r="AU72" t="n">
        <v>0</v>
      </c>
      <c r="AV72" t="n">
        <v>0</v>
      </c>
      <c r="AW72" t="n">
        <v>0</v>
      </c>
    </row>
    <row r="73">
      <c r="A73" t="inlineStr">
        <is>
          <t>FD25025316</t>
        </is>
      </c>
      <c r="B73" t="inlineStr">
        <is>
          <t>Boston Fire Department</t>
        </is>
      </c>
      <c r="C73" t="inlineStr">
        <is>
          <t>2026-08-03T13:35:50+00:00</t>
        </is>
      </c>
      <c r="D73" s="2">
        <f>IF(C73="","",DATE(VALUE(LEFT(C73,4)),VALUE(MID(C73,6,2)),VALUE(MID(C73,9,2)))+TIME(VALUE(MID(C73,12,2)),VALUE(MID(C73,15,2)),VALUE(MID(C73,18,2)))-IF(AND(DATE(VALUE(LEFT(C73,4)),VALUE(MID(C73,6,2)),VALUE(MID(C73,9,2)))+TIME(VALUE(MID(C73,12,2)),VALUE(MID(C73,15,2)),VALUE(MID(C73,18,2)))&gt;=DATE(VALUE(LEFT(C73,4)),3,1)+MOD(8-WEEKDAY(DATE(VALUE(LEFT(C73,4)),3,1)),7)+7+TIME(7,0,0),DATE(VALUE(LEFT(C73,4)),3,1)+MOD(8-WEEKDAY(DATE(VALUE(LEFT(C73,4)),3,1)),7)+7+TIME(7,0,0)&lt;DATE(VALUE(LEFT(C73,4)),11,1)+MOD(8-WEEKDAY(DATE(VALUE(LEFT(C73,4)),11,1)),7)+TIME(6,0,0)), TIME(4,0,0),TIME(5,0,0)))</f>
        <v/>
      </c>
      <c r="E73" s="3">
        <f>IF(D73="","",MOD(D73,1))</f>
        <v/>
      </c>
      <c r="F73">
        <f>IF(D73="","",TEXT(D73,"mmm"))</f>
        <v/>
      </c>
      <c r="G73">
        <f>IF(D73="","",YEAR(D73))</f>
        <v/>
      </c>
      <c r="H73">
        <f>IF(D73="","",HOUR(D73))</f>
        <v/>
      </c>
      <c r="I73" t="inlineStr">
        <is>
          <t>26-0054565</t>
        </is>
      </c>
      <c r="J73" t="inlineStr">
        <is>
          <t>FIRE||TRANSPORTATION_FIRE||VEHICLE_FIRE_PASSENGER</t>
        </is>
      </c>
      <c r="K73" t="inlineStr"/>
      <c r="L73" t="inlineStr"/>
      <c r="M73" t="inlineStr">
        <is>
          <t>BEACON ST / FAIRMOUNT AVE</t>
        </is>
      </c>
      <c r="N73" t="inlineStr"/>
      <c r="O73" t="inlineStr">
        <is>
          <t>MA</t>
        </is>
      </c>
      <c r="P73" t="inlineStr">
        <is>
          <t>02136</t>
        </is>
      </c>
      <c r="Q73" t="inlineStr">
        <is>
          <t>SUFFOLK</t>
        </is>
      </c>
      <c r="R73" t="inlineStr">
        <is>
          <t>ROADWAY_ACCESS</t>
        </is>
      </c>
      <c r="S73" t="inlineStr">
        <is>
          <t>STREET</t>
        </is>
      </c>
      <c r="T73" t="inlineStr"/>
      <c r="U73" t="inlineStr"/>
      <c r="V73" t="inlineStr">
        <is>
          <t>FD25025316|26-0054565|1785764150</t>
        </is>
      </c>
      <c r="W73" t="inlineStr"/>
      <c r="X73" t="inlineStr"/>
      <c r="Y73" t="inlineStr"/>
      <c r="Z73" t="inlineStr"/>
      <c r="AA73" t="inlineStr"/>
      <c r="AB73" t="inlineStr"/>
      <c r="AC73" t="inlineStr">
        <is>
          <t>CONSUMER_PRODUCTS||OTHER</t>
        </is>
      </c>
      <c r="AD73" t="inlineStr">
        <is>
          <t>UNKNOWN</t>
        </is>
      </c>
      <c r="AE73" t="inlineStr"/>
      <c r="AF73" t="inlineStr"/>
      <c r="AG73" t="inlineStr"/>
      <c r="AH73" t="inlineStr"/>
      <c r="AI73" t="inlineStr"/>
      <c r="AJ73" t="inlineStr"/>
      <c r="AK73" t="inlineStr"/>
      <c r="AL73" t="inlineStr"/>
      <c r="AM73" t="inlineStr"/>
      <c r="AN73" t="inlineStr"/>
      <c r="AO73" t="inlineStr"/>
      <c r="AP73" t="inlineStr"/>
      <c r="AQ73" t="inlineStr"/>
      <c r="AR73" t="inlineStr"/>
      <c r="AS73" t="inlineStr"/>
      <c r="AT73" t="n">
        <v>0</v>
      </c>
      <c r="AU73" t="n">
        <v>0</v>
      </c>
      <c r="AV73" t="n">
        <v>0</v>
      </c>
      <c r="AW73" t="n">
        <v>0</v>
      </c>
    </row>
    <row r="74">
      <c r="A74" t="inlineStr">
        <is>
          <t>FD25025316</t>
        </is>
      </c>
      <c r="B74" t="inlineStr">
        <is>
          <t>Boston Fire Department</t>
        </is>
      </c>
      <c r="C74" t="inlineStr">
        <is>
          <t>2026-07-28T05:02:47+00:00</t>
        </is>
      </c>
      <c r="D74" s="2">
        <f>IF(C74="","",DATE(VALUE(LEFT(C74,4)),VALUE(MID(C74,6,2)),VALUE(MID(C74,9,2)))+TIME(VALUE(MID(C74,12,2)),VALUE(MID(C74,15,2)),VALUE(MID(C74,18,2)))-IF(AND(DATE(VALUE(LEFT(C74,4)),VALUE(MID(C74,6,2)),VALUE(MID(C74,9,2)))+TIME(VALUE(MID(C74,12,2)),VALUE(MID(C74,15,2)),VALUE(MID(C74,18,2)))&gt;=DATE(VALUE(LEFT(C74,4)),3,1)+MOD(8-WEEKDAY(DATE(VALUE(LEFT(C74,4)),3,1)),7)+7+TIME(7,0,0),DATE(VALUE(LEFT(C74,4)),3,1)+MOD(8-WEEKDAY(DATE(VALUE(LEFT(C74,4)),3,1)),7)+7+TIME(7,0,0)&lt;DATE(VALUE(LEFT(C74,4)),11,1)+MOD(8-WEEKDAY(DATE(VALUE(LEFT(C74,4)),11,1)),7)+TIME(6,0,0)), TIME(4,0,0),TIME(5,0,0)))</f>
        <v/>
      </c>
      <c r="E74" s="3">
        <f>IF(D74="","",MOD(D74,1))</f>
        <v/>
      </c>
      <c r="F74">
        <f>IF(D74="","",TEXT(D74,"mmm"))</f>
        <v/>
      </c>
      <c r="G74">
        <f>IF(D74="","",YEAR(D74))</f>
        <v/>
      </c>
      <c r="H74">
        <f>IF(D74="","",HOUR(D74))</f>
        <v/>
      </c>
      <c r="I74" t="inlineStr">
        <is>
          <t>26-0052873</t>
        </is>
      </c>
      <c r="J74" t="inlineStr">
        <is>
          <t>FIRE||STRUCTURE_FIRE||ROOM_AND_CONTENTS_FIRE</t>
        </is>
      </c>
      <c r="K74" t="inlineStr"/>
      <c r="L74" t="inlineStr"/>
      <c r="M74" t="inlineStr">
        <is>
          <t>BENNINGTON ST</t>
        </is>
      </c>
      <c r="N74" t="inlineStr"/>
      <c r="O74" t="inlineStr">
        <is>
          <t>MA</t>
        </is>
      </c>
      <c r="P74" t="inlineStr">
        <is>
          <t>02128</t>
        </is>
      </c>
      <c r="Q74" t="inlineStr">
        <is>
          <t>SUFFOLK</t>
        </is>
      </c>
      <c r="R74" t="inlineStr">
        <is>
          <t>RESIDENTIAL</t>
        </is>
      </c>
      <c r="S74" t="inlineStr">
        <is>
          <t>MULTI_FAMILY_LOWRISE_DWELLING</t>
        </is>
      </c>
      <c r="T74" t="inlineStr"/>
      <c r="U74" t="inlineStr"/>
      <c r="V74" t="inlineStr">
        <is>
          <t>FD25025316|26-0052873|1785214967</t>
        </is>
      </c>
      <c r="W74" t="inlineStr"/>
      <c r="X74" t="inlineStr"/>
      <c r="Y74" t="inlineStr"/>
      <c r="Z74" t="inlineStr"/>
      <c r="AA74" t="inlineStr"/>
      <c r="AB74" t="inlineStr"/>
      <c r="AC74" t="inlineStr">
        <is>
          <t>E_MOBILITY||ELECTRIC_SCOOTER_MOPED</t>
        </is>
      </c>
      <c r="AD74" t="inlineStr"/>
      <c r="AE74" t="inlineStr"/>
      <c r="AF74" t="inlineStr"/>
      <c r="AG74" t="inlineStr"/>
      <c r="AH74" t="inlineStr"/>
      <c r="AI74" t="inlineStr"/>
      <c r="AJ74" t="inlineStr"/>
      <c r="AK74" t="inlineStr"/>
      <c r="AL74" t="inlineStr"/>
      <c r="AM74" t="inlineStr"/>
      <c r="AN74" t="inlineStr"/>
      <c r="AO74" t="inlineStr"/>
      <c r="AP74" t="inlineStr"/>
      <c r="AQ74" t="inlineStr"/>
      <c r="AR74" t="inlineStr"/>
      <c r="AS74" t="inlineStr"/>
      <c r="AT74" t="n">
        <v>0</v>
      </c>
      <c r="AU74" t="n">
        <v>0</v>
      </c>
      <c r="AV74" t="n">
        <v>0</v>
      </c>
      <c r="AW74" t="n">
        <v>0</v>
      </c>
    </row>
    <row r="75">
      <c r="A75" t="inlineStr">
        <is>
          <t>FD25025316</t>
        </is>
      </c>
      <c r="B75" t="inlineStr">
        <is>
          <t>Boston Fire Department</t>
        </is>
      </c>
      <c r="C75" t="inlineStr">
        <is>
          <t>2026-07-22T05:07:06+00:00</t>
        </is>
      </c>
      <c r="D75" s="2">
        <f>IF(C75="","",DATE(VALUE(LEFT(C75,4)),VALUE(MID(C75,6,2)),VALUE(MID(C75,9,2)))+TIME(VALUE(MID(C75,12,2)),VALUE(MID(C75,15,2)),VALUE(MID(C75,18,2)))-IF(AND(DATE(VALUE(LEFT(C75,4)),VALUE(MID(C75,6,2)),VALUE(MID(C75,9,2)))+TIME(VALUE(MID(C75,12,2)),VALUE(MID(C75,15,2)),VALUE(MID(C75,18,2)))&gt;=DATE(VALUE(LEFT(C75,4)),3,1)+MOD(8-WEEKDAY(DATE(VALUE(LEFT(C75,4)),3,1)),7)+7+TIME(7,0,0),DATE(VALUE(LEFT(C75,4)),3,1)+MOD(8-WEEKDAY(DATE(VALUE(LEFT(C75,4)),3,1)),7)+7+TIME(7,0,0)&lt;DATE(VALUE(LEFT(C75,4)),11,1)+MOD(8-WEEKDAY(DATE(VALUE(LEFT(C75,4)),11,1)),7)+TIME(6,0,0)), TIME(4,0,0),TIME(5,0,0)))</f>
        <v/>
      </c>
      <c r="E75" s="3">
        <f>IF(D75="","",MOD(D75,1))</f>
        <v/>
      </c>
      <c r="F75">
        <f>IF(D75="","",TEXT(D75,"mmm"))</f>
        <v/>
      </c>
      <c r="G75">
        <f>IF(D75="","",YEAR(D75))</f>
        <v/>
      </c>
      <c r="H75">
        <f>IF(D75="","",HOUR(D75))</f>
        <v/>
      </c>
      <c r="I75" t="inlineStr">
        <is>
          <t>26-0051157</t>
        </is>
      </c>
      <c r="J75" t="inlineStr">
        <is>
          <t>HAZSIT||HAZARDOUS_MATERIALS||GAS_LEAK_ODOR</t>
        </is>
      </c>
      <c r="K75" t="inlineStr"/>
      <c r="L75" t="inlineStr"/>
      <c r="M75" t="inlineStr">
        <is>
          <t>STELLMAN RD</t>
        </is>
      </c>
      <c r="N75" t="inlineStr"/>
      <c r="O75" t="inlineStr">
        <is>
          <t>MA</t>
        </is>
      </c>
      <c r="P75" t="inlineStr">
        <is>
          <t>02131</t>
        </is>
      </c>
      <c r="Q75" t="inlineStr">
        <is>
          <t>SUFFOLK</t>
        </is>
      </c>
      <c r="R75" t="inlineStr">
        <is>
          <t>RESIDENTIAL</t>
        </is>
      </c>
      <c r="S75" t="inlineStr">
        <is>
          <t>MULTI_FAMILY_LOWRISE_DWELLING</t>
        </is>
      </c>
      <c r="T75" t="inlineStr"/>
      <c r="U75" t="inlineStr"/>
      <c r="V75" t="inlineStr">
        <is>
          <t>FD25025316|26-0051157|1784696826</t>
        </is>
      </c>
      <c r="W75" t="inlineStr"/>
      <c r="X75" t="inlineStr"/>
      <c r="Y75" t="inlineStr"/>
      <c r="Z75" t="inlineStr"/>
      <c r="AA75" t="inlineStr"/>
      <c r="AB75" t="inlineStr"/>
      <c r="AC75" t="inlineStr">
        <is>
          <t>CONSUMER_PRODUCTS||OTHER</t>
        </is>
      </c>
      <c r="AD75" t="inlineStr">
        <is>
          <t>UNKNOWN</t>
        </is>
      </c>
      <c r="AE75" t="inlineStr"/>
      <c r="AF75" t="inlineStr"/>
      <c r="AG75" t="inlineStr"/>
      <c r="AH75" t="inlineStr"/>
      <c r="AI75" t="inlineStr"/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n">
        <v>0</v>
      </c>
      <c r="AU75" t="n">
        <v>0</v>
      </c>
      <c r="AV75" t="n">
        <v>0</v>
      </c>
      <c r="AW75" t="n">
        <v>0</v>
      </c>
    </row>
    <row r="76">
      <c r="A76" t="inlineStr">
        <is>
          <t>FD25025316</t>
        </is>
      </c>
      <c r="B76" t="inlineStr">
        <is>
          <t>Boston Fire Department</t>
        </is>
      </c>
      <c r="C76" t="inlineStr">
        <is>
          <t>2026-07-21T00:33:29+00:00</t>
        </is>
      </c>
      <c r="D76" s="2">
        <f>IF(C76="","",DATE(VALUE(LEFT(C76,4)),VALUE(MID(C76,6,2)),VALUE(MID(C76,9,2)))+TIME(VALUE(MID(C76,12,2)),VALUE(MID(C76,15,2)),VALUE(MID(C76,18,2)))-IF(AND(DATE(VALUE(LEFT(C76,4)),VALUE(MID(C76,6,2)),VALUE(MID(C76,9,2)))+TIME(VALUE(MID(C76,12,2)),VALUE(MID(C76,15,2)),VALUE(MID(C76,18,2)))&gt;=DATE(VALUE(LEFT(C76,4)),3,1)+MOD(8-WEEKDAY(DATE(VALUE(LEFT(C76,4)),3,1)),7)+7+TIME(7,0,0),DATE(VALUE(LEFT(C76,4)),3,1)+MOD(8-WEEKDAY(DATE(VALUE(LEFT(C76,4)),3,1)),7)+7+TIME(7,0,0)&lt;DATE(VALUE(LEFT(C76,4)),11,1)+MOD(8-WEEKDAY(DATE(VALUE(LEFT(C76,4)),11,1)),7)+TIME(6,0,0)), TIME(4,0,0),TIME(5,0,0)))</f>
        <v/>
      </c>
      <c r="E76" s="3">
        <f>IF(D76="","",MOD(D76,1))</f>
        <v/>
      </c>
      <c r="F76">
        <f>IF(D76="","",TEXT(D76,"mmm"))</f>
        <v/>
      </c>
      <c r="G76">
        <f>IF(D76="","",YEAR(D76))</f>
        <v/>
      </c>
      <c r="H76">
        <f>IF(D76="","",HOUR(D76))</f>
        <v/>
      </c>
      <c r="I76" t="inlineStr">
        <is>
          <t>26-0050860</t>
        </is>
      </c>
      <c r="J76" t="inlineStr">
        <is>
          <t>FIRE||TRANSPORTATION_FIRE||POWERED_MOBILITY_DEVICE_FIRE</t>
        </is>
      </c>
      <c r="K76" t="inlineStr"/>
      <c r="L76" t="inlineStr"/>
      <c r="M76" t="inlineStr">
        <is>
          <t>CLINTON ST</t>
        </is>
      </c>
      <c r="N76" t="inlineStr"/>
      <c r="O76" t="inlineStr">
        <is>
          <t>MA</t>
        </is>
      </c>
      <c r="P76" t="inlineStr">
        <is>
          <t>02109</t>
        </is>
      </c>
      <c r="Q76" t="inlineStr">
        <is>
          <t>SUFFOLK</t>
        </is>
      </c>
      <c r="R76" t="inlineStr">
        <is>
          <t>COMMERCIAL</t>
        </is>
      </c>
      <c r="S76" t="inlineStr">
        <is>
          <t>RETAIL_WHOLESALE_TRADE</t>
        </is>
      </c>
      <c r="T76" t="inlineStr"/>
      <c r="U76" t="inlineStr"/>
      <c r="V76" t="inlineStr">
        <is>
          <t>FD25025316|26-0050860|1784594009</t>
        </is>
      </c>
      <c r="W76" t="inlineStr"/>
      <c r="X76" t="inlineStr"/>
      <c r="Y76" t="inlineStr"/>
      <c r="Z76" t="inlineStr"/>
      <c r="AA76" t="inlineStr"/>
      <c r="AB76" t="inlineStr"/>
      <c r="AC76" t="inlineStr">
        <is>
          <t>E_MOBILITY||POWER_ASSISTED_BICYCLE</t>
        </is>
      </c>
      <c r="AD76" t="inlineStr">
        <is>
          <t>SOURCE</t>
        </is>
      </c>
      <c r="AE76" t="inlineStr"/>
      <c r="AF76" t="inlineStr"/>
      <c r="AG76" t="inlineStr"/>
      <c r="AH76" t="inlineStr"/>
      <c r="AI76" t="inlineStr"/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n">
        <v>0</v>
      </c>
      <c r="AU76" t="n">
        <v>0</v>
      </c>
      <c r="AV76" t="n">
        <v>0</v>
      </c>
      <c r="AW76" t="n">
        <v>0</v>
      </c>
    </row>
    <row r="77">
      <c r="A77" t="inlineStr">
        <is>
          <t>FD25025316</t>
        </is>
      </c>
      <c r="B77" t="inlineStr">
        <is>
          <t>Boston Fire Department</t>
        </is>
      </c>
      <c r="C77" t="inlineStr">
        <is>
          <t>2026-07-20T23:47:20+00:00</t>
        </is>
      </c>
      <c r="D77" s="2">
        <f>IF(C77="","",DATE(VALUE(LEFT(C77,4)),VALUE(MID(C77,6,2)),VALUE(MID(C77,9,2)))+TIME(VALUE(MID(C77,12,2)),VALUE(MID(C77,15,2)),VALUE(MID(C77,18,2)))-IF(AND(DATE(VALUE(LEFT(C77,4)),VALUE(MID(C77,6,2)),VALUE(MID(C77,9,2)))+TIME(VALUE(MID(C77,12,2)),VALUE(MID(C77,15,2)),VALUE(MID(C77,18,2)))&gt;=DATE(VALUE(LEFT(C77,4)),3,1)+MOD(8-WEEKDAY(DATE(VALUE(LEFT(C77,4)),3,1)),7)+7+TIME(7,0,0),DATE(VALUE(LEFT(C77,4)),3,1)+MOD(8-WEEKDAY(DATE(VALUE(LEFT(C77,4)),3,1)),7)+7+TIME(7,0,0)&lt;DATE(VALUE(LEFT(C77,4)),11,1)+MOD(8-WEEKDAY(DATE(VALUE(LEFT(C77,4)),11,1)),7)+TIME(6,0,0)), TIME(4,0,0),TIME(5,0,0)))</f>
        <v/>
      </c>
      <c r="E77" s="3">
        <f>IF(D77="","",MOD(D77,1))</f>
        <v/>
      </c>
      <c r="F77">
        <f>IF(D77="","",TEXT(D77,"mmm"))</f>
        <v/>
      </c>
      <c r="G77">
        <f>IF(D77="","",YEAR(D77))</f>
        <v/>
      </c>
      <c r="H77">
        <f>IF(D77="","",HOUR(D77))</f>
        <v/>
      </c>
      <c r="I77" t="inlineStr">
        <is>
          <t>26-0050848</t>
        </is>
      </c>
      <c r="J77" t="inlineStr">
        <is>
          <t>HAZSIT||HAZARD_NONCHEM||ELEC_HAZARD_SHORT_CIRCUIT</t>
        </is>
      </c>
      <c r="K77" t="inlineStr"/>
      <c r="L77" t="inlineStr"/>
      <c r="M77" t="inlineStr">
        <is>
          <t>AURIGA ST</t>
        </is>
      </c>
      <c r="N77" t="inlineStr"/>
      <c r="O77" t="inlineStr">
        <is>
          <t>MA</t>
        </is>
      </c>
      <c r="P77" t="inlineStr">
        <is>
          <t>02122</t>
        </is>
      </c>
      <c r="Q77" t="inlineStr">
        <is>
          <t>SUFFOLK</t>
        </is>
      </c>
      <c r="R77" t="inlineStr">
        <is>
          <t>ROADWAY_ACCESS</t>
        </is>
      </c>
      <c r="S77" t="inlineStr">
        <is>
          <t>STREET</t>
        </is>
      </c>
      <c r="T77" t="inlineStr"/>
      <c r="U77" t="inlineStr"/>
      <c r="V77" t="inlineStr">
        <is>
          <t>FD25025316|26-0050848|1784591240</t>
        </is>
      </c>
      <c r="W77" t="inlineStr"/>
      <c r="X77" t="inlineStr"/>
      <c r="Y77" t="inlineStr"/>
      <c r="Z77" t="inlineStr"/>
      <c r="AA77" t="inlineStr"/>
      <c r="AB77" t="inlineStr"/>
      <c r="AC77" t="inlineStr">
        <is>
          <t>ENERGY_STORAGE_SYSTEM||OTHER</t>
        </is>
      </c>
      <c r="AD77" t="inlineStr"/>
      <c r="AE77" t="inlineStr"/>
      <c r="AF77" t="inlineStr"/>
      <c r="AG77" t="inlineStr"/>
      <c r="AH77" t="inlineStr"/>
      <c r="AI77" t="inlineStr"/>
      <c r="AJ77" t="inlineStr"/>
      <c r="AK77" t="inlineStr"/>
      <c r="AL77" t="inlineStr"/>
      <c r="AM77" t="inlineStr"/>
      <c r="AN77" t="inlineStr"/>
      <c r="AO77" t="inlineStr"/>
      <c r="AP77" t="inlineStr"/>
      <c r="AQ77" t="inlineStr"/>
      <c r="AR77" t="inlineStr"/>
      <c r="AS77" t="inlineStr"/>
      <c r="AT77" t="n">
        <v>0</v>
      </c>
      <c r="AU77" t="n">
        <v>0</v>
      </c>
      <c r="AV77" t="n">
        <v>0</v>
      </c>
      <c r="AW77" t="n">
        <v>0</v>
      </c>
    </row>
    <row r="78">
      <c r="A78" t="inlineStr">
        <is>
          <t>FD25027451</t>
        </is>
      </c>
      <c r="B78" t="inlineStr">
        <is>
          <t>Town Of Northborough Fire Department</t>
        </is>
      </c>
      <c r="C78" t="inlineStr">
        <is>
          <t>2026-08-15T21:42:16+00:00</t>
        </is>
      </c>
      <c r="D78" s="2">
        <f>IF(C78="","",DATE(VALUE(LEFT(C78,4)),VALUE(MID(C78,6,2)),VALUE(MID(C78,9,2)))+TIME(VALUE(MID(C78,12,2)),VALUE(MID(C78,15,2)),VALUE(MID(C78,18,2)))-IF(AND(DATE(VALUE(LEFT(C78,4)),VALUE(MID(C78,6,2)),VALUE(MID(C78,9,2)))+TIME(VALUE(MID(C78,12,2)),VALUE(MID(C78,15,2)),VALUE(MID(C78,18,2)))&gt;=DATE(VALUE(LEFT(C78,4)),3,1)+MOD(8-WEEKDAY(DATE(VALUE(LEFT(C78,4)),3,1)),7)+7+TIME(7,0,0),DATE(VALUE(LEFT(C78,4)),3,1)+MOD(8-WEEKDAY(DATE(VALUE(LEFT(C78,4)),3,1)),7)+7+TIME(7,0,0)&lt;DATE(VALUE(LEFT(C78,4)),11,1)+MOD(8-WEEKDAY(DATE(VALUE(LEFT(C78,4)),11,1)),7)+TIME(6,0,0)), TIME(4,0,0),TIME(5,0,0)))</f>
        <v/>
      </c>
      <c r="E78" s="3">
        <f>IF(D78="","",MOD(D78,1))</f>
        <v/>
      </c>
      <c r="F78">
        <f>IF(D78="","",TEXT(D78,"mmm"))</f>
        <v/>
      </c>
      <c r="G78">
        <f>IF(D78="","",YEAR(D78))</f>
        <v/>
      </c>
      <c r="H78">
        <f>IF(D78="","",HOUR(D78))</f>
        <v/>
      </c>
      <c r="I78" t="inlineStr">
        <is>
          <t>26-0001637_639224322613616029</t>
        </is>
      </c>
      <c r="J78" t="inlineStr">
        <is>
          <t>FIRE||STRUCTURE_FIRE||CONFINED_COOKING_APPLIANCE_FIRE</t>
        </is>
      </c>
      <c r="K78" t="inlineStr"/>
      <c r="L78" t="inlineStr"/>
      <c r="M78" t="inlineStr">
        <is>
          <t>Church Apt A 4</t>
        </is>
      </c>
      <c r="N78" t="inlineStr">
        <is>
          <t>Northborough</t>
        </is>
      </c>
      <c r="O78" t="inlineStr">
        <is>
          <t>MA</t>
        </is>
      </c>
      <c r="P78" t="inlineStr">
        <is>
          <t>01532</t>
        </is>
      </c>
      <c r="Q78" t="inlineStr">
        <is>
          <t>Worcester County</t>
        </is>
      </c>
      <c r="R78" t="inlineStr">
        <is>
          <t>RESIDENTIAL</t>
        </is>
      </c>
      <c r="S78" t="inlineStr">
        <is>
          <t>MULTI_FAMILY_LOWRISE_DWELLING</t>
        </is>
      </c>
      <c r="T78" t="inlineStr"/>
      <c r="U78" t="inlineStr"/>
      <c r="V78" t="inlineStr">
        <is>
          <t>FD25027451|26-0001637_639224322613616029|1786830136</t>
        </is>
      </c>
      <c r="W78" t="inlineStr"/>
      <c r="X78" t="inlineStr"/>
      <c r="Y78" t="inlineStr"/>
      <c r="Z78" t="inlineStr"/>
      <c r="AA78" t="inlineStr"/>
      <c r="AB78" t="inlineStr"/>
      <c r="AC78" t="inlineStr">
        <is>
          <t>CONSUMER_PRODUCTS||APPLIANCE_TOOL</t>
        </is>
      </c>
      <c r="AD78" t="inlineStr"/>
      <c r="AE78" t="inlineStr"/>
      <c r="AF78" t="inlineStr"/>
      <c r="AG78" t="inlineStr"/>
      <c r="AH78" t="inlineStr"/>
      <c r="AI78" t="inlineStr"/>
      <c r="AJ78" t="inlineStr"/>
      <c r="AK78" t="inlineStr"/>
      <c r="AL78" t="inlineStr"/>
      <c r="AM78" t="inlineStr"/>
      <c r="AN78" t="inlineStr"/>
      <c r="AO78" t="inlineStr"/>
      <c r="AP78" t="inlineStr"/>
      <c r="AQ78" t="inlineStr"/>
      <c r="AR78" t="inlineStr"/>
      <c r="AS78" t="inlineStr"/>
      <c r="AT78" t="n">
        <v>0</v>
      </c>
      <c r="AU78" t="n">
        <v>0</v>
      </c>
      <c r="AV78" t="n">
        <v>0</v>
      </c>
      <c r="AW78" t="n">
        <v>0</v>
      </c>
    </row>
    <row r="79">
      <c r="A79" t="inlineStr">
        <is>
          <t>FD25027606</t>
        </is>
      </c>
      <c r="B79" t="inlineStr">
        <is>
          <t>Town Of Sturbridge Fire Department</t>
        </is>
      </c>
      <c r="C79" t="inlineStr">
        <is>
          <t>2026-07-21T13:32:00+00:00</t>
        </is>
      </c>
      <c r="D79" s="2">
        <f>IF(C79="","",DATE(VALUE(LEFT(C79,4)),VALUE(MID(C79,6,2)),VALUE(MID(C79,9,2)))+TIME(VALUE(MID(C79,12,2)),VALUE(MID(C79,15,2)),VALUE(MID(C79,18,2)))-IF(AND(DATE(VALUE(LEFT(C79,4)),VALUE(MID(C79,6,2)),VALUE(MID(C79,9,2)))+TIME(VALUE(MID(C79,12,2)),VALUE(MID(C79,15,2)),VALUE(MID(C79,18,2)))&gt;=DATE(VALUE(LEFT(C79,4)),3,1)+MOD(8-WEEKDAY(DATE(VALUE(LEFT(C79,4)),3,1)),7)+7+TIME(7,0,0),DATE(VALUE(LEFT(C79,4)),3,1)+MOD(8-WEEKDAY(DATE(VALUE(LEFT(C79,4)),3,1)),7)+7+TIME(7,0,0)&lt;DATE(VALUE(LEFT(C79,4)),11,1)+MOD(8-WEEKDAY(DATE(VALUE(LEFT(C79,4)),11,1)),7)+TIME(6,0,0)), TIME(4,0,0),TIME(5,0,0)))</f>
        <v/>
      </c>
      <c r="E79" s="3">
        <f>IF(D79="","",MOD(D79,1))</f>
        <v/>
      </c>
      <c r="F79">
        <f>IF(D79="","",TEXT(D79,"mmm"))</f>
        <v/>
      </c>
      <c r="G79">
        <f>IF(D79="","",YEAR(D79))</f>
        <v/>
      </c>
      <c r="H79">
        <f>IF(D79="","",HOUR(D79))</f>
        <v/>
      </c>
      <c r="I79" t="inlineStr">
        <is>
          <t>26-14622_639203448685322953</t>
        </is>
      </c>
      <c r="J79" t="inlineStr">
        <is>
          <t>HAZSIT||HAZARD_NONCHEM||ELEC_HAZARD_SHORT_CIRCUIT</t>
        </is>
      </c>
      <c r="K79" t="inlineStr"/>
      <c r="L79" t="inlineStr"/>
      <c r="M79" t="inlineStr">
        <is>
          <t>Charlton</t>
        </is>
      </c>
      <c r="N79" t="inlineStr">
        <is>
          <t>Sturbridge</t>
        </is>
      </c>
      <c r="O79" t="inlineStr">
        <is>
          <t>MA</t>
        </is>
      </c>
      <c r="P79" t="inlineStr">
        <is>
          <t>01566</t>
        </is>
      </c>
      <c r="Q79" t="inlineStr">
        <is>
          <t>Worcester County</t>
        </is>
      </c>
      <c r="R79" t="inlineStr">
        <is>
          <t>UTILITY_MISC</t>
        </is>
      </c>
      <c r="S79" t="inlineStr">
        <is>
          <t>ENERGY_FACILITY_INFRASTRUCTURE</t>
        </is>
      </c>
      <c r="T79" t="inlineStr"/>
      <c r="U79" t="inlineStr"/>
      <c r="V79" t="inlineStr">
        <is>
          <t>FD25027606|26-14622_639203448685322953|1784640858</t>
        </is>
      </c>
      <c r="W79" t="inlineStr"/>
      <c r="X79" t="inlineStr"/>
      <c r="Y79" t="inlineStr"/>
      <c r="Z79" t="inlineStr"/>
      <c r="AA79" t="inlineStr"/>
      <c r="AB79" t="inlineStr"/>
      <c r="AC79" t="inlineStr">
        <is>
          <t>ENERGY_STORAGE_SYSTEM||BATTERY</t>
        </is>
      </c>
      <c r="AD79" t="inlineStr">
        <is>
          <t>SOURCE</t>
        </is>
      </c>
      <c r="AE79" t="inlineStr"/>
      <c r="AF79" t="inlineStr"/>
      <c r="AG79" t="inlineStr"/>
      <c r="AH79" t="inlineStr"/>
      <c r="AI79" t="inlineStr"/>
      <c r="AJ79" t="inlineStr"/>
      <c r="AK79" t="inlineStr"/>
      <c r="AL79" t="inlineStr"/>
      <c r="AM79" t="inlineStr"/>
      <c r="AN79" t="inlineStr"/>
      <c r="AO79" t="inlineStr"/>
      <c r="AP79" t="inlineStr"/>
      <c r="AQ79" t="inlineStr"/>
      <c r="AR79" t="inlineStr"/>
      <c r="AS79" t="inlineStr"/>
      <c r="AT79" t="n">
        <v>0</v>
      </c>
      <c r="AU79" t="n">
        <v>0</v>
      </c>
      <c r="AV79" t="n">
        <v>0</v>
      </c>
      <c r="AW79" t="n">
        <v>0</v>
      </c>
    </row>
    <row r="80">
      <c r="A80" t="inlineStr">
        <is>
          <t>FD25027671</t>
        </is>
      </c>
      <c r="B80" t="inlineStr">
        <is>
          <t>Berlin Fire Department</t>
        </is>
      </c>
      <c r="C80" t="inlineStr">
        <is>
          <t>2026-04-13T00:12:26+00:00</t>
        </is>
      </c>
      <c r="D80" s="2">
        <f>IF(C80="","",DATE(VALUE(LEFT(C80,4)),VALUE(MID(C80,6,2)),VALUE(MID(C80,9,2)))+TIME(VALUE(MID(C80,12,2)),VALUE(MID(C80,15,2)),VALUE(MID(C80,18,2)))-IF(AND(DATE(VALUE(LEFT(C80,4)),VALUE(MID(C80,6,2)),VALUE(MID(C80,9,2)))+TIME(VALUE(MID(C80,12,2)),VALUE(MID(C80,15,2)),VALUE(MID(C80,18,2)))&gt;=DATE(VALUE(LEFT(C80,4)),3,1)+MOD(8-WEEKDAY(DATE(VALUE(LEFT(C80,4)),3,1)),7)+7+TIME(7,0,0),DATE(VALUE(LEFT(C80,4)),3,1)+MOD(8-WEEKDAY(DATE(VALUE(LEFT(C80,4)),3,1)),7)+7+TIME(7,0,0)&lt;DATE(VALUE(LEFT(C80,4)),11,1)+MOD(8-WEEKDAY(DATE(VALUE(LEFT(C80,4)),11,1)),7)+TIME(6,0,0)), TIME(4,0,0),TIME(5,0,0)))</f>
        <v/>
      </c>
      <c r="E80" s="3">
        <f>IF(D80="","",MOD(D80,1))</f>
        <v/>
      </c>
      <c r="F80">
        <f>IF(D80="","",TEXT(D80,"mmm"))</f>
        <v/>
      </c>
      <c r="G80">
        <f>IF(D80="","",YEAR(D80))</f>
        <v/>
      </c>
      <c r="H80">
        <f>IF(D80="","",HOUR(D80))</f>
        <v/>
      </c>
      <c r="I80" t="inlineStr">
        <is>
          <t>26-28355_639119451938919057</t>
        </is>
      </c>
      <c r="J80" t="inlineStr">
        <is>
          <t>MEDICAL||INJURY||BURNS_EXPLOSION</t>
        </is>
      </c>
      <c r="K80" t="inlineStr">
        <is>
          <t>FIRE||STRUCTURE_FIRE||CONFINED_COOKING_APPLIANCE_FIRE</t>
        </is>
      </c>
      <c r="L80" t="inlineStr"/>
      <c r="M80" t="inlineStr">
        <is>
          <t>Bailey</t>
        </is>
      </c>
      <c r="N80" t="inlineStr">
        <is>
          <t>Berlin</t>
        </is>
      </c>
      <c r="O80" t="inlineStr">
        <is>
          <t>MA</t>
        </is>
      </c>
      <c r="P80" t="inlineStr">
        <is>
          <t>01503</t>
        </is>
      </c>
      <c r="Q80" t="inlineStr">
        <is>
          <t>Worcester County</t>
        </is>
      </c>
      <c r="R80" t="inlineStr">
        <is>
          <t>RESIDENTIAL</t>
        </is>
      </c>
      <c r="S80" t="inlineStr">
        <is>
          <t>ATTACHED_SINGLE_FAMILY_DWELLING</t>
        </is>
      </c>
      <c r="T80" t="inlineStr"/>
      <c r="U80" t="inlineStr"/>
      <c r="V80" t="inlineStr">
        <is>
          <t>FD25027671|26-28355_639119451938919057|1776039146</t>
        </is>
      </c>
      <c r="W80" t="inlineStr"/>
      <c r="X80" t="inlineStr"/>
      <c r="Y80" t="inlineStr"/>
      <c r="Z80" t="inlineStr"/>
      <c r="AA80" t="inlineStr"/>
      <c r="AB80" t="inlineStr"/>
      <c r="AC80" t="inlineStr">
        <is>
          <t>CONSUMER_PRODUCTS||APPLIANCE_TOOL</t>
        </is>
      </c>
      <c r="AD80" t="inlineStr"/>
      <c r="AE80" t="inlineStr"/>
      <c r="AF80" t="inlineStr"/>
      <c r="AG80" t="inlineStr"/>
      <c r="AH80" t="inlineStr"/>
      <c r="AI80" t="inlineStr"/>
      <c r="AJ80" t="inlineStr"/>
      <c r="AK80" t="inlineStr"/>
      <c r="AL80" t="inlineStr"/>
      <c r="AM80" t="inlineStr"/>
      <c r="AN80" t="inlineStr"/>
      <c r="AO80" t="inlineStr"/>
      <c r="AP80" t="inlineStr"/>
      <c r="AQ80" t="inlineStr"/>
      <c r="AR80" t="inlineStr"/>
      <c r="AS80" t="inlineStr"/>
      <c r="AT80" t="n">
        <v>0</v>
      </c>
      <c r="AU80" t="n">
        <v>0</v>
      </c>
      <c r="AV80" t="n">
        <v>0</v>
      </c>
      <c r="AW80" t="n">
        <v>0</v>
      </c>
    </row>
    <row r="81">
      <c r="A81" t="inlineStr">
        <is>
          <t>FD25027786</t>
        </is>
      </c>
      <c r="B81" t="inlineStr">
        <is>
          <t>Bolton Fire Department</t>
        </is>
      </c>
      <c r="C81" t="inlineStr">
        <is>
          <t>2026-03-06T22:17:22+00:00</t>
        </is>
      </c>
      <c r="D81" s="2">
        <f>IF(C81="","",DATE(VALUE(LEFT(C81,4)),VALUE(MID(C81,6,2)),VALUE(MID(C81,9,2)))+TIME(VALUE(MID(C81,12,2)),VALUE(MID(C81,15,2)),VALUE(MID(C81,18,2)))-IF(AND(DATE(VALUE(LEFT(C81,4)),VALUE(MID(C81,6,2)),VALUE(MID(C81,9,2)))+TIME(VALUE(MID(C81,12,2)),VALUE(MID(C81,15,2)),VALUE(MID(C81,18,2)))&gt;=DATE(VALUE(LEFT(C81,4)),3,1)+MOD(8-WEEKDAY(DATE(VALUE(LEFT(C81,4)),3,1)),7)+7+TIME(7,0,0),DATE(VALUE(LEFT(C81,4)),3,1)+MOD(8-WEEKDAY(DATE(VALUE(LEFT(C81,4)),3,1)),7)+7+TIME(7,0,0)&lt;DATE(VALUE(LEFT(C81,4)),11,1)+MOD(8-WEEKDAY(DATE(VALUE(LEFT(C81,4)),11,1)),7)+TIME(6,0,0)), TIME(4,0,0),TIME(5,0,0)))</f>
        <v/>
      </c>
      <c r="E81" s="3">
        <f>IF(D81="","",MOD(D81,1))</f>
        <v/>
      </c>
      <c r="F81">
        <f>IF(D81="","",TEXT(D81,"mmm"))</f>
        <v/>
      </c>
      <c r="G81">
        <f>IF(D81="","",YEAR(D81))</f>
        <v/>
      </c>
      <c r="H81">
        <f>IF(D81="","",HOUR(D81))</f>
        <v/>
      </c>
      <c r="I81" t="inlineStr">
        <is>
          <t>26-17166_639084497616683794</t>
        </is>
      </c>
      <c r="J81" t="inlineStr">
        <is>
          <t>HAZSIT||HAZARD_NONCHEM||ELEC_POWER_LINE_DOWN_ARCHING_MALFUNC</t>
        </is>
      </c>
      <c r="K81" t="inlineStr">
        <is>
          <t>HAZSIT||HAZARD_NONCHEM||ELEC_HAZARD_SHORT_CIRCUIT</t>
        </is>
      </c>
      <c r="L81" t="inlineStr"/>
      <c r="M81" t="inlineStr">
        <is>
          <t>Green ROAD</t>
        </is>
      </c>
      <c r="N81" t="inlineStr"/>
      <c r="O81" t="inlineStr">
        <is>
          <t>MA</t>
        </is>
      </c>
      <c r="P81" t="inlineStr">
        <is>
          <t>01740</t>
        </is>
      </c>
      <c r="Q81" t="inlineStr">
        <is>
          <t>Worcester County</t>
        </is>
      </c>
      <c r="R81" t="inlineStr">
        <is>
          <t>RESIDENTIAL</t>
        </is>
      </c>
      <c r="S81" t="inlineStr">
        <is>
          <t>ATTACHED_SINGLE_FAMILY_DWELLING</t>
        </is>
      </c>
      <c r="T81" t="inlineStr"/>
      <c r="U81" t="inlineStr"/>
      <c r="V81" t="inlineStr">
        <is>
          <t>FD25027786|26-17166_639084497616683794|1772835442</t>
        </is>
      </c>
      <c r="W81" t="inlineStr"/>
      <c r="X81" t="inlineStr"/>
      <c r="Y81" t="inlineStr"/>
      <c r="Z81" t="inlineStr"/>
      <c r="AA81" t="inlineStr"/>
      <c r="AB81" t="inlineStr"/>
      <c r="AC81" t="inlineStr">
        <is>
          <t>CONSUMER_PRODUCTS||APPLIANCE_TOOL</t>
        </is>
      </c>
      <c r="AD81" t="inlineStr">
        <is>
          <t>TARGET</t>
        </is>
      </c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n">
        <v>0</v>
      </c>
      <c r="AU81" t="n">
        <v>0</v>
      </c>
      <c r="AV81" t="n">
        <v>0</v>
      </c>
      <c r="AW81" t="n">
        <v>0</v>
      </c>
    </row>
    <row r="82">
      <c r="A82" t="inlineStr">
        <is>
          <t>FD25027805</t>
        </is>
      </c>
      <c r="B82" t="inlineStr">
        <is>
          <t>Petersham Fire Department</t>
        </is>
      </c>
      <c r="C82" t="inlineStr">
        <is>
          <t>2026-06-21T01:11:48+00:00</t>
        </is>
      </c>
      <c r="D82" s="2">
        <f>IF(C82="","",DATE(VALUE(LEFT(C82,4)),VALUE(MID(C82,6,2)),VALUE(MID(C82,9,2)))+TIME(VALUE(MID(C82,12,2)),VALUE(MID(C82,15,2)),VALUE(MID(C82,18,2)))-IF(AND(DATE(VALUE(LEFT(C82,4)),VALUE(MID(C82,6,2)),VALUE(MID(C82,9,2)))+TIME(VALUE(MID(C82,12,2)),VALUE(MID(C82,15,2)),VALUE(MID(C82,18,2)))&gt;=DATE(VALUE(LEFT(C82,4)),3,1)+MOD(8-WEEKDAY(DATE(VALUE(LEFT(C82,4)),3,1)),7)+7+TIME(7,0,0),DATE(VALUE(LEFT(C82,4)),3,1)+MOD(8-WEEKDAY(DATE(VALUE(LEFT(C82,4)),3,1)),7)+7+TIME(7,0,0)&lt;DATE(VALUE(LEFT(C82,4)),11,1)+MOD(8-WEEKDAY(DATE(VALUE(LEFT(C82,4)),11,1)),7)+TIME(6,0,0)), TIME(4,0,0),TIME(5,0,0)))</f>
        <v/>
      </c>
      <c r="E82" s="3">
        <f>IF(D82="","",MOD(D82,1))</f>
        <v/>
      </c>
      <c r="F82">
        <f>IF(D82="","",TEXT(D82,"mmm"))</f>
        <v/>
      </c>
      <c r="G82">
        <f>IF(D82="","",YEAR(D82))</f>
        <v/>
      </c>
      <c r="H82">
        <f>IF(D82="","",HOUR(D82))</f>
        <v/>
      </c>
      <c r="I82" t="inlineStr">
        <is>
          <t>0ef277c6-baa5-4b2d-813f-baccc27bee67</t>
        </is>
      </c>
      <c r="J82" t="inlineStr">
        <is>
          <t>FIRE||STRUCTURE_FIRE||STRUCTURAL_INVOLVEMENT_FIRE</t>
        </is>
      </c>
      <c r="K82" t="inlineStr"/>
      <c r="L82" t="inlineStr"/>
      <c r="M82" t="inlineStr"/>
      <c r="N82" t="inlineStr"/>
      <c r="O82" t="inlineStr"/>
      <c r="P82" t="inlineStr"/>
      <c r="Q82" t="inlineStr"/>
      <c r="R82" t="inlineStr">
        <is>
          <t>RESIDENTIAL</t>
        </is>
      </c>
      <c r="S82" t="inlineStr">
        <is>
          <t>DETATCHED_SINGLE_FAMILY_DWELLING</t>
        </is>
      </c>
      <c r="T82" t="inlineStr"/>
      <c r="U82" t="inlineStr"/>
      <c r="V82" t="inlineStr">
        <is>
          <t>FD25027805|1782342373|1782004308</t>
        </is>
      </c>
      <c r="W82" t="inlineStr"/>
      <c r="X82" t="inlineStr"/>
      <c r="Y82" t="inlineStr"/>
      <c r="Z82" t="inlineStr"/>
      <c r="AA82" t="inlineStr"/>
      <c r="AB82" t="inlineStr"/>
      <c r="AC82" t="inlineStr">
        <is>
          <t>E_MOBILITY||POWER_ASSISTED_BICYCLE</t>
        </is>
      </c>
      <c r="AD82" t="inlineStr">
        <is>
          <t>TARGET</t>
        </is>
      </c>
      <c r="AE82" t="inlineStr"/>
      <c r="AF82" t="inlineStr"/>
      <c r="AG82" t="inlineStr"/>
      <c r="AH82" t="inlineStr"/>
      <c r="AI82" t="inlineStr"/>
      <c r="AJ82" t="inlineStr"/>
      <c r="AK82" t="inlineStr"/>
      <c r="AL82" t="inlineStr"/>
      <c r="AM82" t="inlineStr"/>
      <c r="AN82" t="inlineStr"/>
      <c r="AO82" t="inlineStr"/>
      <c r="AP82" t="inlineStr"/>
      <c r="AQ82" t="inlineStr"/>
      <c r="AR82" t="inlineStr"/>
      <c r="AS82" t="inlineStr"/>
      <c r="AT82" t="n">
        <v>0</v>
      </c>
      <c r="AU82" t="n">
        <v>0</v>
      </c>
      <c r="AV82" t="n">
        <v>0</v>
      </c>
      <c r="AW82" t="n">
        <v>0</v>
      </c>
    </row>
    <row r="83">
      <c r="A83" t="inlineStr">
        <is>
          <t>FD25027809</t>
        </is>
      </c>
      <c r="B83" t="inlineStr">
        <is>
          <t>Lunenburg Fire Department</t>
        </is>
      </c>
      <c r="C83" t="inlineStr">
        <is>
          <t>2026-07-30T11:50:32+00:00</t>
        </is>
      </c>
      <c r="D83" s="2">
        <f>IF(C83="","",DATE(VALUE(LEFT(C83,4)),VALUE(MID(C83,6,2)),VALUE(MID(C83,9,2)))+TIME(VALUE(MID(C83,12,2)),VALUE(MID(C83,15,2)),VALUE(MID(C83,18,2)))-IF(AND(DATE(VALUE(LEFT(C83,4)),VALUE(MID(C83,6,2)),VALUE(MID(C83,9,2)))+TIME(VALUE(MID(C83,12,2)),VALUE(MID(C83,15,2)),VALUE(MID(C83,18,2)))&gt;=DATE(VALUE(LEFT(C83,4)),3,1)+MOD(8-WEEKDAY(DATE(VALUE(LEFT(C83,4)),3,1)),7)+7+TIME(7,0,0),DATE(VALUE(LEFT(C83,4)),3,1)+MOD(8-WEEKDAY(DATE(VALUE(LEFT(C83,4)),3,1)),7)+7+TIME(7,0,0)&lt;DATE(VALUE(LEFT(C83,4)),11,1)+MOD(8-WEEKDAY(DATE(VALUE(LEFT(C83,4)),11,1)),7)+TIME(6,0,0)), TIME(4,0,0),TIME(5,0,0)))</f>
        <v/>
      </c>
      <c r="E83" s="3">
        <f>IF(D83="","",MOD(D83,1))</f>
        <v/>
      </c>
      <c r="F83">
        <f>IF(D83="","",TEXT(D83,"mmm"))</f>
        <v/>
      </c>
      <c r="G83">
        <f>IF(D83="","",YEAR(D83))</f>
        <v/>
      </c>
      <c r="H83">
        <f>IF(D83="","",HOUR(D83))</f>
        <v/>
      </c>
      <c r="I83" t="inlineStr">
        <is>
          <t>26-60265_639210171641425597</t>
        </is>
      </c>
      <c r="J83" t="inlineStr">
        <is>
          <t>HAZSIT||HAZARD_NONCHEM||ELEC_POWER_LINE_DOWN_ARCHING_MALFUNC</t>
        </is>
      </c>
      <c r="K83" t="inlineStr"/>
      <c r="L83" t="inlineStr"/>
      <c r="M83" t="inlineStr">
        <is>
          <t>Hemlock DRIVE</t>
        </is>
      </c>
      <c r="N83" t="inlineStr"/>
      <c r="O83" t="inlineStr">
        <is>
          <t>MA</t>
        </is>
      </c>
      <c r="P83" t="inlineStr">
        <is>
          <t>01462</t>
        </is>
      </c>
      <c r="Q83" t="inlineStr">
        <is>
          <t>Worcester County</t>
        </is>
      </c>
      <c r="R83" t="inlineStr">
        <is>
          <t>ROADWAY_ACCESS</t>
        </is>
      </c>
      <c r="S83" t="inlineStr">
        <is>
          <t>STREET</t>
        </is>
      </c>
      <c r="T83" t="inlineStr"/>
      <c r="U83" t="inlineStr"/>
      <c r="V83" t="inlineStr">
        <is>
          <t>FD25027809|26-60265_639210171641425597|1785412232</t>
        </is>
      </c>
      <c r="W83" t="inlineStr"/>
      <c r="X83" t="inlineStr"/>
      <c r="Y83" t="inlineStr"/>
      <c r="Z83" t="inlineStr"/>
      <c r="AA83" t="inlineStr"/>
      <c r="AB83" t="inlineStr"/>
      <c r="AC83" t="inlineStr">
        <is>
          <t>ENERGY_STORAGE_SYSTEM||OTHER</t>
        </is>
      </c>
      <c r="AD83" t="inlineStr">
        <is>
          <t>SOURCE</t>
        </is>
      </c>
      <c r="AE83" t="inlineStr"/>
      <c r="AF83" t="inlineStr"/>
      <c r="AG83" t="inlineStr"/>
      <c r="AH83" t="inlineStr"/>
      <c r="AI83" t="inlineStr"/>
      <c r="AJ83" t="inlineStr"/>
      <c r="AK83" t="inlineStr"/>
      <c r="AL83" t="inlineStr"/>
      <c r="AM83" t="inlineStr"/>
      <c r="AN83" t="inlineStr"/>
      <c r="AO83" t="inlineStr"/>
      <c r="AP83" t="inlineStr"/>
      <c r="AQ83" t="inlineStr"/>
      <c r="AR83" t="inlineStr"/>
      <c r="AS83" t="inlineStr"/>
      <c r="AT83" t="n">
        <v>0</v>
      </c>
      <c r="AU83" t="n">
        <v>0</v>
      </c>
      <c r="AV83" t="n">
        <v>0</v>
      </c>
      <c r="AW83" t="n">
        <v>0</v>
      </c>
    </row>
    <row r="84">
      <c r="A84" t="inlineStr">
        <is>
          <t>FD25027937</t>
        </is>
      </c>
      <c r="B84" t="inlineStr">
        <is>
          <t>Harvard Fire Department</t>
        </is>
      </c>
      <c r="C84" t="inlineStr">
        <is>
          <t>2026-03-06T01:48:33+00:00</t>
        </is>
      </c>
      <c r="D84" s="2">
        <f>IF(C84="","",DATE(VALUE(LEFT(C84,4)),VALUE(MID(C84,6,2)),VALUE(MID(C84,9,2)))+TIME(VALUE(MID(C84,12,2)),VALUE(MID(C84,15,2)),VALUE(MID(C84,18,2)))-IF(AND(DATE(VALUE(LEFT(C84,4)),VALUE(MID(C84,6,2)),VALUE(MID(C84,9,2)))+TIME(VALUE(MID(C84,12,2)),VALUE(MID(C84,15,2)),VALUE(MID(C84,18,2)))&gt;=DATE(VALUE(LEFT(C84,4)),3,1)+MOD(8-WEEKDAY(DATE(VALUE(LEFT(C84,4)),3,1)),7)+7+TIME(7,0,0),DATE(VALUE(LEFT(C84,4)),3,1)+MOD(8-WEEKDAY(DATE(VALUE(LEFT(C84,4)),3,1)),7)+7+TIME(7,0,0)&lt;DATE(VALUE(LEFT(C84,4)),11,1)+MOD(8-WEEKDAY(DATE(VALUE(LEFT(C84,4)),11,1)),7)+TIME(6,0,0)), TIME(4,0,0),TIME(5,0,0)))</f>
        <v/>
      </c>
      <c r="E84" s="3">
        <f>IF(D84="","",MOD(D84,1))</f>
        <v/>
      </c>
      <c r="F84">
        <f>IF(D84="","",TEXT(D84,"mmm"))</f>
        <v/>
      </c>
      <c r="G84">
        <f>IF(D84="","",YEAR(D84))</f>
        <v/>
      </c>
      <c r="H84">
        <f>IF(D84="","",HOUR(D84))</f>
        <v/>
      </c>
      <c r="I84" t="inlineStr">
        <is>
          <t>26-16944_639098633166085420</t>
        </is>
      </c>
      <c r="J84" t="inlineStr">
        <is>
          <t>FIRE||STRUCTURE_FIRE||STRUCTURAL_INVOLVEMENT_FIRE</t>
        </is>
      </c>
      <c r="K84" t="inlineStr">
        <is>
          <t>FIRE||TRANSPORTATION_FIRE||VEHICLE_FIRE_PASSENGER</t>
        </is>
      </c>
      <c r="L84" t="inlineStr"/>
      <c r="M84" t="inlineStr">
        <is>
          <t>Prospect Hill ROAD</t>
        </is>
      </c>
      <c r="N84" t="inlineStr"/>
      <c r="O84" t="inlineStr">
        <is>
          <t>MA</t>
        </is>
      </c>
      <c r="P84" t="inlineStr">
        <is>
          <t>01451</t>
        </is>
      </c>
      <c r="Q84" t="inlineStr">
        <is>
          <t>Worcester County</t>
        </is>
      </c>
      <c r="R84" t="inlineStr">
        <is>
          <t>RESIDENTIAL</t>
        </is>
      </c>
      <c r="S84" t="inlineStr">
        <is>
          <t>ATTACHED_SINGLE_FAMILY_DWELLING</t>
        </is>
      </c>
      <c r="T84" t="inlineStr"/>
      <c r="U84" t="inlineStr"/>
      <c r="V84" t="inlineStr">
        <is>
          <t>FD25027937|26-16944_639098633166085420|1772761713</t>
        </is>
      </c>
      <c r="W84" t="inlineStr"/>
      <c r="X84" t="inlineStr"/>
      <c r="Y84" t="inlineStr"/>
      <c r="Z84" t="inlineStr"/>
      <c r="AA84" t="inlineStr"/>
      <c r="AB84" t="inlineStr"/>
      <c r="AC84" t="inlineStr">
        <is>
          <t>E_MOBILITY||ELECTRIC_SCOOTER_MOPED</t>
        </is>
      </c>
      <c r="AD84" t="inlineStr">
        <is>
          <t>UNKNOWN</t>
        </is>
      </c>
      <c r="AE84" t="inlineStr"/>
      <c r="AF84" t="inlineStr"/>
      <c r="AG84" t="inlineStr"/>
      <c r="AH84" t="inlineStr"/>
      <c r="AI84" t="inlineStr"/>
      <c r="AJ84" t="inlineStr"/>
      <c r="AK84" t="inlineStr"/>
      <c r="AL84" t="inlineStr"/>
      <c r="AM84" t="inlineStr"/>
      <c r="AN84" t="inlineStr"/>
      <c r="AO84" t="inlineStr"/>
      <c r="AP84" t="inlineStr"/>
      <c r="AQ84" t="inlineStr"/>
      <c r="AR84" t="inlineStr"/>
      <c r="AS84" t="inlineStr"/>
      <c r="AT84" t="n">
        <v>0</v>
      </c>
      <c r="AU84" t="n">
        <v>0</v>
      </c>
      <c r="AV84" t="n">
        <v>0</v>
      </c>
      <c r="AW84" t="n">
        <v>0</v>
      </c>
    </row>
    <row r="85">
      <c r="A85" t="inlineStr">
        <is>
          <t>FD25027955</t>
        </is>
      </c>
      <c r="B85" t="inlineStr">
        <is>
          <t>Southborough Fire Department</t>
        </is>
      </c>
      <c r="C85" t="inlineStr">
        <is>
          <t>2026-03-27T01:58:00+00:00</t>
        </is>
      </c>
      <c r="D85" s="2">
        <f>IF(C85="","",DATE(VALUE(LEFT(C85,4)),VALUE(MID(C85,6,2)),VALUE(MID(C85,9,2)))+TIME(VALUE(MID(C85,12,2)),VALUE(MID(C85,15,2)),VALUE(MID(C85,18,2)))-IF(AND(DATE(VALUE(LEFT(C85,4)),VALUE(MID(C85,6,2)),VALUE(MID(C85,9,2)))+TIME(VALUE(MID(C85,12,2)),VALUE(MID(C85,15,2)),VALUE(MID(C85,18,2)))&gt;=DATE(VALUE(LEFT(C85,4)),3,1)+MOD(8-WEEKDAY(DATE(VALUE(LEFT(C85,4)),3,1)),7)+7+TIME(7,0,0),DATE(VALUE(LEFT(C85,4)),3,1)+MOD(8-WEEKDAY(DATE(VALUE(LEFT(C85,4)),3,1)),7)+7+TIME(7,0,0)&lt;DATE(VALUE(LEFT(C85,4)),11,1)+MOD(8-WEEKDAY(DATE(VALUE(LEFT(C85,4)),11,1)),7)+TIME(6,0,0)), TIME(4,0,0),TIME(5,0,0)))</f>
        <v/>
      </c>
      <c r="E85" s="3">
        <f>IF(D85="","",MOD(D85,1))</f>
        <v/>
      </c>
      <c r="F85">
        <f>IF(D85="","",TEXT(D85,"mmm"))</f>
        <v/>
      </c>
      <c r="G85">
        <f>IF(D85="","",YEAR(D85))</f>
        <v/>
      </c>
      <c r="H85">
        <f>IF(D85="","",HOUR(D85))</f>
        <v/>
      </c>
      <c r="I85" t="inlineStr">
        <is>
          <t>26-5199_639107364267222438</t>
        </is>
      </c>
      <c r="J85" t="inlineStr">
        <is>
          <t>HAZSIT||HAZARD_NONCHEM||MOTOR_VEHICLE_COLLISION</t>
        </is>
      </c>
      <c r="K85" t="inlineStr"/>
      <c r="L85" t="inlineStr"/>
      <c r="M85" t="inlineStr">
        <is>
          <t>E Main STREET</t>
        </is>
      </c>
      <c r="N85" t="inlineStr"/>
      <c r="O85" t="inlineStr">
        <is>
          <t>MA</t>
        </is>
      </c>
      <c r="P85" t="inlineStr">
        <is>
          <t>01772</t>
        </is>
      </c>
      <c r="Q85" t="inlineStr">
        <is>
          <t>Worcester County</t>
        </is>
      </c>
      <c r="R85" t="inlineStr">
        <is>
          <t>ROADWAY_ACCESS</t>
        </is>
      </c>
      <c r="S85" t="inlineStr">
        <is>
          <t>STREET</t>
        </is>
      </c>
      <c r="T85" t="inlineStr"/>
      <c r="U85" t="inlineStr"/>
      <c r="V85" t="inlineStr">
        <is>
          <t>FD25027955|26-5199_639107364267222438|1774576750</t>
        </is>
      </c>
      <c r="W85" t="inlineStr"/>
      <c r="X85" t="inlineStr"/>
      <c r="Y85" t="inlineStr"/>
      <c r="Z85" t="inlineStr"/>
      <c r="AA85" t="inlineStr"/>
      <c r="AB85" t="inlineStr"/>
      <c r="AC85" t="inlineStr">
        <is>
          <t>ELECTRIC_VEHICLE||CAR_RR||FULL_ELECTRIC</t>
        </is>
      </c>
      <c r="AD85" t="inlineStr">
        <is>
          <t>SOURCE</t>
        </is>
      </c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n">
        <v>0</v>
      </c>
      <c r="AU85" t="n">
        <v>0</v>
      </c>
      <c r="AV85" t="n">
        <v>0</v>
      </c>
      <c r="AW8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Count</t>
        </is>
      </c>
    </row>
    <row r="2">
      <c r="A2" t="inlineStr">
        <is>
          <t>Total Incidents Reported</t>
        </is>
      </c>
      <c r="B2" t="n">
        <v>84</v>
      </c>
    </row>
    <row r="3">
      <c r="A3" t="inlineStr">
        <is>
          <t>Battery-Related Structure Fires</t>
        </is>
      </c>
      <c r="B3" t="n">
        <v>0</v>
      </c>
    </row>
    <row r="4">
      <c r="A4" t="inlineStr">
        <is>
          <t>Battery-Related Outside Fires</t>
        </is>
      </c>
      <c r="B4" t="n">
        <v>0</v>
      </c>
    </row>
    <row r="5">
      <c r="A5" t="inlineStr">
        <is>
          <t>Electric Vehicle Related</t>
        </is>
      </c>
      <c r="B5" t="n">
        <v>0</v>
      </c>
    </row>
    <row r="6">
      <c r="A6" t="inlineStr">
        <is>
          <t>Incidents with Electric Hazards</t>
        </is>
      </c>
      <c r="B6" t="n">
        <v>84</v>
      </c>
    </row>
    <row r="7">
      <c r="A7" t="inlineStr">
        <is>
          <t>Thermal Runaway Events</t>
        </is>
      </c>
      <c r="B7" t="n">
        <v>0</v>
      </c>
    </row>
    <row r="8">
      <c r="A8" t="inlineStr">
        <is>
          <t>Incidents with Original Battery Info</t>
        </is>
      </c>
      <c r="B8" t="n">
        <v>0</v>
      </c>
    </row>
    <row r="9">
      <c r="A9" t="inlineStr">
        <is>
          <t>Incidents with Battery Chemistry Info</t>
        </is>
      </c>
      <c r="B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6" customWidth="1" min="1" max="1"/>
    <col width="85" customWidth="1" min="2" max="2"/>
  </cols>
  <sheetData>
    <row r="1">
      <c r="A1" s="4" t="inlineStr">
        <is>
          <t>Report source</t>
        </is>
      </c>
      <c r="B1" s="4" t="inlineStr">
        <is>
          <t>IncidentPull_LithiumIonBatteries.py</t>
        </is>
      </c>
    </row>
    <row r="2">
      <c r="A2" t="inlineStr">
        <is>
          <t>Report date/range</t>
        </is>
      </c>
      <c r="B2" t="inlineStr">
        <is>
          <t>2026-01-03T17:53:52+00:00 through 2026-09-03T14:15:43+00:00 (observed incident timestamps)</t>
        </is>
      </c>
    </row>
    <row r="3">
      <c r="A3" t="inlineStr">
        <is>
          <t>Generated at</t>
        </is>
      </c>
      <c r="B3" t="inlineStr">
        <is>
          <t>2026-09-04T13:50:29-04:00</t>
        </is>
      </c>
    </row>
    <row r="5">
      <c r="A5" s="4" t="inlineStr">
        <is>
          <t>Report Type</t>
        </is>
      </c>
      <c r="B5" s="4" t="inlineStr">
        <is>
          <t>Lithium-ion Battery Fires</t>
        </is>
      </c>
    </row>
    <row r="6">
      <c r="A6" t="inlineStr">
        <is>
          <t>Date Range</t>
        </is>
      </c>
      <c r="B6" t="inlineStr">
        <is>
          <t>Occurred in current calendar year to date</t>
        </is>
      </c>
    </row>
    <row r="7">
      <c r="A7" t="inlineStr">
        <is>
          <t>Entity Filter</t>
        </is>
      </c>
      <c r="B7" t="inlineStr">
        <is>
          <t>Statewide</t>
        </is>
      </c>
    </row>
    <row r="8">
      <c r="A8" t="inlineStr">
        <is>
          <t>Included sheets</t>
        </is>
      </c>
      <c r="B8" t="inlineStr">
        <is>
          <t>Incident Details, Summary, Report 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2026-09-04T17:50:29Z</dcterms:created>
  <dcterms:modified xsi:type="dcterms:W3CDTF">2026-09-04T17:50:29Z</dcterms:modified>
</cp:coreProperties>
</file>