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ED400C88-211E-4DBA-ACA2-8FE35FC233A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nthly Incident Counts" sheetId="1" r:id="rId1"/>
    <sheet name="Legend" sheetId="2" r:id="rId2"/>
    <sheet name="Monthly Incident Counts (2)" sheetId="3" r:id="rId3"/>
  </sheets>
  <externalReferences>
    <externalReference r:id="rId4"/>
  </externalReferences>
  <definedNames>
    <definedName name="_xlnm._FilterDatabase" localSheetId="2" hidden="1">'Monthly Incident Counts (2)'!$A$1:$G$375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6" i="3" l="1"/>
  <c r="G319" i="3"/>
  <c r="G322" i="3"/>
  <c r="G343" i="3"/>
  <c r="G354" i="3"/>
  <c r="G362" i="3"/>
  <c r="G375" i="3"/>
  <c r="F375" i="3"/>
  <c r="F374" i="3"/>
  <c r="G374" i="3" s="1"/>
  <c r="F373" i="3"/>
  <c r="G373" i="3" s="1"/>
  <c r="F372" i="3"/>
  <c r="G372" i="3" s="1"/>
  <c r="F371" i="3"/>
  <c r="G371" i="3" s="1"/>
  <c r="F370" i="3"/>
  <c r="G370" i="3" s="1"/>
  <c r="F369" i="3"/>
  <c r="G369" i="3" s="1"/>
  <c r="F368" i="3"/>
  <c r="G368" i="3" s="1"/>
  <c r="F367" i="3"/>
  <c r="G367" i="3" s="1"/>
  <c r="F366" i="3"/>
  <c r="G366" i="3" s="1"/>
  <c r="F365" i="3"/>
  <c r="G365" i="3" s="1"/>
  <c r="F364" i="3"/>
  <c r="G364" i="3" s="1"/>
  <c r="F363" i="3"/>
  <c r="G363" i="3" s="1"/>
  <c r="F362" i="3"/>
  <c r="F361" i="3"/>
  <c r="G361" i="3" s="1"/>
  <c r="F360" i="3"/>
  <c r="G360" i="3" s="1"/>
  <c r="F359" i="3"/>
  <c r="G359" i="3" s="1"/>
  <c r="F358" i="3"/>
  <c r="G358" i="3" s="1"/>
  <c r="F357" i="3"/>
  <c r="G357" i="3" s="1"/>
  <c r="F356" i="3"/>
  <c r="G356" i="3" s="1"/>
  <c r="F355" i="3"/>
  <c r="G355" i="3" s="1"/>
  <c r="F354" i="3"/>
  <c r="F353" i="3"/>
  <c r="G353" i="3" s="1"/>
  <c r="F352" i="3"/>
  <c r="G352" i="3" s="1"/>
  <c r="F351" i="3"/>
  <c r="G351" i="3" s="1"/>
  <c r="F350" i="3"/>
  <c r="G350" i="3" s="1"/>
  <c r="F349" i="3"/>
  <c r="G349" i="3" s="1"/>
  <c r="F348" i="3"/>
  <c r="G348" i="3" s="1"/>
  <c r="F347" i="3"/>
  <c r="G347" i="3" s="1"/>
  <c r="F346" i="3"/>
  <c r="G346" i="3" s="1"/>
  <c r="F345" i="3"/>
  <c r="G345" i="3" s="1"/>
  <c r="F344" i="3"/>
  <c r="G344" i="3" s="1"/>
  <c r="F343" i="3"/>
  <c r="F342" i="3"/>
  <c r="G342" i="3" s="1"/>
  <c r="F341" i="3"/>
  <c r="G341" i="3" s="1"/>
  <c r="F340" i="3"/>
  <c r="G340" i="3" s="1"/>
  <c r="F339" i="3"/>
  <c r="G339" i="3" s="1"/>
  <c r="F338" i="3"/>
  <c r="G338" i="3" s="1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F329" i="3"/>
  <c r="G329" i="3" s="1"/>
  <c r="F328" i="3"/>
  <c r="G328" i="3" s="1"/>
  <c r="F327" i="3"/>
  <c r="G327" i="3" s="1"/>
  <c r="F326" i="3"/>
  <c r="G326" i="3" s="1"/>
  <c r="F325" i="3"/>
  <c r="G325" i="3" s="1"/>
  <c r="F324" i="3"/>
  <c r="G324" i="3" s="1"/>
  <c r="F323" i="3"/>
  <c r="G323" i="3" s="1"/>
  <c r="F322" i="3"/>
  <c r="F321" i="3"/>
  <c r="G321" i="3" s="1"/>
  <c r="F320" i="3"/>
  <c r="G320" i="3" s="1"/>
  <c r="F319" i="3"/>
  <c r="F318" i="3"/>
  <c r="G318" i="3" s="1"/>
  <c r="F317" i="3"/>
  <c r="G317" i="3" s="1"/>
  <c r="F316" i="3"/>
  <c r="G316" i="3" s="1"/>
  <c r="F315" i="3"/>
  <c r="G315" i="3" s="1"/>
  <c r="F314" i="3"/>
  <c r="G314" i="3" s="1"/>
  <c r="F313" i="3"/>
  <c r="G313" i="3" s="1"/>
  <c r="F312" i="3"/>
  <c r="G312" i="3" s="1"/>
  <c r="F311" i="3"/>
  <c r="G311" i="3" s="1"/>
  <c r="F310" i="3"/>
  <c r="G310" i="3" s="1"/>
  <c r="F309" i="3"/>
  <c r="G309" i="3" s="1"/>
  <c r="F308" i="3"/>
  <c r="G308" i="3" s="1"/>
  <c r="F307" i="3"/>
  <c r="G307" i="3" s="1"/>
  <c r="F306" i="3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F290" i="3"/>
  <c r="G290" i="3" s="1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F279" i="3"/>
  <c r="G279" i="3" s="1"/>
  <c r="F278" i="3"/>
  <c r="G278" i="3" s="1"/>
  <c r="F277" i="3"/>
  <c r="G277" i="3" s="1"/>
  <c r="F276" i="3"/>
  <c r="G276" i="3" s="1"/>
  <c r="F275" i="3"/>
  <c r="G275" i="3" s="1"/>
  <c r="F274" i="3"/>
  <c r="G274" i="3" s="1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F267" i="3"/>
  <c r="G267" i="3" s="1"/>
  <c r="F266" i="3"/>
  <c r="G266" i="3" s="1"/>
  <c r="F265" i="3"/>
  <c r="G265" i="3" s="1"/>
  <c r="F264" i="3"/>
  <c r="G264" i="3" s="1"/>
  <c r="F263" i="3"/>
  <c r="G263" i="3" s="1"/>
  <c r="F262" i="3"/>
  <c r="G262" i="3" s="1"/>
  <c r="F261" i="3"/>
  <c r="G261" i="3" s="1"/>
  <c r="F260" i="3"/>
  <c r="G260" i="3" s="1"/>
  <c r="F259" i="3"/>
  <c r="G259" i="3" s="1"/>
  <c r="F258" i="3"/>
  <c r="G258" i="3" s="1"/>
  <c r="F257" i="3"/>
  <c r="G257" i="3" s="1"/>
  <c r="F256" i="3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F247" i="3"/>
  <c r="G247" i="3" s="1"/>
  <c r="F246" i="3"/>
  <c r="G246" i="3" s="1"/>
  <c r="F245" i="3"/>
  <c r="G245" i="3" s="1"/>
  <c r="F244" i="3"/>
  <c r="G244" i="3" s="1"/>
  <c r="F243" i="3"/>
  <c r="G243" i="3" s="1"/>
  <c r="F242" i="3"/>
  <c r="G242" i="3" s="1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F235" i="3"/>
  <c r="G235" i="3" s="1"/>
  <c r="F234" i="3"/>
  <c r="G234" i="3" s="1"/>
  <c r="F233" i="3"/>
  <c r="G233" i="3" s="1"/>
  <c r="F232" i="3"/>
  <c r="G232" i="3" s="1"/>
  <c r="F231" i="3"/>
  <c r="G231" i="3" s="1"/>
  <c r="F230" i="3"/>
  <c r="G230" i="3" s="1"/>
  <c r="F229" i="3"/>
  <c r="G229" i="3" s="1"/>
  <c r="F228" i="3"/>
  <c r="G228" i="3" s="1"/>
  <c r="F227" i="3"/>
  <c r="G227" i="3" s="1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F215" i="3"/>
  <c r="G215" i="3" s="1"/>
  <c r="F214" i="3"/>
  <c r="G214" i="3" s="1"/>
  <c r="F213" i="3"/>
  <c r="G213" i="3" s="1"/>
  <c r="F212" i="3"/>
  <c r="G212" i="3" s="1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4" i="3"/>
  <c r="G184" i="3" s="1"/>
  <c r="F183" i="3"/>
  <c r="G183" i="3" s="1"/>
  <c r="F182" i="3"/>
  <c r="G182" i="3" s="1"/>
  <c r="F181" i="3"/>
  <c r="G181" i="3" s="1"/>
  <c r="F180" i="3"/>
  <c r="G180" i="3" s="1"/>
  <c r="F179" i="3"/>
  <c r="G179" i="3" s="1"/>
  <c r="F178" i="3"/>
  <c r="G178" i="3" s="1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F171" i="3"/>
  <c r="G171" i="3" s="1"/>
  <c r="F170" i="3"/>
  <c r="G170" i="3" s="1"/>
  <c r="F169" i="3"/>
  <c r="G169" i="3" s="1"/>
  <c r="F168" i="3"/>
  <c r="G168" i="3" s="1"/>
  <c r="F167" i="3"/>
  <c r="G167" i="3" s="1"/>
  <c r="F166" i="3"/>
  <c r="G166" i="3" s="1"/>
  <c r="F165" i="3"/>
  <c r="G165" i="3" s="1"/>
  <c r="F164" i="3"/>
  <c r="G164" i="3" s="1"/>
  <c r="F163" i="3"/>
  <c r="G163" i="3" s="1"/>
  <c r="F162" i="3"/>
  <c r="G162" i="3" s="1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F151" i="3"/>
  <c r="G151" i="3" s="1"/>
  <c r="F150" i="3"/>
  <c r="G150" i="3" s="1"/>
  <c r="F149" i="3"/>
  <c r="G149" i="3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F139" i="3"/>
  <c r="G139" i="3" s="1"/>
  <c r="F138" i="3"/>
  <c r="G138" i="3" s="1"/>
  <c r="F137" i="3"/>
  <c r="G137" i="3" s="1"/>
  <c r="F136" i="3"/>
  <c r="G136" i="3" s="1"/>
  <c r="F135" i="3"/>
  <c r="G135" i="3" s="1"/>
  <c r="F134" i="3"/>
  <c r="G134" i="3" s="1"/>
  <c r="F133" i="3"/>
  <c r="G133" i="3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F112" i="3"/>
  <c r="G112" i="3" s="1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F102" i="3"/>
  <c r="G102" i="3" s="1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F86" i="3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2" i="3"/>
  <c r="G2" i="3" s="1"/>
</calcChain>
</file>

<file path=xl/sharedStrings.xml><?xml version="1.0" encoding="utf-8"?>
<sst xmlns="http://schemas.openxmlformats.org/spreadsheetml/2006/main" count="1909" uniqueCount="797">
  <si>
    <t>NERIS Entity ID</t>
  </si>
  <si>
    <t>Department Name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</si>
  <si>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</si>
  <si>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</si>
  <si>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</si>
  <si>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</si>
  <si>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</si>
  <si>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</si>
  <si>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</si>
  <si>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</si>
  <si>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</si>
  <si>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</si>
  <si>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</si>
  <si>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</si>
  <si>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</si>
  <si>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</si>
  <si>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</si>
  <si>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</si>
  <si>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</si>
  <si>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</si>
  <si>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</si>
  <si>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</si>
  <si>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</si>
  <si>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</si>
  <si>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</si>
  <si>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</si>
  <si>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</si>
  <si>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</si>
  <si>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</si>
  <si>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</si>
  <si>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</si>
  <si>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</si>
  <si>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</si>
  <si>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</si>
  <si>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</si>
  <si>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</si>
  <si>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</si>
  <si>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</si>
  <si>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</si>
  <si>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</si>
  <si>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</si>
  <si>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</si>
  <si>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</si>
  <si>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</si>
  <si>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</si>
  <si>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</si>
  <si>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</si>
  <si>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</si>
  <si>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</si>
  <si>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</si>
  <si>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</si>
  <si>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</si>
  <si>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</si>
  <si>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</si>
  <si>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</si>
  <si>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</si>
  <si>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</si>
  <si>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</si>
  <si>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</si>
  <si>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</si>
  <si>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</si>
  <si>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</si>
  <si>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</si>
  <si>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</si>
  <si>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</si>
  <si>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</si>
  <si>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</si>
  <si>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</si>
  <si>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</si>
  <si>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</si>
  <si>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</si>
  <si>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</si>
  <si>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</si>
  <si>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</si>
  <si>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</si>
  <si>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</si>
  <si>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</si>
  <si>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</si>
  <si>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</si>
  <si>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</si>
  <si>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</si>
  <si>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</si>
  <si>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</si>
  <si>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</si>
  <si>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</si>
  <si>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</si>
  <si>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</si>
  <si>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</si>
  <si>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</si>
  <si>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</si>
  <si>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</si>
  <si>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</si>
  <si>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</si>
  <si>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</si>
  <si>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</si>
  <si>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</si>
  <si>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</si>
  <si>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</si>
  <si>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</si>
  <si>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</si>
  <si>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</si>
  <si>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</si>
  <si>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</si>
  <si>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</si>
  <si>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</si>
  <si>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</si>
  <si>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</si>
  <si>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</si>
  <si>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</si>
  <si>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</si>
  <si>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</si>
  <si>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</si>
  <si>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</si>
  <si>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</si>
  <si>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</si>
  <si>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</si>
  <si>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</si>
  <si>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</si>
  <si>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</si>
  <si>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</si>
  <si>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</si>
  <si>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</si>
  <si>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</si>
  <si>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</si>
  <si>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</si>
  <si>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</si>
  <si>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</si>
  <si>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</si>
  <si>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</si>
  <si>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</si>
  <si>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</si>
  <si>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</si>
  <si>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</si>
  <si>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</si>
  <si>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</si>
  <si>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</si>
  <si>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</si>
  <si>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</si>
  <si>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</si>
  <si>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</si>
  <si>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</si>
  <si>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</si>
  <si>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</si>
  <si>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</si>
  <si>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</si>
  <si>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</si>
  <si>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</si>
  <si>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</si>
  <si>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</si>
  <si>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</si>
  <si>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</si>
  <si>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</si>
  <si>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</si>
  <si>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</si>
  <si>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</si>
  <si>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</si>
  <si>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</si>
  <si>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</si>
  <si>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</si>
  <si>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</si>
  <si>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</si>
  <si>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</si>
  <si>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</si>
  <si>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</si>
  <si>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</si>
  <si>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</si>
  <si>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</si>
  <si>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</si>
  <si>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</si>
  <si>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</si>
  <si>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</si>
  <si>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</si>
  <si>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</si>
  <si>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</si>
  <si>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</si>
  <si>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</si>
  <si>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</si>
  <si>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</si>
  <si>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</si>
  <si>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</si>
  <si>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</si>
  <si>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</si>
  <si>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</si>
  <si>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</si>
  <si>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</si>
  <si>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</si>
  <si>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</si>
  <si>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</si>
  <si>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</si>
  <si>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</si>
  <si>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</si>
  <si>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</si>
  <si>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</si>
  <si>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</si>
  <si>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</si>
  <si>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</si>
  <si>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</si>
  <si>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</si>
  <si>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</si>
  <si>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</si>
  <si>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</si>
  <si>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</si>
  <si>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</si>
  <si>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</si>
  <si>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</si>
  <si>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</si>
  <si>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</si>
  <si>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</si>
  <si>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</si>
  <si>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</si>
  <si>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</si>
  <si>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</si>
  <si>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</si>
  <si>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</si>
  <si>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</si>
  <si>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</si>
  <si>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</si>
  <si>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</si>
  <si>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</si>
  <si>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</si>
  <si>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</si>
  <si>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</si>
  <si>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</si>
  <si>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</si>
  <si>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</si>
  <si>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</si>
  <si>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</si>
  <si>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</si>
  <si>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</si>
  <si>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</si>
  <si>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</si>
  <si>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</si>
  <si>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</si>
  <si>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</si>
  <si>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</si>
  <si>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</si>
  <si>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</si>
  <si>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</si>
  <si>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</si>
  <si>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</si>
  <si>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</si>
  <si>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</si>
  <si>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</si>
  <si>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</si>
  <si>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</si>
  <si>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</si>
  <si>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</si>
  <si>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</si>
  <si>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</si>
  <si>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</si>
  <si>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</si>
  <si>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</si>
  <si>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</si>
  <si>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</si>
  <si>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</si>
  <si>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</si>
  <si>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</si>
  <si>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</si>
  <si>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</si>
  <si>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</si>
  <si>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</si>
  <si>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</si>
  <si>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</si>
  <si>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</si>
  <si>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</si>
  <si>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</si>
  <si>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</si>
  <si>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</si>
  <si>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</si>
  <si>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</si>
  <si>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</si>
  <si>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</si>
  <si>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</si>
  <si>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</si>
  <si>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</si>
  <si>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</si>
  <si>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</si>
  <si>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</si>
  <si>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</si>
  <si>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</si>
  <si>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</si>
  <si>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</si>
  <si>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</si>
  <si>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</si>
  <si>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</si>
  <si>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</si>
  <si>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</si>
  <si>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</si>
  <si>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</si>
  <si>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</si>
  <si>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</si>
  <si>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</si>
  <si>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</si>
  <si>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</si>
  <si>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</si>
  <si>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</si>
  <si>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</si>
  <si>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</si>
  <si>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</si>
  <si>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</si>
  <si>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</si>
  <si>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</si>
  <si>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</si>
  <si>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</si>
  <si>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</si>
  <si>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</si>
  <si>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</si>
  <si>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</si>
  <si>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</si>
  <si>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</si>
  <si>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</si>
  <si>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</si>
  <si>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</si>
  <si>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</si>
  <si>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</si>
  <si>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</si>
  <si>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</si>
  <si>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</si>
  <si>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</si>
  <si>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</si>
  <si>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</si>
  <si>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</si>
  <si>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</si>
  <si>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</si>
  <si>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</si>
  <si>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</si>
  <si>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</si>
  <si>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</si>
  <si>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</si>
  <si>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</si>
  <si>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</si>
  <si>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</si>
  <si>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</si>
  <si>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</si>
  <si>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</si>
  <si>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</si>
  <si>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</si>
  <si>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</si>
  <si>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</si>
  <si>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</si>
  <si>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</si>
  <si>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</si>
  <si>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</si>
  <si>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</si>
  <si>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NAR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</si>
  <si>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</si>
  <si>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</si>
  <si>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</si>
  <si>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</si>
  <si>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</si>
  <si>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</si>
  <si>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</si>
  <si>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</si>
  <si>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</si>
  <si>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</si>
  <si>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</si>
  <si>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</si>
  <si>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</si>
  <si>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</si>
  <si>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</si>
  <si>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</si>
  <si>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</si>
  <si>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</si>
  <si>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</si>
  <si>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</si>
  <si>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</si>
  <si>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</si>
  <si>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</si>
  <si>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</si>
  <si>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</si>
  <si>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</si>
  <si>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</si>
  <si>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</si>
  <si>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</si>
  <si>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</si>
  <si>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</si>
  <si>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</si>
  <si>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</si>
  <si>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</si>
  <si>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</si>
  <si>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</si>
  <si>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</si>
  <si>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</si>
  <si>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</si>
  <si>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</si>
  <si>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</si>
  <si>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</si>
  <si>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</si>
  <si>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</si>
  <si>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</si>
  <si>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</si>
  <si>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</si>
  <si>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</si>
  <si>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</si>
  <si>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</si>
  <si>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</si>
  <si>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</si>
  <si>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</si>
  <si>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</si>
  <si>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</si>
  <si>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</si>
  <si>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</si>
  <si>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</si>
  <si>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</si>
  <si>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</si>
  <si>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</si>
  <si>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</si>
  <si>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</si>
  <si>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</si>
  <si>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</si>
  <si>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</si>
  <si>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</si>
  <si>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</si>
  <si>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</si>
  <si>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</si>
  <si>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</si>
  <si>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</si>
  <si>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</si>
  <si>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</si>
  <si>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</si>
  <si>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</si>
  <si>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</si>
  <si>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</si>
  <si>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</si>
  <si>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</si>
  <si>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</si>
  <si>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</si>
  <si>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</si>
  <si>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</si>
  <si>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</si>
  <si>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</si>
  <si>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</si>
  <si>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</si>
  <si>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</si>
  <si>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</si>
  <si>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</si>
  <si>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</si>
  <si>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</si>
  <si>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</si>
  <si>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</si>
  <si>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</si>
  <si>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</si>
  <si>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</si>
  <si>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</si>
  <si>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</si>
  <si>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</si>
  <si>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</si>
  <si>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</si>
  <si>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</si>
  <si>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</si>
  <si>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</si>
  <si>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</si>
  <si>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</si>
  <si>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</si>
  <si>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</si>
  <si>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</si>
  <si>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</si>
  <si>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</si>
  <si>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</si>
  <si>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</si>
  <si>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</si>
  <si>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</si>
  <si>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</si>
  <si>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</si>
  <si>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</si>
  <si>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</si>
  <si>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</si>
  <si>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</si>
  <si>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</si>
  <si>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</si>
  <si>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</si>
  <si>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</si>
  <si>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</si>
  <si>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</si>
  <si>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</si>
  <si>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</si>
  <si>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</si>
  <si>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</si>
  <si>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</si>
  <si>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</si>
  <si>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</si>
  <si>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</si>
  <si>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</si>
  <si>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</si>
  <si>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</si>
  <si>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</si>
  <si>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</si>
  <si>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</si>
  <si>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</si>
  <si>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</si>
  <si>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</si>
  <si>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</si>
  <si>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</si>
  <si>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</si>
  <si>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</si>
  <si>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</si>
  <si>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</si>
  <si>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</si>
  <si>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</si>
  <si>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</si>
  <si>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</si>
  <si>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</si>
  <si>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</si>
  <si>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</si>
  <si>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</si>
  <si>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</si>
  <si>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</si>
  <si>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</si>
  <si>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</si>
  <si>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</si>
  <si>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</si>
  <si>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</si>
  <si>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</si>
  <si>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</si>
  <si>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</si>
  <si>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</si>
  <si>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</si>
  <si>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</si>
  <si>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</si>
  <si>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</si>
  <si>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</si>
  <si>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</si>
  <si>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</si>
  <si>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</si>
  <si>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</si>
  <si>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</si>
  <si>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</si>
  <si>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</si>
  <si>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</si>
  <si>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</si>
  <si>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</si>
  <si>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</si>
  <si>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</si>
  <si>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</si>
  <si>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</si>
  <si>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</si>
  <si>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</si>
  <si>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</si>
  <si>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</si>
  <si>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</si>
  <si>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</si>
  <si>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</si>
  <si>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</si>
  <si>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</si>
  <si>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</si>
  <si>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</si>
  <si>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</si>
  <si>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</si>
  <si>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</si>
  <si>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</si>
  <si>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</si>
  <si>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</si>
  <si>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</si>
  <si>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</si>
  <si>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</si>
  <si>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</si>
  <si>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</si>
  <si>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</si>
  <si>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</si>
  <si>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</si>
  <si>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</si>
  <si>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</si>
  <si>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</si>
  <si>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</si>
  <si>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</si>
  <si>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</si>
  <si>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</si>
  <si>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</si>
  <si>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</si>
  <si>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</si>
  <si>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</si>
  <si>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</si>
  <si>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</si>
  <si>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</si>
  <si>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</si>
  <si>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</si>
  <si>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</si>
  <si>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</si>
  <si>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</si>
  <si>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</si>
  <si>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</si>
  <si>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</si>
  <si>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</si>
  <si>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</si>
  <si>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</si>
  <si>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</si>
  <si>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</si>
  <si>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</si>
  <si>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</si>
  <si>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</si>
  <si>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</si>
  <si>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</si>
  <si>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</si>
  <si>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</si>
  <si>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</si>
  <si>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</si>
  <si>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</si>
  <si>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</si>
  <si>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</si>
  <si>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</si>
  <si>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</si>
  <si>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</si>
  <si>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</si>
  <si>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</si>
  <si>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</si>
  <si>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</si>
  <si>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</si>
  <si>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</si>
  <si>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</si>
  <si>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</si>
  <si>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</si>
  <si>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</si>
  <si>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</si>
  <si>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</si>
  <si>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</si>
  <si>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</si>
  <si>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</si>
  <si>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</si>
  <si>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</si>
  <si>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</si>
  <si>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</si>
  <si>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</si>
  <si>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</si>
  <si>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</si>
  <si>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</si>
  <si>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</si>
  <si>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</si>
  <si>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</si>
  <si>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</si>
  <si>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</si>
  <si>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</si>
  <si>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</si>
  <si>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</si>
  <si>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</si>
  <si>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</si>
  <si>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</si>
  <si>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</si>
  <si>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</si>
  <si>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</si>
  <si>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</si>
  <si>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</si>
  <si>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</si>
  <si>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</si>
  <si>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</si>
  <si>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</si>
  <si>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</si>
  <si>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</si>
  <si>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</si>
  <si>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</si>
  <si>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</si>
  <si>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</si>
  <si>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</si>
  <si>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</si>
  <si>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</si>
  <si>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</si>
  <si>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</si>
  <si>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</si>
  <si>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</si>
  <si>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</si>
  <si>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</si>
  <si>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</si>
  <si>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</si>
  <si>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</si>
  <si>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</si>
  <si>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</si>
  <si>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</si>
  <si>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</si>
  <si>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</si>
  <si>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</si>
  <si>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</si>
  <si>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</si>
  <si>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</si>
  <si>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</si>
  <si>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</si>
  <si>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</si>
  <si>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</si>
  <si>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</si>
  <si>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</si>
  <si>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</si>
  <si>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</si>
  <si>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</si>
  <si>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</si>
  <si>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</si>
  <si>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</si>
  <si>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</si>
  <si>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</si>
  <si>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</si>
  <si>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</si>
  <si>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</si>
  <si>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</si>
  <si>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</si>
  <si>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</si>
  <si>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</si>
  <si>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</si>
  <si>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</si>
  <si>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</si>
  <si>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</si>
  <si>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</si>
  <si>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</si>
  <si>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</si>
  <si>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</si>
  <si>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</si>
  <si>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</si>
  <si>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</si>
  <si>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</si>
  <si>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</si>
  <si>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</si>
  <si>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</si>
  <si>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</si>
  <si>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</si>
  <si>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</si>
  <si>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</si>
  <si>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</si>
  <si>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</si>
  <si>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</si>
  <si>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</si>
  <si>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</si>
  <si>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</si>
  <si>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</si>
  <si>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</si>
  <si>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</si>
  <si>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</si>
  <si>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</si>
  <si>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</si>
  <si>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</si>
  <si>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</si>
  <si>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</si>
  <si>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</si>
  <si>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</si>
  <si>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</si>
  <si>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</si>
  <si>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</si>
  <si>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</si>
  <si>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</si>
  <si>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</si>
  <si>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</si>
  <si>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</si>
  <si>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</si>
  <si>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</si>
  <si>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</si>
  <si>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</si>
  <si>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</si>
  <si>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</si>
  <si>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</si>
  <si>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</si>
  <si>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</si>
  <si>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</si>
  <si>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</si>
  <si>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</si>
  <si>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</si>
  <si>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</si>
  <si>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</si>
  <si>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</si>
  <si>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</si>
  <si>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</si>
  <si>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</si>
  <si>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</si>
  <si>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</si>
  <si>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</si>
  <si>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</si>
  <si>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</si>
  <si>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</si>
  <si>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</si>
  <si>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</si>
  <si>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</si>
  <si>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</si>
  <si>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</si>
  <si>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</si>
  <si>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</si>
  <si>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</si>
  <si>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Symbol</t>
  </si>
  <si>
    <t>Meaning</t>
  </si>
  <si>
    <t>(number)</t>
  </si>
  <si>
    <t>Count of incidents reported for that department in that month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</si>
  <si>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</si>
  <si>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</si>
  <si>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</si>
  <si>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</si>
  <si>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</si>
  <si>
    <t>County</t>
  </si>
  <si>
    <t>Barnstable</t>
  </si>
  <si>
    <t>Berkshire</t>
  </si>
  <si>
    <t>Bristol</t>
  </si>
  <si>
    <t>Dukes</t>
  </si>
  <si>
    <t>Essex</t>
  </si>
  <si>
    <t>Franklin</t>
  </si>
  <si>
    <t>Hampden</t>
  </si>
  <si>
    <t>Hampshire</t>
  </si>
  <si>
    <t>Middlesex</t>
  </si>
  <si>
    <t>Nantucket</t>
  </si>
  <si>
    <t>Norfolk</t>
  </si>
  <si>
    <t>Plymouth</t>
  </si>
  <si>
    <t>Suffolk</t>
  </si>
  <si>
    <t>Worcester</t>
  </si>
  <si>
    <t>MA</t>
  </si>
  <si>
    <t>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</si>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</sst>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7F6000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/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6" borderId="0" xfId="0" applyFill="1"/>
    <xf numFmtId="0" fontId="0" fillId="6" borderId="1" xfId="0" applyFill="1" applyBorder="1" applyAlignment="1">
      <alignment horizontal="left" vertical="center"/>
    </xf>
    <xf numFmtId="3" fontId="0" fillId="6" borderId="1" xfId="0" applyNumberFormat="1" applyFill="1" applyBorder="1" applyAlignment="1">
      <alignment horizontal="center" vertical="center"/>
    </xf>
    <xf numFmtId="3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neris_monthly_counts_MA_20260810_152103.xlsx" TargetMode="External"/><Relationship Id="rId2" Type="http://schemas.openxmlformats.org/officeDocument/2006/relationships/externalLinkPath" Target="file:///C:\Users\ddion\Downloads\neris_monthly_counts_MA_20260810_152103.xlsx" TargetMode="External"/><Relationship Id="rId1" Type="http://schemas.openxmlformats.org/officeDocument/2006/relationships/externalLinkPath" Target="/Users/ddion/Downloads/neris_monthly_counts_MA_20260810_1521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thly Incident Counts"/>
      <sheetName val="Legend"/>
    </sheetNames>
    <sheetDataSet>
      <sheetData sheetId="0">
        <row r="2">
          <cell r="F2">
            <v>482</v>
          </cell>
        </row>
        <row r="3">
          <cell r="F3">
            <v>186</v>
          </cell>
        </row>
        <row r="4">
          <cell r="F4">
            <v>401</v>
          </cell>
        </row>
        <row r="5">
          <cell r="F5">
            <v>1020</v>
          </cell>
        </row>
        <row r="6">
          <cell r="F6">
            <v>1843</v>
          </cell>
        </row>
        <row r="7">
          <cell r="F7">
            <v>1018</v>
          </cell>
        </row>
        <row r="8">
          <cell r="F8">
            <v>0</v>
          </cell>
        </row>
        <row r="9">
          <cell r="F9">
            <v>194</v>
          </cell>
        </row>
        <row r="10">
          <cell r="F10">
            <v>0</v>
          </cell>
        </row>
        <row r="11">
          <cell r="F11">
            <v>135</v>
          </cell>
        </row>
        <row r="12">
          <cell r="F12">
            <v>0</v>
          </cell>
        </row>
        <row r="13">
          <cell r="F13">
            <v>974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792</v>
          </cell>
        </row>
        <row r="17">
          <cell r="F17">
            <v>536</v>
          </cell>
        </row>
        <row r="18">
          <cell r="F18">
            <v>1004</v>
          </cell>
        </row>
        <row r="19">
          <cell r="F19">
            <v>0</v>
          </cell>
        </row>
        <row r="20">
          <cell r="F20">
            <v>1238</v>
          </cell>
        </row>
        <row r="21">
          <cell r="F21">
            <v>1386</v>
          </cell>
        </row>
        <row r="22">
          <cell r="F22">
            <v>1624</v>
          </cell>
        </row>
        <row r="23">
          <cell r="F23">
            <v>214</v>
          </cell>
        </row>
        <row r="24">
          <cell r="F24">
            <v>1311</v>
          </cell>
        </row>
        <row r="25">
          <cell r="F25">
            <v>0</v>
          </cell>
        </row>
        <row r="26">
          <cell r="F26">
            <v>47</v>
          </cell>
        </row>
        <row r="27">
          <cell r="F27">
            <v>0</v>
          </cell>
        </row>
        <row r="28">
          <cell r="F28">
            <v>63</v>
          </cell>
        </row>
        <row r="29">
          <cell r="F29">
            <v>0</v>
          </cell>
        </row>
        <row r="30">
          <cell r="F30">
            <v>25</v>
          </cell>
        </row>
        <row r="31">
          <cell r="F31">
            <v>0</v>
          </cell>
        </row>
        <row r="32">
          <cell r="F32">
            <v>361</v>
          </cell>
        </row>
        <row r="33">
          <cell r="F33">
            <v>0</v>
          </cell>
        </row>
        <row r="34">
          <cell r="F34">
            <v>32</v>
          </cell>
        </row>
        <row r="35">
          <cell r="F35">
            <v>2</v>
          </cell>
        </row>
        <row r="36">
          <cell r="F36">
            <v>11</v>
          </cell>
        </row>
        <row r="37">
          <cell r="F37">
            <v>51</v>
          </cell>
        </row>
        <row r="38">
          <cell r="F38">
            <v>38</v>
          </cell>
        </row>
        <row r="39">
          <cell r="F39">
            <v>0</v>
          </cell>
        </row>
        <row r="40">
          <cell r="F40">
            <v>1</v>
          </cell>
        </row>
        <row r="41">
          <cell r="F41">
            <v>0</v>
          </cell>
        </row>
        <row r="42">
          <cell r="F42">
            <v>76</v>
          </cell>
        </row>
        <row r="43">
          <cell r="F43">
            <v>1</v>
          </cell>
        </row>
        <row r="44">
          <cell r="F44">
            <v>143</v>
          </cell>
        </row>
        <row r="45">
          <cell r="F45">
            <v>18</v>
          </cell>
        </row>
        <row r="46">
          <cell r="F46">
            <v>36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45</v>
          </cell>
        </row>
        <row r="51">
          <cell r="F51">
            <v>0</v>
          </cell>
        </row>
        <row r="52">
          <cell r="F52">
            <v>404</v>
          </cell>
        </row>
        <row r="53">
          <cell r="F53">
            <v>216</v>
          </cell>
        </row>
        <row r="54">
          <cell r="F54">
            <v>133</v>
          </cell>
        </row>
        <row r="55">
          <cell r="F55">
            <v>0</v>
          </cell>
        </row>
        <row r="56">
          <cell r="F56">
            <v>2398</v>
          </cell>
        </row>
        <row r="57">
          <cell r="F57">
            <v>116</v>
          </cell>
        </row>
        <row r="58">
          <cell r="F58">
            <v>616</v>
          </cell>
        </row>
        <row r="59">
          <cell r="F59">
            <v>646</v>
          </cell>
        </row>
        <row r="60">
          <cell r="F60">
            <v>50</v>
          </cell>
        </row>
        <row r="61">
          <cell r="F61">
            <v>750</v>
          </cell>
        </row>
        <row r="62">
          <cell r="F62">
            <v>687</v>
          </cell>
        </row>
        <row r="63">
          <cell r="F63">
            <v>898</v>
          </cell>
        </row>
        <row r="64">
          <cell r="F64">
            <v>1054</v>
          </cell>
        </row>
        <row r="65">
          <cell r="F65">
            <v>719</v>
          </cell>
        </row>
        <row r="66">
          <cell r="F66">
            <v>28</v>
          </cell>
        </row>
        <row r="67">
          <cell r="F67">
            <v>207</v>
          </cell>
        </row>
        <row r="68">
          <cell r="F68">
            <v>318</v>
          </cell>
        </row>
        <row r="69">
          <cell r="F69">
            <v>1665</v>
          </cell>
        </row>
        <row r="70">
          <cell r="F70">
            <v>197</v>
          </cell>
        </row>
        <row r="71">
          <cell r="F71">
            <v>294</v>
          </cell>
        </row>
        <row r="72">
          <cell r="F72">
            <v>1756</v>
          </cell>
        </row>
        <row r="73">
          <cell r="F73">
            <v>1278</v>
          </cell>
        </row>
        <row r="74">
          <cell r="F74">
            <v>243</v>
          </cell>
        </row>
        <row r="75">
          <cell r="F75">
            <v>798</v>
          </cell>
        </row>
        <row r="76">
          <cell r="F76">
            <v>186</v>
          </cell>
        </row>
        <row r="77">
          <cell r="F77">
            <v>436</v>
          </cell>
        </row>
        <row r="78">
          <cell r="F78">
            <v>455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57</v>
          </cell>
        </row>
        <row r="82">
          <cell r="F82">
            <v>70</v>
          </cell>
        </row>
        <row r="83">
          <cell r="F83">
            <v>2705</v>
          </cell>
        </row>
        <row r="84">
          <cell r="F84">
            <v>717</v>
          </cell>
        </row>
        <row r="85">
          <cell r="F85">
            <v>125</v>
          </cell>
        </row>
        <row r="86">
          <cell r="F86">
            <v>209</v>
          </cell>
        </row>
        <row r="87">
          <cell r="F87">
            <v>622</v>
          </cell>
        </row>
        <row r="88">
          <cell r="F88">
            <v>1199</v>
          </cell>
        </row>
        <row r="89">
          <cell r="F89">
            <v>162</v>
          </cell>
        </row>
        <row r="90">
          <cell r="F90">
            <v>111</v>
          </cell>
        </row>
        <row r="91">
          <cell r="F91">
            <v>1026</v>
          </cell>
        </row>
        <row r="92">
          <cell r="F92">
            <v>466</v>
          </cell>
        </row>
        <row r="93">
          <cell r="F93">
            <v>916</v>
          </cell>
        </row>
        <row r="94">
          <cell r="F94">
            <v>202</v>
          </cell>
        </row>
        <row r="95">
          <cell r="F95">
            <v>447</v>
          </cell>
        </row>
        <row r="96">
          <cell r="F96">
            <v>1543</v>
          </cell>
        </row>
        <row r="97">
          <cell r="F97">
            <v>176</v>
          </cell>
        </row>
        <row r="98">
          <cell r="F98">
            <v>0</v>
          </cell>
        </row>
        <row r="99">
          <cell r="F99">
            <v>2</v>
          </cell>
        </row>
        <row r="100">
          <cell r="F100">
            <v>981</v>
          </cell>
        </row>
        <row r="101">
          <cell r="F101">
            <v>2</v>
          </cell>
        </row>
        <row r="102">
          <cell r="F102">
            <v>166</v>
          </cell>
        </row>
        <row r="103">
          <cell r="F103">
            <v>183</v>
          </cell>
        </row>
        <row r="104">
          <cell r="F104">
            <v>1787</v>
          </cell>
        </row>
        <row r="105">
          <cell r="F105">
            <v>1054</v>
          </cell>
        </row>
        <row r="106">
          <cell r="F106">
            <v>641</v>
          </cell>
        </row>
        <row r="107">
          <cell r="F107">
            <v>364</v>
          </cell>
        </row>
        <row r="108">
          <cell r="F108">
            <v>1662</v>
          </cell>
        </row>
        <row r="109">
          <cell r="F109">
            <v>717</v>
          </cell>
        </row>
        <row r="110">
          <cell r="F110">
            <v>0</v>
          </cell>
        </row>
        <row r="111">
          <cell r="F111">
            <v>262</v>
          </cell>
        </row>
        <row r="112">
          <cell r="F112">
            <v>383</v>
          </cell>
        </row>
        <row r="113">
          <cell r="F113">
            <v>0</v>
          </cell>
        </row>
        <row r="114">
          <cell r="F114">
            <v>379</v>
          </cell>
        </row>
        <row r="115">
          <cell r="F115">
            <v>1531</v>
          </cell>
        </row>
        <row r="116">
          <cell r="F116">
            <v>1384</v>
          </cell>
        </row>
        <row r="117">
          <cell r="F117">
            <v>45</v>
          </cell>
        </row>
        <row r="118">
          <cell r="F118">
            <v>8</v>
          </cell>
        </row>
        <row r="119">
          <cell r="F119">
            <v>0</v>
          </cell>
        </row>
        <row r="120">
          <cell r="F120">
            <v>37</v>
          </cell>
        </row>
        <row r="121">
          <cell r="F121">
            <v>649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62</v>
          </cell>
        </row>
        <row r="125">
          <cell r="F125">
            <v>0</v>
          </cell>
        </row>
        <row r="126">
          <cell r="F126">
            <v>7</v>
          </cell>
        </row>
        <row r="127">
          <cell r="F127">
            <v>47</v>
          </cell>
        </row>
        <row r="128">
          <cell r="F128">
            <v>0</v>
          </cell>
        </row>
        <row r="129">
          <cell r="F129">
            <v>78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82</v>
          </cell>
        </row>
        <row r="134">
          <cell r="F134">
            <v>236</v>
          </cell>
        </row>
        <row r="135">
          <cell r="F135">
            <v>103</v>
          </cell>
        </row>
        <row r="136">
          <cell r="F136">
            <v>16</v>
          </cell>
        </row>
        <row r="137">
          <cell r="F137">
            <v>0</v>
          </cell>
        </row>
        <row r="138">
          <cell r="F138">
            <v>52</v>
          </cell>
        </row>
        <row r="139">
          <cell r="F139">
            <v>0</v>
          </cell>
        </row>
        <row r="140">
          <cell r="F140">
            <v>17</v>
          </cell>
        </row>
        <row r="141">
          <cell r="F141">
            <v>474</v>
          </cell>
        </row>
        <row r="142">
          <cell r="F142">
            <v>27</v>
          </cell>
        </row>
        <row r="143">
          <cell r="F143">
            <v>0</v>
          </cell>
        </row>
        <row r="144">
          <cell r="F144">
            <v>25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600</v>
          </cell>
        </row>
        <row r="150">
          <cell r="F150">
            <v>0</v>
          </cell>
        </row>
        <row r="151">
          <cell r="F151">
            <v>35</v>
          </cell>
        </row>
        <row r="152">
          <cell r="F152">
            <v>1377</v>
          </cell>
        </row>
        <row r="153">
          <cell r="F153">
            <v>13</v>
          </cell>
        </row>
        <row r="154">
          <cell r="F154">
            <v>0</v>
          </cell>
        </row>
        <row r="155">
          <cell r="F155">
            <v>2478</v>
          </cell>
        </row>
        <row r="156">
          <cell r="F156">
            <v>89</v>
          </cell>
        </row>
        <row r="157">
          <cell r="F157">
            <v>1551</v>
          </cell>
        </row>
        <row r="158">
          <cell r="F158">
            <v>0</v>
          </cell>
        </row>
        <row r="159">
          <cell r="F159">
            <v>44</v>
          </cell>
        </row>
        <row r="160">
          <cell r="F160">
            <v>843</v>
          </cell>
        </row>
        <row r="161">
          <cell r="F161">
            <v>799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1214</v>
          </cell>
        </row>
        <row r="165">
          <cell r="F165">
            <v>0</v>
          </cell>
        </row>
        <row r="166">
          <cell r="F166">
            <v>30</v>
          </cell>
        </row>
        <row r="167">
          <cell r="F167">
            <v>4730</v>
          </cell>
        </row>
        <row r="168">
          <cell r="F168">
            <v>389</v>
          </cell>
        </row>
        <row r="169">
          <cell r="F169">
            <v>583</v>
          </cell>
        </row>
        <row r="170">
          <cell r="F170">
            <v>55</v>
          </cell>
        </row>
        <row r="171">
          <cell r="F171">
            <v>4</v>
          </cell>
        </row>
        <row r="172">
          <cell r="F172">
            <v>1063</v>
          </cell>
        </row>
        <row r="173">
          <cell r="F173">
            <v>1</v>
          </cell>
        </row>
        <row r="174">
          <cell r="F174">
            <v>34</v>
          </cell>
        </row>
        <row r="175">
          <cell r="F175">
            <v>1589</v>
          </cell>
        </row>
        <row r="176">
          <cell r="F176">
            <v>172</v>
          </cell>
        </row>
        <row r="177">
          <cell r="F177">
            <v>0</v>
          </cell>
        </row>
        <row r="178">
          <cell r="F178">
            <v>4</v>
          </cell>
        </row>
        <row r="179">
          <cell r="F179">
            <v>35</v>
          </cell>
        </row>
        <row r="180">
          <cell r="F180">
            <v>16</v>
          </cell>
        </row>
        <row r="181">
          <cell r="F181">
            <v>0</v>
          </cell>
        </row>
        <row r="182">
          <cell r="F182">
            <v>24</v>
          </cell>
        </row>
        <row r="183">
          <cell r="F183">
            <v>0</v>
          </cell>
        </row>
        <row r="184">
          <cell r="F184">
            <v>644</v>
          </cell>
        </row>
        <row r="185">
          <cell r="F185">
            <v>0</v>
          </cell>
        </row>
        <row r="186">
          <cell r="F186">
            <v>186</v>
          </cell>
        </row>
        <row r="187">
          <cell r="F187">
            <v>501</v>
          </cell>
        </row>
        <row r="188">
          <cell r="F188">
            <v>454</v>
          </cell>
        </row>
        <row r="189">
          <cell r="F189">
            <v>1</v>
          </cell>
        </row>
        <row r="190">
          <cell r="F190">
            <v>171</v>
          </cell>
        </row>
        <row r="191">
          <cell r="F191">
            <v>309</v>
          </cell>
        </row>
        <row r="192">
          <cell r="F192">
            <v>31</v>
          </cell>
        </row>
        <row r="193">
          <cell r="F193">
            <v>478</v>
          </cell>
        </row>
        <row r="194">
          <cell r="F194">
            <v>66</v>
          </cell>
        </row>
        <row r="195">
          <cell r="F195">
            <v>0</v>
          </cell>
        </row>
        <row r="196">
          <cell r="F196">
            <v>587</v>
          </cell>
        </row>
        <row r="197">
          <cell r="F197">
            <v>693</v>
          </cell>
        </row>
        <row r="198">
          <cell r="F198">
            <v>877</v>
          </cell>
        </row>
        <row r="199">
          <cell r="F199">
            <v>1620</v>
          </cell>
        </row>
        <row r="200">
          <cell r="F200">
            <v>729</v>
          </cell>
        </row>
        <row r="201">
          <cell r="F201">
            <v>623</v>
          </cell>
        </row>
        <row r="202">
          <cell r="F202">
            <v>477</v>
          </cell>
        </row>
        <row r="203">
          <cell r="F203">
            <v>73</v>
          </cell>
        </row>
        <row r="204">
          <cell r="F204">
            <v>1102</v>
          </cell>
        </row>
        <row r="205">
          <cell r="F205">
            <v>667</v>
          </cell>
        </row>
        <row r="206">
          <cell r="F206">
            <v>1567</v>
          </cell>
        </row>
        <row r="207">
          <cell r="F207">
            <v>607</v>
          </cell>
        </row>
        <row r="208">
          <cell r="F208">
            <v>114</v>
          </cell>
        </row>
        <row r="209">
          <cell r="F209">
            <v>934</v>
          </cell>
        </row>
        <row r="210">
          <cell r="F210">
            <v>375</v>
          </cell>
        </row>
        <row r="211">
          <cell r="F211">
            <v>424</v>
          </cell>
        </row>
        <row r="212">
          <cell r="F212">
            <v>318</v>
          </cell>
        </row>
        <row r="213">
          <cell r="F213">
            <v>2036</v>
          </cell>
        </row>
        <row r="214">
          <cell r="F214">
            <v>0</v>
          </cell>
        </row>
        <row r="215">
          <cell r="F215">
            <v>306</v>
          </cell>
        </row>
        <row r="216">
          <cell r="F216">
            <v>1231</v>
          </cell>
        </row>
        <row r="217">
          <cell r="F217">
            <v>426</v>
          </cell>
        </row>
        <row r="218">
          <cell r="F218">
            <v>582</v>
          </cell>
        </row>
        <row r="219">
          <cell r="F219">
            <v>956</v>
          </cell>
        </row>
        <row r="220">
          <cell r="F220">
            <v>648</v>
          </cell>
        </row>
        <row r="221">
          <cell r="F221">
            <v>1045</v>
          </cell>
        </row>
        <row r="222">
          <cell r="F222">
            <v>1324</v>
          </cell>
        </row>
        <row r="223">
          <cell r="F223">
            <v>0</v>
          </cell>
        </row>
        <row r="224">
          <cell r="F224">
            <v>255</v>
          </cell>
        </row>
        <row r="225">
          <cell r="F225">
            <v>1461</v>
          </cell>
        </row>
        <row r="226">
          <cell r="F226">
            <v>1628</v>
          </cell>
        </row>
        <row r="227">
          <cell r="F227">
            <v>805</v>
          </cell>
        </row>
        <row r="228">
          <cell r="F228">
            <v>1049</v>
          </cell>
        </row>
        <row r="229">
          <cell r="F229">
            <v>1098</v>
          </cell>
        </row>
        <row r="230">
          <cell r="F230">
            <v>2898</v>
          </cell>
        </row>
        <row r="231">
          <cell r="F231">
            <v>272</v>
          </cell>
        </row>
        <row r="232">
          <cell r="F232">
            <v>0</v>
          </cell>
        </row>
        <row r="233">
          <cell r="F233">
            <v>2106</v>
          </cell>
        </row>
        <row r="234">
          <cell r="F234">
            <v>527</v>
          </cell>
        </row>
        <row r="235">
          <cell r="F235">
            <v>0</v>
          </cell>
        </row>
        <row r="236">
          <cell r="F236">
            <v>764</v>
          </cell>
        </row>
        <row r="237">
          <cell r="F237">
            <v>2704</v>
          </cell>
        </row>
        <row r="238">
          <cell r="F238">
            <v>199</v>
          </cell>
        </row>
        <row r="239">
          <cell r="F239">
            <v>1182</v>
          </cell>
        </row>
        <row r="240">
          <cell r="F240">
            <v>544</v>
          </cell>
        </row>
        <row r="241">
          <cell r="F241">
            <v>184</v>
          </cell>
        </row>
        <row r="242">
          <cell r="F242">
            <v>517</v>
          </cell>
        </row>
        <row r="243">
          <cell r="F243">
            <v>1021</v>
          </cell>
        </row>
        <row r="244">
          <cell r="F244">
            <v>2339</v>
          </cell>
        </row>
        <row r="245">
          <cell r="F245">
            <v>510</v>
          </cell>
        </row>
        <row r="246">
          <cell r="F246">
            <v>86</v>
          </cell>
        </row>
        <row r="247">
          <cell r="F247">
            <v>111</v>
          </cell>
        </row>
        <row r="248">
          <cell r="F248">
            <v>202</v>
          </cell>
        </row>
        <row r="249">
          <cell r="F249">
            <v>288</v>
          </cell>
        </row>
        <row r="250">
          <cell r="F250">
            <v>311</v>
          </cell>
        </row>
        <row r="251">
          <cell r="F251">
            <v>19</v>
          </cell>
        </row>
        <row r="252">
          <cell r="F252">
            <v>893</v>
          </cell>
        </row>
        <row r="253">
          <cell r="F253">
            <v>72</v>
          </cell>
        </row>
        <row r="254">
          <cell r="F254">
            <v>531</v>
          </cell>
        </row>
        <row r="255">
          <cell r="F255">
            <v>559</v>
          </cell>
        </row>
        <row r="256">
          <cell r="F256">
            <v>774</v>
          </cell>
        </row>
        <row r="257">
          <cell r="F257">
            <v>923</v>
          </cell>
        </row>
        <row r="258">
          <cell r="F258">
            <v>1853</v>
          </cell>
        </row>
        <row r="259">
          <cell r="F259">
            <v>249</v>
          </cell>
        </row>
        <row r="260">
          <cell r="F260">
            <v>1004</v>
          </cell>
        </row>
        <row r="261">
          <cell r="F261">
            <v>2017</v>
          </cell>
        </row>
        <row r="262">
          <cell r="F262">
            <v>783</v>
          </cell>
        </row>
        <row r="263">
          <cell r="F263">
            <v>1128</v>
          </cell>
        </row>
        <row r="264">
          <cell r="F264">
            <v>918</v>
          </cell>
        </row>
        <row r="265">
          <cell r="F265">
            <v>510</v>
          </cell>
        </row>
        <row r="266">
          <cell r="F266">
            <v>580</v>
          </cell>
        </row>
        <row r="267">
          <cell r="F267">
            <v>1244</v>
          </cell>
        </row>
        <row r="268">
          <cell r="F268">
            <v>510</v>
          </cell>
        </row>
        <row r="269">
          <cell r="F269">
            <v>338</v>
          </cell>
        </row>
        <row r="270">
          <cell r="F270">
            <v>860</v>
          </cell>
        </row>
        <row r="271">
          <cell r="F271">
            <v>1349</v>
          </cell>
        </row>
        <row r="272">
          <cell r="F272">
            <v>317</v>
          </cell>
        </row>
        <row r="273">
          <cell r="F273">
            <v>553</v>
          </cell>
        </row>
        <row r="274">
          <cell r="F274">
            <v>640</v>
          </cell>
        </row>
        <row r="275">
          <cell r="F275">
            <v>783</v>
          </cell>
        </row>
        <row r="276">
          <cell r="F276">
            <v>1064</v>
          </cell>
        </row>
        <row r="277">
          <cell r="F277">
            <v>351</v>
          </cell>
        </row>
        <row r="278">
          <cell r="F278">
            <v>85</v>
          </cell>
        </row>
        <row r="279">
          <cell r="F279">
            <v>394</v>
          </cell>
        </row>
        <row r="280">
          <cell r="F280">
            <v>927</v>
          </cell>
        </row>
        <row r="281">
          <cell r="F281">
            <v>1012</v>
          </cell>
        </row>
        <row r="282">
          <cell r="F282">
            <v>419</v>
          </cell>
        </row>
        <row r="283">
          <cell r="F283">
            <v>483</v>
          </cell>
        </row>
        <row r="284">
          <cell r="F284">
            <v>2297</v>
          </cell>
        </row>
        <row r="285">
          <cell r="F285">
            <v>513</v>
          </cell>
        </row>
        <row r="286">
          <cell r="F286">
            <v>299</v>
          </cell>
        </row>
        <row r="287">
          <cell r="F287">
            <v>557</v>
          </cell>
        </row>
        <row r="288">
          <cell r="F288">
            <v>305</v>
          </cell>
        </row>
        <row r="289">
          <cell r="F289">
            <v>692</v>
          </cell>
        </row>
        <row r="290">
          <cell r="F290">
            <v>443</v>
          </cell>
        </row>
        <row r="291">
          <cell r="F291">
            <v>541</v>
          </cell>
        </row>
        <row r="292">
          <cell r="F292">
            <v>238</v>
          </cell>
        </row>
        <row r="293">
          <cell r="F293">
            <v>603</v>
          </cell>
        </row>
        <row r="294">
          <cell r="F294">
            <v>150</v>
          </cell>
        </row>
        <row r="295">
          <cell r="F295">
            <v>911</v>
          </cell>
        </row>
        <row r="296">
          <cell r="F296">
            <v>604</v>
          </cell>
        </row>
        <row r="297">
          <cell r="F297">
            <v>588</v>
          </cell>
        </row>
        <row r="298">
          <cell r="F298">
            <v>560</v>
          </cell>
        </row>
        <row r="299">
          <cell r="F299">
            <v>160</v>
          </cell>
        </row>
        <row r="300">
          <cell r="F300">
            <v>606</v>
          </cell>
        </row>
        <row r="301">
          <cell r="F301">
            <v>4117</v>
          </cell>
        </row>
        <row r="302">
          <cell r="F302">
            <v>119</v>
          </cell>
        </row>
        <row r="303">
          <cell r="F303">
            <v>995</v>
          </cell>
        </row>
        <row r="304">
          <cell r="F304">
            <v>913</v>
          </cell>
        </row>
        <row r="305">
          <cell r="F305">
            <v>305</v>
          </cell>
        </row>
        <row r="306">
          <cell r="F306">
            <v>647</v>
          </cell>
        </row>
        <row r="307">
          <cell r="F307">
            <v>666</v>
          </cell>
        </row>
        <row r="308">
          <cell r="F308">
            <v>0</v>
          </cell>
        </row>
        <row r="309">
          <cell r="F309">
            <v>17265</v>
          </cell>
        </row>
        <row r="310">
          <cell r="F310">
            <v>0</v>
          </cell>
        </row>
        <row r="311">
          <cell r="F311">
            <v>1031</v>
          </cell>
        </row>
        <row r="312">
          <cell r="F312">
            <v>0</v>
          </cell>
        </row>
        <row r="313">
          <cell r="F313">
            <v>1655</v>
          </cell>
        </row>
        <row r="314">
          <cell r="F314">
            <v>338</v>
          </cell>
        </row>
        <row r="315">
          <cell r="F315">
            <v>27</v>
          </cell>
        </row>
        <row r="316">
          <cell r="F316">
            <v>0</v>
          </cell>
        </row>
        <row r="317">
          <cell r="F317">
            <v>75</v>
          </cell>
        </row>
        <row r="318">
          <cell r="F318">
            <v>0</v>
          </cell>
        </row>
        <row r="319">
          <cell r="F319">
            <v>143</v>
          </cell>
        </row>
        <row r="320">
          <cell r="F320">
            <v>240</v>
          </cell>
        </row>
        <row r="321">
          <cell r="F321">
            <v>560</v>
          </cell>
        </row>
        <row r="322">
          <cell r="F322">
            <v>21</v>
          </cell>
        </row>
        <row r="323">
          <cell r="F323">
            <v>1085</v>
          </cell>
        </row>
        <row r="324">
          <cell r="F324">
            <v>331</v>
          </cell>
        </row>
        <row r="325">
          <cell r="F325">
            <v>232</v>
          </cell>
        </row>
        <row r="326">
          <cell r="F326">
            <v>109</v>
          </cell>
        </row>
        <row r="327">
          <cell r="F327">
            <v>315</v>
          </cell>
        </row>
        <row r="328">
          <cell r="F328">
            <v>34</v>
          </cell>
        </row>
        <row r="329">
          <cell r="F329">
            <v>847</v>
          </cell>
        </row>
        <row r="330">
          <cell r="F330">
            <v>1593</v>
          </cell>
        </row>
        <row r="331">
          <cell r="F331">
            <v>149</v>
          </cell>
        </row>
        <row r="332">
          <cell r="F332">
            <v>0</v>
          </cell>
        </row>
        <row r="333">
          <cell r="F333">
            <v>195</v>
          </cell>
        </row>
        <row r="334">
          <cell r="F334">
            <v>6269</v>
          </cell>
        </row>
        <row r="335">
          <cell r="F335">
            <v>2</v>
          </cell>
        </row>
        <row r="336">
          <cell r="F336">
            <v>465</v>
          </cell>
        </row>
        <row r="337">
          <cell r="F337">
            <v>273</v>
          </cell>
        </row>
        <row r="338">
          <cell r="F338">
            <v>143</v>
          </cell>
        </row>
        <row r="339">
          <cell r="F339">
            <v>0</v>
          </cell>
        </row>
        <row r="340">
          <cell r="F340">
            <v>483</v>
          </cell>
        </row>
        <row r="341">
          <cell r="F341">
            <v>65</v>
          </cell>
        </row>
        <row r="342">
          <cell r="F342">
            <v>0</v>
          </cell>
        </row>
        <row r="343">
          <cell r="F343">
            <v>119</v>
          </cell>
        </row>
        <row r="344">
          <cell r="F344">
            <v>467</v>
          </cell>
        </row>
        <row r="345">
          <cell r="F345">
            <v>0</v>
          </cell>
        </row>
        <row r="346">
          <cell r="F346">
            <v>461</v>
          </cell>
        </row>
        <row r="347">
          <cell r="F347">
            <v>308</v>
          </cell>
        </row>
        <row r="348">
          <cell r="F348">
            <v>226</v>
          </cell>
        </row>
        <row r="349">
          <cell r="F349">
            <v>3</v>
          </cell>
        </row>
        <row r="350">
          <cell r="F350">
            <v>172</v>
          </cell>
        </row>
        <row r="351">
          <cell r="F351">
            <v>458</v>
          </cell>
        </row>
        <row r="352">
          <cell r="F352">
            <v>29</v>
          </cell>
        </row>
        <row r="353">
          <cell r="F353">
            <v>341</v>
          </cell>
        </row>
        <row r="354">
          <cell r="F354">
            <v>216</v>
          </cell>
        </row>
        <row r="355">
          <cell r="F355">
            <v>56</v>
          </cell>
        </row>
        <row r="356">
          <cell r="F356">
            <v>148</v>
          </cell>
        </row>
        <row r="357">
          <cell r="F357">
            <v>37</v>
          </cell>
        </row>
        <row r="358">
          <cell r="F358">
            <v>602</v>
          </cell>
        </row>
        <row r="359">
          <cell r="F359">
            <v>25</v>
          </cell>
        </row>
        <row r="360">
          <cell r="F360">
            <v>621</v>
          </cell>
        </row>
        <row r="361">
          <cell r="F361">
            <v>17</v>
          </cell>
        </row>
        <row r="362">
          <cell r="F362">
            <v>227</v>
          </cell>
        </row>
        <row r="363">
          <cell r="F363">
            <v>0</v>
          </cell>
        </row>
        <row r="364">
          <cell r="F364">
            <v>140</v>
          </cell>
        </row>
        <row r="365">
          <cell r="F365">
            <v>1</v>
          </cell>
        </row>
        <row r="366">
          <cell r="F366">
            <v>197</v>
          </cell>
        </row>
        <row r="367">
          <cell r="F367">
            <v>0</v>
          </cell>
        </row>
        <row r="368">
          <cell r="F368">
            <v>0</v>
          </cell>
        </row>
        <row r="369">
          <cell r="F369">
            <v>618</v>
          </cell>
        </row>
        <row r="370">
          <cell r="F370">
            <v>122</v>
          </cell>
        </row>
        <row r="371">
          <cell r="F371">
            <v>229</v>
          </cell>
        </row>
        <row r="372">
          <cell r="F372">
            <v>798</v>
          </cell>
        </row>
        <row r="373">
          <cell r="F373">
            <v>29</v>
          </cell>
        </row>
        <row r="374">
          <cell r="F374">
            <v>942</v>
          </cell>
        </row>
        <row r="375">
          <cell r="F375">
            <v>203612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5"/>
  <sheetViews>
    <sheetView workbookViewId="0">
      <pane xSplit="2" ySplit="1" topLeftCell="C2" activePane="bottomRight" state="frozen"/>
      <selection pane="topRight"/>
      <selection pane="bottomLeft"/>
      <selection pane="bottomRight" activeCell="C1" sqref="C1:S1048576"/>
    </sheetView>
  </sheetViews>
  <sheetFormatPr defaultRowHeight="15" x14ac:dyDescent="0.25"/>
  <cols>
    <col min="1" max="1" width="20" customWidth="1"/>
    <col min="2" max="2" width="58" bestFit="1" customWidth="1"/>
    <col min="3" max="22" width="1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>
        <v>2</v>
      </c>
      <c r="O2" s="4">
        <v>135</v>
      </c>
      <c r="P2" s="4">
        <v>266</v>
      </c>
      <c r="Q2" s="4">
        <v>153</v>
      </c>
      <c r="R2" s="4">
        <v>138</v>
      </c>
      <c r="S2" s="4">
        <v>200</v>
      </c>
      <c r="T2" s="4">
        <v>223</v>
      </c>
      <c r="U2" s="4">
        <v>259</v>
      </c>
      <c r="V2" s="4">
        <v>82</v>
      </c>
    </row>
    <row r="3" spans="1:22" x14ac:dyDescent="0.25">
      <c r="A3" s="2" t="s">
        <v>24</v>
      </c>
      <c r="B3" s="2" t="s">
        <v>25</v>
      </c>
      <c r="C3" s="3"/>
      <c r="D3" s="3"/>
      <c r="E3" s="3"/>
      <c r="F3" s="3"/>
      <c r="G3" s="3"/>
      <c r="H3" s="3"/>
      <c r="I3" s="3"/>
      <c r="J3" s="3"/>
      <c r="K3" s="4">
        <v>53</v>
      </c>
      <c r="L3" s="4">
        <v>63</v>
      </c>
      <c r="M3" s="4">
        <v>66</v>
      </c>
      <c r="N3" s="4">
        <v>44</v>
      </c>
      <c r="O3" s="4">
        <v>66</v>
      </c>
      <c r="P3" s="4">
        <v>87</v>
      </c>
      <c r="Q3" s="4">
        <v>94</v>
      </c>
      <c r="R3" s="4">
        <v>83</v>
      </c>
      <c r="S3" s="4">
        <v>80</v>
      </c>
      <c r="T3" s="4">
        <v>104</v>
      </c>
      <c r="U3" s="4">
        <v>82</v>
      </c>
      <c r="V3" s="4">
        <v>29</v>
      </c>
    </row>
    <row r="4" spans="1:22" x14ac:dyDescent="0.25">
      <c r="A4" s="2" t="s">
        <v>26</v>
      </c>
      <c r="B4" s="2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>
        <v>155</v>
      </c>
      <c r="P4" s="4">
        <v>207</v>
      </c>
      <c r="Q4" s="4">
        <v>146</v>
      </c>
      <c r="R4" s="4">
        <v>141</v>
      </c>
      <c r="S4" s="4">
        <v>167</v>
      </c>
      <c r="T4" s="4">
        <v>190</v>
      </c>
      <c r="U4" s="4">
        <v>211</v>
      </c>
      <c r="V4" s="4">
        <v>63</v>
      </c>
    </row>
    <row r="5" spans="1:22" x14ac:dyDescent="0.25">
      <c r="A5" s="2" t="s">
        <v>28</v>
      </c>
      <c r="B5" s="2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>
        <v>1</v>
      </c>
      <c r="O5" s="4">
        <v>381</v>
      </c>
      <c r="P5" s="4">
        <v>446</v>
      </c>
      <c r="Q5" s="4">
        <v>450</v>
      </c>
      <c r="R5" s="4">
        <v>437</v>
      </c>
      <c r="S5" s="4">
        <v>473</v>
      </c>
      <c r="T5" s="4">
        <v>457</v>
      </c>
      <c r="U5" s="4">
        <v>563</v>
      </c>
      <c r="V5" s="4">
        <v>165</v>
      </c>
    </row>
    <row r="6" spans="1:22" x14ac:dyDescent="0.25">
      <c r="A6" s="2" t="s">
        <v>30</v>
      </c>
      <c r="B6" s="2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>
        <v>649</v>
      </c>
      <c r="P6" s="4">
        <v>807</v>
      </c>
      <c r="Q6" s="4">
        <v>699</v>
      </c>
      <c r="R6" s="4">
        <v>684</v>
      </c>
      <c r="S6" s="4">
        <v>804</v>
      </c>
      <c r="T6" s="4">
        <v>863</v>
      </c>
      <c r="U6" s="4">
        <v>980</v>
      </c>
      <c r="V6" s="4">
        <v>319</v>
      </c>
    </row>
    <row r="7" spans="1:22" x14ac:dyDescent="0.25">
      <c r="A7" s="2" t="s">
        <v>32</v>
      </c>
      <c r="B7" s="2" t="s">
        <v>33</v>
      </c>
      <c r="C7" s="3"/>
      <c r="D7" s="3"/>
      <c r="E7" s="3"/>
      <c r="F7" s="3"/>
      <c r="G7" s="3"/>
      <c r="H7" s="3"/>
      <c r="I7" s="4">
        <v>558</v>
      </c>
      <c r="J7" s="4">
        <v>547</v>
      </c>
      <c r="K7" s="4">
        <v>458</v>
      </c>
      <c r="L7" s="4">
        <v>464</v>
      </c>
      <c r="M7" s="4">
        <v>388</v>
      </c>
      <c r="N7" s="4">
        <v>433</v>
      </c>
      <c r="O7" s="4">
        <v>446</v>
      </c>
      <c r="P7" s="4">
        <v>476</v>
      </c>
      <c r="Q7" s="4">
        <v>406</v>
      </c>
      <c r="R7" s="4">
        <v>416</v>
      </c>
      <c r="S7" s="4">
        <v>485</v>
      </c>
      <c r="T7" s="4">
        <v>496</v>
      </c>
      <c r="U7" s="4">
        <v>522</v>
      </c>
      <c r="V7" s="4">
        <v>149</v>
      </c>
    </row>
    <row r="8" spans="1:22" x14ac:dyDescent="0.25">
      <c r="A8" s="2" t="s">
        <v>34</v>
      </c>
      <c r="B8" s="2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>
        <v>1</v>
      </c>
      <c r="P8" s="3"/>
      <c r="Q8" s="3"/>
      <c r="R8" s="3"/>
      <c r="S8" s="3"/>
      <c r="T8" s="3"/>
      <c r="U8" s="3"/>
      <c r="V8" s="3"/>
    </row>
    <row r="9" spans="1:22" x14ac:dyDescent="0.25">
      <c r="A9" s="2" t="s">
        <v>36</v>
      </c>
      <c r="B9" s="2" t="s">
        <v>37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>
        <v>81</v>
      </c>
      <c r="P9" s="4">
        <v>119</v>
      </c>
      <c r="Q9" s="4">
        <v>71</v>
      </c>
      <c r="R9" s="4">
        <v>62</v>
      </c>
      <c r="S9" s="4">
        <v>67</v>
      </c>
      <c r="T9" s="4">
        <v>79</v>
      </c>
      <c r="U9" s="4">
        <v>115</v>
      </c>
      <c r="V9" s="4">
        <v>13</v>
      </c>
    </row>
    <row r="10" spans="1:22" x14ac:dyDescent="0.25">
      <c r="A10" s="2" t="s">
        <v>38</v>
      </c>
      <c r="B10" s="2" t="s">
        <v>39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A11" s="2" t="s">
        <v>40</v>
      </c>
      <c r="B11" s="2" t="s">
        <v>41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>
        <v>48</v>
      </c>
      <c r="P11" s="4">
        <v>63</v>
      </c>
      <c r="Q11" s="4">
        <v>42</v>
      </c>
      <c r="R11" s="4">
        <v>36</v>
      </c>
      <c r="S11" s="4">
        <v>54</v>
      </c>
      <c r="T11" s="4">
        <v>53</v>
      </c>
      <c r="U11" s="4">
        <v>82</v>
      </c>
      <c r="V11" s="4">
        <v>5</v>
      </c>
    </row>
    <row r="12" spans="1:22" x14ac:dyDescent="0.25">
      <c r="A12" s="2" t="s">
        <v>42</v>
      </c>
      <c r="B12" s="2" t="s">
        <v>43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44</v>
      </c>
      <c r="B13" s="2" t="s">
        <v>45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>
        <v>340</v>
      </c>
      <c r="P13" s="4">
        <v>493</v>
      </c>
      <c r="Q13" s="4">
        <v>352</v>
      </c>
      <c r="R13" s="4">
        <v>380</v>
      </c>
      <c r="S13" s="4">
        <v>392</v>
      </c>
      <c r="T13" s="4">
        <v>443</v>
      </c>
      <c r="U13" s="4">
        <v>531</v>
      </c>
      <c r="V13" s="4">
        <v>173</v>
      </c>
    </row>
    <row r="14" spans="1:22" x14ac:dyDescent="0.25">
      <c r="A14" s="2" t="s">
        <v>46</v>
      </c>
      <c r="B14" s="2" t="s">
        <v>47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>
        <v>1</v>
      </c>
      <c r="O14" s="4">
        <v>44</v>
      </c>
      <c r="P14" s="4">
        <v>30</v>
      </c>
      <c r="Q14" s="3"/>
      <c r="R14" s="3"/>
      <c r="S14" s="3"/>
      <c r="T14" s="3"/>
      <c r="U14" s="3"/>
      <c r="V14" s="3"/>
    </row>
    <row r="15" spans="1:22" x14ac:dyDescent="0.25">
      <c r="A15" s="2" t="s">
        <v>48</v>
      </c>
      <c r="B15" s="2" t="s">
        <v>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A16" s="2" t="s">
        <v>50</v>
      </c>
      <c r="B16" s="2" t="s">
        <v>51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>
        <v>251</v>
      </c>
      <c r="P16" s="4">
        <v>396</v>
      </c>
      <c r="Q16" s="4">
        <v>229</v>
      </c>
      <c r="R16" s="4">
        <v>245</v>
      </c>
      <c r="S16" s="4">
        <v>258</v>
      </c>
      <c r="T16" s="4">
        <v>347</v>
      </c>
      <c r="U16" s="4">
        <v>445</v>
      </c>
      <c r="V16" s="4">
        <v>130</v>
      </c>
    </row>
    <row r="17" spans="1:22" x14ac:dyDescent="0.25">
      <c r="A17" s="2" t="s">
        <v>52</v>
      </c>
      <c r="B17" s="2" t="s">
        <v>53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>
        <v>238</v>
      </c>
      <c r="P17" s="4">
        <v>374</v>
      </c>
      <c r="Q17" s="4">
        <v>225</v>
      </c>
      <c r="R17" s="4">
        <v>238</v>
      </c>
      <c r="S17" s="4">
        <v>236</v>
      </c>
      <c r="T17" s="4">
        <v>235</v>
      </c>
      <c r="U17" s="4">
        <v>301</v>
      </c>
      <c r="V17" s="4">
        <v>90</v>
      </c>
    </row>
    <row r="18" spans="1:22" x14ac:dyDescent="0.25">
      <c r="A18" s="2" t="s">
        <v>54</v>
      </c>
      <c r="B18" s="2" t="s">
        <v>55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>
        <v>2</v>
      </c>
      <c r="O18" s="4">
        <v>436</v>
      </c>
      <c r="P18" s="4">
        <v>563</v>
      </c>
      <c r="Q18" s="4">
        <v>455</v>
      </c>
      <c r="R18" s="4">
        <v>385</v>
      </c>
      <c r="S18" s="4">
        <v>413</v>
      </c>
      <c r="T18" s="4">
        <v>474</v>
      </c>
      <c r="U18" s="4">
        <v>530</v>
      </c>
      <c r="V18" s="4">
        <v>141</v>
      </c>
    </row>
    <row r="19" spans="1:22" x14ac:dyDescent="0.25">
      <c r="A19" s="2" t="s">
        <v>56</v>
      </c>
      <c r="B19" s="2" t="s">
        <v>57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58</v>
      </c>
      <c r="B20" s="2" t="s">
        <v>59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>
        <v>27</v>
      </c>
      <c r="O20" s="4">
        <v>448</v>
      </c>
      <c r="P20" s="4">
        <v>723</v>
      </c>
      <c r="Q20" s="4">
        <v>439</v>
      </c>
      <c r="R20" s="4">
        <v>396</v>
      </c>
      <c r="S20" s="4">
        <v>425</v>
      </c>
      <c r="T20" s="4">
        <v>573</v>
      </c>
      <c r="U20" s="4">
        <v>665</v>
      </c>
      <c r="V20" s="4">
        <v>188</v>
      </c>
    </row>
    <row r="21" spans="1:22" x14ac:dyDescent="0.25">
      <c r="A21" s="2" t="s">
        <v>60</v>
      </c>
      <c r="B21" s="2" t="s">
        <v>61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>
        <v>617</v>
      </c>
      <c r="P21" s="4">
        <v>722</v>
      </c>
      <c r="Q21" s="4">
        <v>560</v>
      </c>
      <c r="R21" s="4">
        <v>612</v>
      </c>
      <c r="S21" s="4">
        <v>600</v>
      </c>
      <c r="T21" s="4">
        <v>641</v>
      </c>
      <c r="U21" s="4">
        <v>745</v>
      </c>
      <c r="V21" s="4">
        <v>250</v>
      </c>
    </row>
    <row r="22" spans="1:22" x14ac:dyDescent="0.25">
      <c r="A22" s="2" t="s">
        <v>62</v>
      </c>
      <c r="B22" s="2" t="s">
        <v>63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4">
        <v>596</v>
      </c>
      <c r="N22" s="4">
        <v>633</v>
      </c>
      <c r="O22" s="4">
        <v>724</v>
      </c>
      <c r="P22" s="4">
        <v>751</v>
      </c>
      <c r="Q22" s="4">
        <v>630</v>
      </c>
      <c r="R22" s="4">
        <v>607</v>
      </c>
      <c r="S22" s="4">
        <v>652</v>
      </c>
      <c r="T22" s="4">
        <v>772</v>
      </c>
      <c r="U22" s="4">
        <v>852</v>
      </c>
      <c r="V22" s="4">
        <v>246</v>
      </c>
    </row>
    <row r="23" spans="1:22" x14ac:dyDescent="0.25">
      <c r="A23" s="2" t="s">
        <v>64</v>
      </c>
      <c r="B23" s="2" t="s">
        <v>65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4">
        <v>1</v>
      </c>
      <c r="N23" s="4">
        <v>120</v>
      </c>
      <c r="O23" s="4">
        <v>98</v>
      </c>
      <c r="P23" s="4">
        <v>135</v>
      </c>
      <c r="Q23" s="4">
        <v>106</v>
      </c>
      <c r="R23" s="4">
        <v>108</v>
      </c>
      <c r="S23" s="4">
        <v>119</v>
      </c>
      <c r="T23" s="4">
        <v>103</v>
      </c>
      <c r="U23" s="4">
        <v>111</v>
      </c>
      <c r="V23" s="4">
        <v>42</v>
      </c>
    </row>
    <row r="24" spans="1:22" x14ac:dyDescent="0.25">
      <c r="A24" s="2" t="s">
        <v>66</v>
      </c>
      <c r="B24" s="2" t="s">
        <v>67</v>
      </c>
      <c r="C24" s="3"/>
      <c r="D24" s="3"/>
      <c r="E24" s="3"/>
      <c r="F24" s="3"/>
      <c r="G24" s="3"/>
      <c r="H24" s="3"/>
      <c r="I24" s="4">
        <v>220</v>
      </c>
      <c r="J24" s="4">
        <v>605</v>
      </c>
      <c r="K24" s="4">
        <v>595</v>
      </c>
      <c r="L24" s="4">
        <v>602</v>
      </c>
      <c r="M24" s="4">
        <v>567</v>
      </c>
      <c r="N24" s="4">
        <v>549</v>
      </c>
      <c r="O24" s="4">
        <v>516</v>
      </c>
      <c r="P24" s="4">
        <v>487</v>
      </c>
      <c r="Q24" s="4">
        <v>528</v>
      </c>
      <c r="R24" s="4">
        <v>527</v>
      </c>
      <c r="S24" s="4">
        <v>527</v>
      </c>
      <c r="T24" s="4">
        <v>654</v>
      </c>
      <c r="U24" s="4">
        <v>657</v>
      </c>
      <c r="V24" s="4">
        <v>164</v>
      </c>
    </row>
    <row r="25" spans="1:22" x14ac:dyDescent="0.25">
      <c r="A25" s="2" t="s">
        <v>68</v>
      </c>
      <c r="B25" s="2" t="s">
        <v>69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70</v>
      </c>
      <c r="B26" s="2" t="s">
        <v>71</v>
      </c>
      <c r="C26" s="3"/>
      <c r="D26" s="3"/>
      <c r="E26" s="3"/>
      <c r="F26" s="3"/>
      <c r="G26" s="3"/>
      <c r="H26" s="3"/>
      <c r="I26" s="3"/>
      <c r="J26" s="3"/>
      <c r="K26" s="4">
        <v>1</v>
      </c>
      <c r="L26" s="4">
        <v>23</v>
      </c>
      <c r="M26" s="4">
        <v>30</v>
      </c>
      <c r="N26" s="4">
        <v>14</v>
      </c>
      <c r="O26" s="4">
        <v>28</v>
      </c>
      <c r="P26" s="4">
        <v>21</v>
      </c>
      <c r="Q26" s="4">
        <v>17</v>
      </c>
      <c r="R26" s="4">
        <v>22</v>
      </c>
      <c r="S26" s="4">
        <v>42</v>
      </c>
      <c r="T26" s="4">
        <v>34</v>
      </c>
      <c r="U26" s="4">
        <v>13</v>
      </c>
      <c r="V26" s="3"/>
    </row>
    <row r="27" spans="1:22" x14ac:dyDescent="0.25">
      <c r="A27" s="2" t="s">
        <v>72</v>
      </c>
      <c r="B27" s="2" t="s">
        <v>73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5">
      <c r="A28" s="2" t="s">
        <v>74</v>
      </c>
      <c r="B28" s="2" t="s">
        <v>75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4">
        <v>37</v>
      </c>
      <c r="N28" s="4">
        <v>35</v>
      </c>
      <c r="O28" s="4">
        <v>39</v>
      </c>
      <c r="P28" s="4">
        <v>38</v>
      </c>
      <c r="Q28" s="4">
        <v>26</v>
      </c>
      <c r="R28" s="4">
        <v>47</v>
      </c>
      <c r="S28" s="4">
        <v>36</v>
      </c>
      <c r="T28" s="4">
        <v>32</v>
      </c>
      <c r="U28" s="4">
        <v>31</v>
      </c>
      <c r="V28" s="4">
        <v>15</v>
      </c>
    </row>
    <row r="29" spans="1:22" x14ac:dyDescent="0.25">
      <c r="A29" s="2" t="s">
        <v>76</v>
      </c>
      <c r="B29" s="2" t="s">
        <v>77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5">
      <c r="A30" s="2" t="s">
        <v>78</v>
      </c>
      <c r="B30" s="2" t="s">
        <v>79</v>
      </c>
      <c r="C30" s="3"/>
      <c r="D30" s="3"/>
      <c r="E30" s="3"/>
      <c r="F30" s="3"/>
      <c r="G30" s="3"/>
      <c r="H30" s="3"/>
      <c r="I30" s="3"/>
      <c r="J30" s="3"/>
      <c r="K30" s="3"/>
      <c r="L30" s="4">
        <v>24</v>
      </c>
      <c r="M30" s="4">
        <v>24</v>
      </c>
      <c r="N30" s="4">
        <v>21</v>
      </c>
      <c r="O30" s="4">
        <v>21</v>
      </c>
      <c r="P30" s="4">
        <v>13</v>
      </c>
      <c r="Q30" s="4">
        <v>20</v>
      </c>
      <c r="R30" s="4">
        <v>20</v>
      </c>
      <c r="S30" s="4">
        <v>24</v>
      </c>
      <c r="T30" s="4">
        <v>18</v>
      </c>
      <c r="U30" s="4">
        <v>7</v>
      </c>
      <c r="V30" s="4">
        <v>7</v>
      </c>
    </row>
    <row r="31" spans="1:22" x14ac:dyDescent="0.25">
      <c r="A31" s="2" t="s">
        <v>80</v>
      </c>
      <c r="B31" s="2" t="s">
        <v>81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v>1</v>
      </c>
      <c r="Q31" s="4">
        <v>1</v>
      </c>
      <c r="R31" s="3"/>
      <c r="S31" s="3"/>
      <c r="T31" s="3"/>
      <c r="U31" s="3"/>
      <c r="V31" s="3"/>
    </row>
    <row r="32" spans="1:22" x14ac:dyDescent="0.25">
      <c r="A32" s="2" t="s">
        <v>82</v>
      </c>
      <c r="B32" s="2" t="s">
        <v>83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>
        <v>160</v>
      </c>
      <c r="O32" s="4">
        <v>171</v>
      </c>
      <c r="P32" s="4">
        <v>146</v>
      </c>
      <c r="Q32" s="4">
        <v>164</v>
      </c>
      <c r="R32" s="4">
        <v>155</v>
      </c>
      <c r="S32" s="4">
        <v>167</v>
      </c>
      <c r="T32" s="4">
        <v>175</v>
      </c>
      <c r="U32" s="4">
        <v>186</v>
      </c>
      <c r="V32" s="4">
        <v>63</v>
      </c>
    </row>
    <row r="33" spans="1:22" x14ac:dyDescent="0.25">
      <c r="A33" s="2" t="s">
        <v>84</v>
      </c>
      <c r="B33" s="2" t="s">
        <v>85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25">
      <c r="A34" s="2" t="s">
        <v>86</v>
      </c>
      <c r="B34" s="2" t="s">
        <v>87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>
        <v>36</v>
      </c>
      <c r="P34" s="4">
        <v>38</v>
      </c>
      <c r="Q34" s="4">
        <v>22</v>
      </c>
      <c r="R34" s="4">
        <v>31</v>
      </c>
      <c r="S34" s="4">
        <v>38</v>
      </c>
      <c r="T34" s="4">
        <v>29</v>
      </c>
      <c r="U34" s="4">
        <v>3</v>
      </c>
      <c r="V34" s="3"/>
    </row>
    <row r="35" spans="1:22" x14ac:dyDescent="0.25">
      <c r="A35" s="2" t="s">
        <v>88</v>
      </c>
      <c r="B35" s="2" t="s">
        <v>89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>
        <v>7</v>
      </c>
      <c r="P35" s="4">
        <v>8</v>
      </c>
      <c r="Q35" s="4">
        <v>11</v>
      </c>
      <c r="R35" s="4">
        <v>29</v>
      </c>
      <c r="S35" s="4">
        <v>40</v>
      </c>
      <c r="T35" s="4">
        <v>1</v>
      </c>
      <c r="U35" s="4">
        <v>1</v>
      </c>
      <c r="V35" s="3"/>
    </row>
    <row r="36" spans="1:22" x14ac:dyDescent="0.25">
      <c r="A36" s="2" t="s">
        <v>90</v>
      </c>
      <c r="B36" s="2" t="s">
        <v>91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>
        <v>8</v>
      </c>
      <c r="P36" s="4">
        <v>10</v>
      </c>
      <c r="Q36" s="4">
        <v>9</v>
      </c>
      <c r="R36" s="4">
        <v>9</v>
      </c>
      <c r="S36" s="4">
        <v>15</v>
      </c>
      <c r="T36" s="4">
        <v>3</v>
      </c>
      <c r="U36" s="4">
        <v>8</v>
      </c>
      <c r="V36" s="3"/>
    </row>
    <row r="37" spans="1:22" x14ac:dyDescent="0.25">
      <c r="A37" s="2" t="s">
        <v>92</v>
      </c>
      <c r="B37" s="2" t="s">
        <v>93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">
        <v>35</v>
      </c>
      <c r="O37" s="4">
        <v>94</v>
      </c>
      <c r="P37" s="4">
        <v>80</v>
      </c>
      <c r="Q37" s="4">
        <v>95</v>
      </c>
      <c r="R37" s="4">
        <v>90</v>
      </c>
      <c r="S37" s="4">
        <v>87</v>
      </c>
      <c r="T37" s="4">
        <v>47</v>
      </c>
      <c r="U37" s="4">
        <v>4</v>
      </c>
      <c r="V37" s="4">
        <v>4</v>
      </c>
    </row>
    <row r="38" spans="1:22" x14ac:dyDescent="0.25">
      <c r="A38" s="2" t="s">
        <v>94</v>
      </c>
      <c r="B38" s="2" t="s">
        <v>95</v>
      </c>
      <c r="C38" s="3"/>
      <c r="D38" s="3"/>
      <c r="E38" s="3"/>
      <c r="F38" s="3"/>
      <c r="G38" s="3"/>
      <c r="H38" s="3"/>
      <c r="I38" s="3"/>
      <c r="J38" s="4">
        <v>25</v>
      </c>
      <c r="K38" s="4">
        <v>28</v>
      </c>
      <c r="L38" s="4">
        <v>11</v>
      </c>
      <c r="M38" s="4">
        <v>13</v>
      </c>
      <c r="N38" s="4">
        <v>15</v>
      </c>
      <c r="O38" s="4">
        <v>13</v>
      </c>
      <c r="P38" s="4">
        <v>9</v>
      </c>
      <c r="Q38" s="4">
        <v>9</v>
      </c>
      <c r="R38" s="4">
        <v>11</v>
      </c>
      <c r="S38" s="4">
        <v>19</v>
      </c>
      <c r="T38" s="4">
        <v>14</v>
      </c>
      <c r="U38" s="4">
        <v>24</v>
      </c>
      <c r="V38" s="4">
        <v>11</v>
      </c>
    </row>
    <row r="39" spans="1:22" x14ac:dyDescent="0.25">
      <c r="A39" s="2" t="s">
        <v>96</v>
      </c>
      <c r="B39" s="2" t="s">
        <v>97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98</v>
      </c>
      <c r="B40" s="2" t="s">
        <v>99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>
        <v>1</v>
      </c>
      <c r="P40" s="3"/>
      <c r="Q40" s="3"/>
      <c r="R40" s="3"/>
      <c r="S40" s="3"/>
      <c r="T40" s="4">
        <v>1</v>
      </c>
      <c r="U40" s="3"/>
      <c r="V40" s="3"/>
    </row>
    <row r="41" spans="1:22" x14ac:dyDescent="0.25">
      <c r="A41" s="2" t="s">
        <v>100</v>
      </c>
      <c r="B41" s="2" t="s">
        <v>101</v>
      </c>
      <c r="C41" s="3"/>
      <c r="D41" s="3"/>
      <c r="E41" s="3"/>
      <c r="F41" s="3"/>
      <c r="G41" s="3"/>
      <c r="H41" s="3"/>
      <c r="I41" s="3"/>
      <c r="J41" s="3"/>
      <c r="K41" s="3"/>
      <c r="L41" s="4">
        <v>1</v>
      </c>
      <c r="M41" s="4">
        <v>1</v>
      </c>
      <c r="N41" s="4">
        <v>4</v>
      </c>
      <c r="O41" s="4">
        <v>1</v>
      </c>
      <c r="P41" s="4">
        <v>3</v>
      </c>
      <c r="Q41" s="3"/>
      <c r="R41" s="4">
        <v>3</v>
      </c>
      <c r="S41" s="4">
        <v>1</v>
      </c>
      <c r="T41" s="3"/>
      <c r="U41" s="3"/>
      <c r="V41" s="4">
        <v>1</v>
      </c>
    </row>
    <row r="42" spans="1:22" x14ac:dyDescent="0.25">
      <c r="A42" s="2" t="s">
        <v>102</v>
      </c>
      <c r="B42" s="2" t="s">
        <v>103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>
        <v>27</v>
      </c>
      <c r="O42" s="4">
        <v>36</v>
      </c>
      <c r="P42" s="4">
        <v>29</v>
      </c>
      <c r="Q42" s="4">
        <v>38</v>
      </c>
      <c r="R42" s="4">
        <v>41</v>
      </c>
      <c r="S42" s="4">
        <v>44</v>
      </c>
      <c r="T42" s="4">
        <v>47</v>
      </c>
      <c r="U42" s="4">
        <v>29</v>
      </c>
      <c r="V42" s="4">
        <v>7</v>
      </c>
    </row>
    <row r="43" spans="1:22" x14ac:dyDescent="0.25">
      <c r="A43" s="2" t="s">
        <v>104</v>
      </c>
      <c r="B43" s="2" t="s">
        <v>105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v>2</v>
      </c>
      <c r="Q43" s="3"/>
      <c r="R43" s="3"/>
      <c r="S43" s="3"/>
      <c r="T43" s="3"/>
      <c r="U43" s="4">
        <v>1</v>
      </c>
      <c r="V43" s="3"/>
    </row>
    <row r="44" spans="1:22" x14ac:dyDescent="0.25">
      <c r="A44" s="2" t="s">
        <v>106</v>
      </c>
      <c r="B44" s="2" t="s">
        <v>107</v>
      </c>
      <c r="C44" s="3"/>
      <c r="D44" s="3"/>
      <c r="E44" s="3"/>
      <c r="F44" s="3"/>
      <c r="G44" s="3"/>
      <c r="H44" s="3"/>
      <c r="I44" s="3"/>
      <c r="J44" s="3"/>
      <c r="K44" s="3"/>
      <c r="L44" s="4">
        <v>2</v>
      </c>
      <c r="M44" s="3"/>
      <c r="N44" s="4">
        <v>51</v>
      </c>
      <c r="O44" s="4">
        <v>47</v>
      </c>
      <c r="P44" s="4">
        <v>41</v>
      </c>
      <c r="Q44" s="4">
        <v>55</v>
      </c>
      <c r="R44" s="4">
        <v>49</v>
      </c>
      <c r="S44" s="4">
        <v>54</v>
      </c>
      <c r="T44" s="4">
        <v>64</v>
      </c>
      <c r="U44" s="4">
        <v>79</v>
      </c>
      <c r="V44" s="4">
        <v>27</v>
      </c>
    </row>
    <row r="45" spans="1:22" x14ac:dyDescent="0.25">
      <c r="A45" s="2" t="s">
        <v>108</v>
      </c>
      <c r="B45" s="2" t="s">
        <v>109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>
        <v>5</v>
      </c>
      <c r="R45" s="4">
        <v>6</v>
      </c>
      <c r="S45" s="4">
        <v>8</v>
      </c>
      <c r="T45" s="4">
        <v>13</v>
      </c>
      <c r="U45" s="4">
        <v>5</v>
      </c>
      <c r="V45" s="3"/>
    </row>
    <row r="46" spans="1:22" x14ac:dyDescent="0.25">
      <c r="A46" s="2" t="s">
        <v>110</v>
      </c>
      <c r="B46" s="2" t="s">
        <v>111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4">
        <v>10</v>
      </c>
      <c r="O46" s="4">
        <v>12</v>
      </c>
      <c r="P46" s="4">
        <v>15</v>
      </c>
      <c r="Q46" s="4">
        <v>8</v>
      </c>
      <c r="R46" s="4">
        <v>10</v>
      </c>
      <c r="S46" s="4">
        <v>12</v>
      </c>
      <c r="T46" s="4">
        <v>18</v>
      </c>
      <c r="U46" s="4">
        <v>18</v>
      </c>
      <c r="V46" s="3"/>
    </row>
    <row r="47" spans="1:22" x14ac:dyDescent="0.25">
      <c r="A47" s="2" t="s">
        <v>112</v>
      </c>
      <c r="B47" s="2" t="s">
        <v>113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25">
      <c r="A48" s="2" t="s">
        <v>114</v>
      </c>
      <c r="B48" s="2" t="s">
        <v>115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>
        <v>4</v>
      </c>
      <c r="P48" s="3"/>
      <c r="Q48" s="3"/>
      <c r="R48" s="3"/>
      <c r="S48" s="3"/>
      <c r="T48" s="3"/>
      <c r="U48" s="3"/>
      <c r="V48" s="3"/>
    </row>
    <row r="49" spans="1:22" x14ac:dyDescent="0.25">
      <c r="A49" s="2" t="s">
        <v>116</v>
      </c>
      <c r="B49" s="2" t="s">
        <v>117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x14ac:dyDescent="0.25">
      <c r="A50" s="2" t="s">
        <v>118</v>
      </c>
      <c r="B50" s="2" t="s">
        <v>119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>
        <v>17</v>
      </c>
      <c r="P50" s="4">
        <v>30</v>
      </c>
      <c r="Q50" s="4">
        <v>31</v>
      </c>
      <c r="R50" s="4">
        <v>21</v>
      </c>
      <c r="S50" s="4">
        <v>33</v>
      </c>
      <c r="T50" s="4">
        <v>20</v>
      </c>
      <c r="U50" s="4">
        <v>25</v>
      </c>
      <c r="V50" s="4">
        <v>4</v>
      </c>
    </row>
    <row r="51" spans="1:22" x14ac:dyDescent="0.25">
      <c r="A51" s="2" t="s">
        <v>120</v>
      </c>
      <c r="B51" s="2" t="s">
        <v>121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25">
      <c r="A52" s="2" t="s">
        <v>122</v>
      </c>
      <c r="B52" s="2" t="s">
        <v>123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4">
        <v>1</v>
      </c>
      <c r="O52" s="4">
        <v>178</v>
      </c>
      <c r="P52" s="4">
        <v>149</v>
      </c>
      <c r="Q52" s="4">
        <v>176</v>
      </c>
      <c r="R52" s="4">
        <v>146</v>
      </c>
      <c r="S52" s="4">
        <v>179</v>
      </c>
      <c r="T52" s="4">
        <v>210</v>
      </c>
      <c r="U52" s="4">
        <v>194</v>
      </c>
      <c r="V52" s="4">
        <v>66</v>
      </c>
    </row>
    <row r="53" spans="1:22" x14ac:dyDescent="0.25">
      <c r="A53" s="2" t="s">
        <v>124</v>
      </c>
      <c r="B53" s="2" t="s">
        <v>125</v>
      </c>
      <c r="C53" s="3"/>
      <c r="D53" s="3"/>
      <c r="E53" s="3"/>
      <c r="F53" s="3"/>
      <c r="G53" s="3"/>
      <c r="H53" s="3"/>
      <c r="I53" s="3"/>
      <c r="J53" s="3"/>
      <c r="K53" s="3"/>
      <c r="L53" s="4">
        <v>36</v>
      </c>
      <c r="M53" s="4">
        <v>82</v>
      </c>
      <c r="N53" s="4">
        <v>122</v>
      </c>
      <c r="O53" s="4">
        <v>134</v>
      </c>
      <c r="P53" s="4">
        <v>94</v>
      </c>
      <c r="Q53" s="4">
        <v>81</v>
      </c>
      <c r="R53" s="4">
        <v>84</v>
      </c>
      <c r="S53" s="4">
        <v>98</v>
      </c>
      <c r="T53" s="4">
        <v>108</v>
      </c>
      <c r="U53" s="4">
        <v>108</v>
      </c>
      <c r="V53" s="4">
        <v>31</v>
      </c>
    </row>
    <row r="54" spans="1:22" x14ac:dyDescent="0.25">
      <c r="A54" s="2" t="s">
        <v>126</v>
      </c>
      <c r="B54" s="2" t="s">
        <v>127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4">
        <v>39</v>
      </c>
      <c r="N54" s="4">
        <v>45</v>
      </c>
      <c r="O54" s="4">
        <v>47</v>
      </c>
      <c r="P54" s="4">
        <v>68</v>
      </c>
      <c r="Q54" s="4">
        <v>45</v>
      </c>
      <c r="R54" s="4">
        <v>38</v>
      </c>
      <c r="S54" s="4">
        <v>62</v>
      </c>
      <c r="T54" s="4">
        <v>65</v>
      </c>
      <c r="U54" s="4">
        <v>68</v>
      </c>
      <c r="V54" s="3"/>
    </row>
    <row r="55" spans="1:22" x14ac:dyDescent="0.25">
      <c r="A55" s="2" t="s">
        <v>128</v>
      </c>
      <c r="B55" s="2" t="s">
        <v>129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>
        <v>48</v>
      </c>
      <c r="P55" s="4">
        <v>63</v>
      </c>
      <c r="Q55" s="4">
        <v>48</v>
      </c>
      <c r="R55" s="4">
        <v>26</v>
      </c>
      <c r="S55" s="3"/>
      <c r="T55" s="3"/>
      <c r="U55" s="3"/>
      <c r="V55" s="3"/>
    </row>
    <row r="56" spans="1:22" x14ac:dyDescent="0.25">
      <c r="A56" s="2" t="s">
        <v>130</v>
      </c>
      <c r="B56" s="2" t="s">
        <v>131</v>
      </c>
      <c r="C56" s="3"/>
      <c r="D56" s="3"/>
      <c r="E56" s="3"/>
      <c r="F56" s="3"/>
      <c r="G56" s="3"/>
      <c r="H56" s="3"/>
      <c r="I56" s="3"/>
      <c r="J56" s="3"/>
      <c r="K56" s="4">
        <v>2</v>
      </c>
      <c r="L56" s="3"/>
      <c r="M56" s="4">
        <v>1</v>
      </c>
      <c r="N56" s="4">
        <v>1116</v>
      </c>
      <c r="O56" s="4">
        <v>1176</v>
      </c>
      <c r="P56" s="4">
        <v>1101</v>
      </c>
      <c r="Q56" s="4">
        <v>1074</v>
      </c>
      <c r="R56" s="4">
        <v>995</v>
      </c>
      <c r="S56" s="4">
        <v>1137</v>
      </c>
      <c r="T56" s="4">
        <v>1153</v>
      </c>
      <c r="U56" s="4">
        <v>1245</v>
      </c>
      <c r="V56" s="4">
        <v>393</v>
      </c>
    </row>
    <row r="57" spans="1:22" x14ac:dyDescent="0.25">
      <c r="A57" s="2" t="s">
        <v>132</v>
      </c>
      <c r="B57" s="2" t="s">
        <v>133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4">
        <v>61</v>
      </c>
      <c r="N57" s="4">
        <v>60</v>
      </c>
      <c r="O57" s="4">
        <v>58</v>
      </c>
      <c r="P57" s="4">
        <v>62</v>
      </c>
      <c r="Q57" s="4">
        <v>48</v>
      </c>
      <c r="R57" s="4">
        <v>61</v>
      </c>
      <c r="S57" s="4">
        <v>58</v>
      </c>
      <c r="T57" s="4">
        <v>60</v>
      </c>
      <c r="U57" s="4">
        <v>56</v>
      </c>
      <c r="V57" s="4">
        <v>6</v>
      </c>
    </row>
    <row r="58" spans="1:22" x14ac:dyDescent="0.25">
      <c r="A58" s="2" t="s">
        <v>134</v>
      </c>
      <c r="B58" s="2" t="s">
        <v>135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4">
        <v>318</v>
      </c>
      <c r="O58" s="4">
        <v>391</v>
      </c>
      <c r="P58" s="4">
        <v>299</v>
      </c>
      <c r="Q58" s="4">
        <v>310</v>
      </c>
      <c r="R58" s="4">
        <v>289</v>
      </c>
      <c r="S58" s="4">
        <v>303</v>
      </c>
      <c r="T58" s="4">
        <v>331</v>
      </c>
      <c r="U58" s="4">
        <v>285</v>
      </c>
      <c r="V58" s="4">
        <v>103</v>
      </c>
    </row>
    <row r="59" spans="1:22" x14ac:dyDescent="0.25">
      <c r="A59" s="2" t="s">
        <v>136</v>
      </c>
      <c r="B59" s="2" t="s">
        <v>137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>
        <v>338</v>
      </c>
      <c r="P59" s="4">
        <v>322</v>
      </c>
      <c r="Q59" s="4">
        <v>329</v>
      </c>
      <c r="R59" s="4">
        <v>286</v>
      </c>
      <c r="S59" s="4">
        <v>312</v>
      </c>
      <c r="T59" s="4">
        <v>312</v>
      </c>
      <c r="U59" s="4">
        <v>334</v>
      </c>
      <c r="V59" s="4">
        <v>98</v>
      </c>
    </row>
    <row r="60" spans="1:22" x14ac:dyDescent="0.25">
      <c r="A60" s="2" t="s">
        <v>138</v>
      </c>
      <c r="B60" s="2" t="s">
        <v>139</v>
      </c>
      <c r="C60" s="3"/>
      <c r="D60" s="3"/>
      <c r="E60" s="3"/>
      <c r="F60" s="3"/>
      <c r="G60" s="3"/>
      <c r="H60" s="3"/>
      <c r="I60" s="3"/>
      <c r="J60" s="4">
        <v>1</v>
      </c>
      <c r="K60" s="3"/>
      <c r="L60" s="4">
        <v>21</v>
      </c>
      <c r="M60" s="4">
        <v>15</v>
      </c>
      <c r="N60" s="4">
        <v>20</v>
      </c>
      <c r="O60" s="4">
        <v>32</v>
      </c>
      <c r="P60" s="4">
        <v>25</v>
      </c>
      <c r="Q60" s="4">
        <v>11</v>
      </c>
      <c r="R60" s="4">
        <v>23</v>
      </c>
      <c r="S60" s="4">
        <v>20</v>
      </c>
      <c r="T60" s="4">
        <v>21</v>
      </c>
      <c r="U60" s="4">
        <v>29</v>
      </c>
      <c r="V60" s="4">
        <v>12</v>
      </c>
    </row>
    <row r="61" spans="1:22" x14ac:dyDescent="0.25">
      <c r="A61" s="2" t="s">
        <v>140</v>
      </c>
      <c r="B61" s="2" t="s">
        <v>141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">
        <v>14</v>
      </c>
      <c r="O61" s="4">
        <v>360</v>
      </c>
      <c r="P61" s="4">
        <v>293</v>
      </c>
      <c r="Q61" s="4">
        <v>301</v>
      </c>
      <c r="R61" s="4">
        <v>317</v>
      </c>
      <c r="S61" s="4">
        <v>343</v>
      </c>
      <c r="T61" s="4">
        <v>378</v>
      </c>
      <c r="U61" s="4">
        <v>372</v>
      </c>
      <c r="V61" s="4">
        <v>110</v>
      </c>
    </row>
    <row r="62" spans="1:22" x14ac:dyDescent="0.25">
      <c r="A62" s="2" t="s">
        <v>142</v>
      </c>
      <c r="B62" s="2" t="s">
        <v>143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>
        <v>410</v>
      </c>
      <c r="P62" s="4">
        <v>368</v>
      </c>
      <c r="Q62" s="4">
        <v>334</v>
      </c>
      <c r="R62" s="4">
        <v>344</v>
      </c>
      <c r="S62" s="4">
        <v>342</v>
      </c>
      <c r="T62" s="4">
        <v>353</v>
      </c>
      <c r="U62" s="4">
        <v>334</v>
      </c>
      <c r="V62" s="4">
        <v>99</v>
      </c>
    </row>
    <row r="63" spans="1:22" x14ac:dyDescent="0.25">
      <c r="A63" s="2" t="s">
        <v>144</v>
      </c>
      <c r="B63" s="2" t="s">
        <v>145</v>
      </c>
      <c r="C63" s="3"/>
      <c r="D63" s="3"/>
      <c r="E63" s="3"/>
      <c r="F63" s="3"/>
      <c r="G63" s="3"/>
      <c r="H63" s="3"/>
      <c r="I63" s="3"/>
      <c r="J63" s="3"/>
      <c r="K63" s="4">
        <v>1</v>
      </c>
      <c r="L63" s="3"/>
      <c r="M63" s="4">
        <v>26</v>
      </c>
      <c r="N63" s="4">
        <v>2</v>
      </c>
      <c r="O63" s="4">
        <v>350</v>
      </c>
      <c r="P63" s="4">
        <v>359</v>
      </c>
      <c r="Q63" s="4">
        <v>427</v>
      </c>
      <c r="R63" s="4">
        <v>406</v>
      </c>
      <c r="S63" s="4">
        <v>422</v>
      </c>
      <c r="T63" s="4">
        <v>421</v>
      </c>
      <c r="U63" s="4">
        <v>477</v>
      </c>
      <c r="V63" s="4">
        <v>138</v>
      </c>
    </row>
    <row r="64" spans="1:22" x14ac:dyDescent="0.25">
      <c r="A64" s="2" t="s">
        <v>146</v>
      </c>
      <c r="B64" s="2" t="s">
        <v>147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>
        <v>249</v>
      </c>
      <c r="O64" s="4">
        <v>454</v>
      </c>
      <c r="P64" s="4">
        <v>448</v>
      </c>
      <c r="Q64" s="4">
        <v>448</v>
      </c>
      <c r="R64" s="4">
        <v>422</v>
      </c>
      <c r="S64" s="4">
        <v>460</v>
      </c>
      <c r="T64" s="4">
        <v>517</v>
      </c>
      <c r="U64" s="4">
        <v>537</v>
      </c>
      <c r="V64" s="3"/>
    </row>
    <row r="65" spans="1:22" x14ac:dyDescent="0.25">
      <c r="A65" s="2" t="s">
        <v>148</v>
      </c>
      <c r="B65" s="2" t="s">
        <v>149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>
        <v>367</v>
      </c>
      <c r="O65" s="4">
        <v>351</v>
      </c>
      <c r="P65" s="4">
        <v>331</v>
      </c>
      <c r="Q65" s="4">
        <v>315</v>
      </c>
      <c r="R65" s="4">
        <v>312</v>
      </c>
      <c r="S65" s="4">
        <v>359</v>
      </c>
      <c r="T65" s="4">
        <v>364</v>
      </c>
      <c r="U65" s="4">
        <v>355</v>
      </c>
      <c r="V65" s="4">
        <v>119</v>
      </c>
    </row>
    <row r="66" spans="1:22" x14ac:dyDescent="0.25">
      <c r="A66" s="2" t="s">
        <v>150</v>
      </c>
      <c r="B66" s="2" t="s">
        <v>151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>
        <v>98</v>
      </c>
      <c r="P66" s="4">
        <v>62</v>
      </c>
      <c r="Q66" s="4">
        <v>46</v>
      </c>
      <c r="R66" s="4">
        <v>49</v>
      </c>
      <c r="S66" s="4">
        <v>59</v>
      </c>
      <c r="T66" s="4">
        <v>28</v>
      </c>
      <c r="U66" s="3"/>
      <c r="V66" s="3"/>
    </row>
    <row r="67" spans="1:22" x14ac:dyDescent="0.25">
      <c r="A67" s="2" t="s">
        <v>152</v>
      </c>
      <c r="B67" s="2" t="s">
        <v>153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">
        <v>79</v>
      </c>
      <c r="P67" s="4">
        <v>72</v>
      </c>
      <c r="Q67" s="4">
        <v>26</v>
      </c>
      <c r="R67" s="4">
        <v>87</v>
      </c>
      <c r="S67" s="4">
        <v>123</v>
      </c>
      <c r="T67" s="4">
        <v>112</v>
      </c>
      <c r="U67" s="4">
        <v>95</v>
      </c>
      <c r="V67" s="4">
        <v>18</v>
      </c>
    </row>
    <row r="68" spans="1:22" x14ac:dyDescent="0.25">
      <c r="A68" s="2" t="s">
        <v>154</v>
      </c>
      <c r="B68" s="2" t="s">
        <v>155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>
        <v>181</v>
      </c>
      <c r="O68" s="4">
        <v>173</v>
      </c>
      <c r="P68" s="4">
        <v>118</v>
      </c>
      <c r="Q68" s="4">
        <v>161</v>
      </c>
      <c r="R68" s="4">
        <v>148</v>
      </c>
      <c r="S68" s="4">
        <v>153</v>
      </c>
      <c r="T68" s="4">
        <v>155</v>
      </c>
      <c r="U68" s="4">
        <v>163</v>
      </c>
      <c r="V68" s="4">
        <v>30</v>
      </c>
    </row>
    <row r="69" spans="1:22" x14ac:dyDescent="0.25">
      <c r="A69" s="2" t="s">
        <v>156</v>
      </c>
      <c r="B69" s="2" t="s">
        <v>157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">
        <v>798</v>
      </c>
      <c r="P69" s="4">
        <v>795</v>
      </c>
      <c r="Q69" s="4">
        <v>852</v>
      </c>
      <c r="R69" s="4">
        <v>830</v>
      </c>
      <c r="S69" s="4">
        <v>889</v>
      </c>
      <c r="T69" s="4">
        <v>798</v>
      </c>
      <c r="U69" s="4">
        <v>867</v>
      </c>
      <c r="V69" s="4">
        <v>275</v>
      </c>
    </row>
    <row r="70" spans="1:22" x14ac:dyDescent="0.25">
      <c r="A70" s="2" t="s">
        <v>158</v>
      </c>
      <c r="B70" s="2" t="s">
        <v>159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4">
        <v>1</v>
      </c>
      <c r="O70" s="4">
        <v>129</v>
      </c>
      <c r="P70" s="4">
        <v>99</v>
      </c>
      <c r="Q70" s="4">
        <v>90</v>
      </c>
      <c r="R70" s="4">
        <v>87</v>
      </c>
      <c r="S70" s="4">
        <v>97</v>
      </c>
      <c r="T70" s="4">
        <v>114</v>
      </c>
      <c r="U70" s="4">
        <v>83</v>
      </c>
      <c r="V70" s="4">
        <v>20</v>
      </c>
    </row>
    <row r="71" spans="1:22" x14ac:dyDescent="0.25">
      <c r="A71" s="2" t="s">
        <v>160</v>
      </c>
      <c r="B71" s="2" t="s">
        <v>161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">
        <v>180</v>
      </c>
      <c r="P71" s="4">
        <v>139</v>
      </c>
      <c r="Q71" s="4">
        <v>141</v>
      </c>
      <c r="R71" s="4">
        <v>154</v>
      </c>
      <c r="S71" s="4">
        <v>149</v>
      </c>
      <c r="T71" s="4">
        <v>146</v>
      </c>
      <c r="U71" s="4">
        <v>148</v>
      </c>
      <c r="V71" s="4">
        <v>55</v>
      </c>
    </row>
    <row r="72" spans="1:22" x14ac:dyDescent="0.25">
      <c r="A72" s="2" t="s">
        <v>162</v>
      </c>
      <c r="B72" s="2" t="s">
        <v>163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>
        <v>1020</v>
      </c>
      <c r="P72" s="4">
        <v>972</v>
      </c>
      <c r="Q72" s="4">
        <v>1034</v>
      </c>
      <c r="R72" s="4">
        <v>921</v>
      </c>
      <c r="S72" s="4">
        <v>1039</v>
      </c>
      <c r="T72" s="4">
        <v>944</v>
      </c>
      <c r="U72" s="4">
        <v>812</v>
      </c>
      <c r="V72" s="4">
        <v>128</v>
      </c>
    </row>
    <row r="73" spans="1:22" x14ac:dyDescent="0.25">
      <c r="A73" s="2" t="s">
        <v>164</v>
      </c>
      <c r="B73" s="2" t="s">
        <v>165</v>
      </c>
      <c r="C73" s="4">
        <v>2</v>
      </c>
      <c r="D73" s="3"/>
      <c r="E73" s="3"/>
      <c r="F73" s="4">
        <v>9</v>
      </c>
      <c r="G73" s="4">
        <v>2</v>
      </c>
      <c r="H73" s="3"/>
      <c r="I73" s="3"/>
      <c r="J73" s="3"/>
      <c r="K73" s="3"/>
      <c r="L73" s="3"/>
      <c r="M73" s="3"/>
      <c r="N73" s="4">
        <v>1</v>
      </c>
      <c r="O73" s="4">
        <v>520</v>
      </c>
      <c r="P73" s="4">
        <v>565</v>
      </c>
      <c r="Q73" s="4">
        <v>551</v>
      </c>
      <c r="R73" s="4">
        <v>503</v>
      </c>
      <c r="S73" s="4">
        <v>555</v>
      </c>
      <c r="T73" s="4">
        <v>621</v>
      </c>
      <c r="U73" s="4">
        <v>660</v>
      </c>
      <c r="V73" s="4">
        <v>167</v>
      </c>
    </row>
    <row r="74" spans="1:22" x14ac:dyDescent="0.25">
      <c r="A74" s="2" t="s">
        <v>166</v>
      </c>
      <c r="B74" s="2" t="s">
        <v>167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4">
        <v>103</v>
      </c>
      <c r="O74" s="4">
        <v>99</v>
      </c>
      <c r="P74" s="4">
        <v>104</v>
      </c>
      <c r="Q74" s="4">
        <v>109</v>
      </c>
      <c r="R74" s="4">
        <v>101</v>
      </c>
      <c r="S74" s="4">
        <v>132</v>
      </c>
      <c r="T74" s="4">
        <v>111</v>
      </c>
      <c r="U74" s="4">
        <v>132</v>
      </c>
      <c r="V74" s="4">
        <v>11</v>
      </c>
    </row>
    <row r="75" spans="1:22" x14ac:dyDescent="0.25">
      <c r="A75" s="2" t="s">
        <v>168</v>
      </c>
      <c r="B75" s="2" t="s">
        <v>169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>
        <v>372</v>
      </c>
      <c r="P75" s="4">
        <v>391</v>
      </c>
      <c r="Q75" s="4">
        <v>377</v>
      </c>
      <c r="R75" s="4">
        <v>330</v>
      </c>
      <c r="S75" s="4">
        <v>362</v>
      </c>
      <c r="T75" s="4">
        <v>372</v>
      </c>
      <c r="U75" s="4">
        <v>426</v>
      </c>
      <c r="V75" s="4">
        <v>132</v>
      </c>
    </row>
    <row r="76" spans="1:22" x14ac:dyDescent="0.25">
      <c r="A76" s="2" t="s">
        <v>170</v>
      </c>
      <c r="B76" s="2" t="s">
        <v>171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>
        <v>1</v>
      </c>
      <c r="O76" s="4">
        <v>62</v>
      </c>
      <c r="P76" s="4">
        <v>87</v>
      </c>
      <c r="Q76" s="4">
        <v>56</v>
      </c>
      <c r="R76" s="4">
        <v>57</v>
      </c>
      <c r="S76" s="4">
        <v>58</v>
      </c>
      <c r="T76" s="4">
        <v>87</v>
      </c>
      <c r="U76" s="4">
        <v>99</v>
      </c>
      <c r="V76" s="4">
        <v>15</v>
      </c>
    </row>
    <row r="77" spans="1:22" x14ac:dyDescent="0.25">
      <c r="A77" s="2" t="s">
        <v>172</v>
      </c>
      <c r="B77" s="2" t="s">
        <v>173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4">
        <v>29</v>
      </c>
      <c r="N77" s="4">
        <v>6</v>
      </c>
      <c r="O77" s="4">
        <v>105</v>
      </c>
      <c r="P77" s="4">
        <v>136</v>
      </c>
      <c r="Q77" s="4">
        <v>104</v>
      </c>
      <c r="R77" s="4">
        <v>106</v>
      </c>
      <c r="S77" s="4">
        <v>118</v>
      </c>
      <c r="T77" s="4">
        <v>172</v>
      </c>
      <c r="U77" s="4">
        <v>264</v>
      </c>
      <c r="V77" s="4">
        <v>4</v>
      </c>
    </row>
    <row r="78" spans="1:22" x14ac:dyDescent="0.25">
      <c r="A78" s="2" t="s">
        <v>174</v>
      </c>
      <c r="B78" s="2" t="s">
        <v>175</v>
      </c>
      <c r="C78" s="4">
        <v>1</v>
      </c>
      <c r="D78" s="3"/>
      <c r="E78" s="3"/>
      <c r="F78" s="3"/>
      <c r="G78" s="3"/>
      <c r="H78" s="3"/>
      <c r="I78" s="3"/>
      <c r="J78" s="3"/>
      <c r="K78" s="3"/>
      <c r="L78" s="3"/>
      <c r="M78" s="4">
        <v>2</v>
      </c>
      <c r="N78" s="3"/>
      <c r="O78" s="4">
        <v>92</v>
      </c>
      <c r="P78" s="4">
        <v>129</v>
      </c>
      <c r="Q78" s="4">
        <v>80</v>
      </c>
      <c r="R78" s="4">
        <v>112</v>
      </c>
      <c r="S78" s="4">
        <v>114</v>
      </c>
      <c r="T78" s="4">
        <v>171</v>
      </c>
      <c r="U78" s="4">
        <v>284</v>
      </c>
      <c r="V78" s="4">
        <v>28</v>
      </c>
    </row>
    <row r="79" spans="1:22" x14ac:dyDescent="0.25">
      <c r="A79" s="2" t="s">
        <v>176</v>
      </c>
      <c r="B79" s="2" t="s">
        <v>177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25">
      <c r="A80" s="2" t="s">
        <v>178</v>
      </c>
      <c r="B80" s="2" t="s">
        <v>179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x14ac:dyDescent="0.25">
      <c r="A81" s="2" t="s">
        <v>180</v>
      </c>
      <c r="B81" s="2" t="s">
        <v>181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4">
        <v>22</v>
      </c>
      <c r="N81" s="4">
        <v>17</v>
      </c>
      <c r="O81" s="4">
        <v>20</v>
      </c>
      <c r="P81" s="4">
        <v>30</v>
      </c>
      <c r="Q81" s="4">
        <v>44</v>
      </c>
      <c r="R81" s="4">
        <v>86</v>
      </c>
      <c r="S81" s="4">
        <v>20</v>
      </c>
      <c r="T81" s="4">
        <v>25</v>
      </c>
      <c r="U81" s="4">
        <v>32</v>
      </c>
      <c r="V81" s="4">
        <v>13</v>
      </c>
    </row>
    <row r="82" spans="1:22" x14ac:dyDescent="0.25">
      <c r="A82" s="2" t="s">
        <v>182</v>
      </c>
      <c r="B82" s="2" t="s">
        <v>183</v>
      </c>
      <c r="C82" s="3"/>
      <c r="D82" s="3"/>
      <c r="E82" s="3"/>
      <c r="F82" s="3"/>
      <c r="G82" s="3"/>
      <c r="H82" s="4">
        <v>34</v>
      </c>
      <c r="I82" s="3"/>
      <c r="J82" s="3"/>
      <c r="K82" s="3"/>
      <c r="L82" s="3"/>
      <c r="M82" s="3"/>
      <c r="N82" s="3"/>
      <c r="O82" s="4">
        <v>19</v>
      </c>
      <c r="P82" s="4">
        <v>21</v>
      </c>
      <c r="Q82" s="4">
        <v>29</v>
      </c>
      <c r="R82" s="4">
        <v>58</v>
      </c>
      <c r="S82" s="4">
        <v>12</v>
      </c>
      <c r="T82" s="4">
        <v>22</v>
      </c>
      <c r="U82" s="4">
        <v>48</v>
      </c>
      <c r="V82" s="4">
        <v>7</v>
      </c>
    </row>
    <row r="83" spans="1:22" x14ac:dyDescent="0.25">
      <c r="A83" s="2" t="s">
        <v>184</v>
      </c>
      <c r="B83" s="2" t="s">
        <v>185</v>
      </c>
      <c r="C83" s="3"/>
      <c r="D83" s="3"/>
      <c r="E83" s="3"/>
      <c r="F83" s="3"/>
      <c r="G83" s="3"/>
      <c r="H83" s="3"/>
      <c r="I83" s="4">
        <v>1</v>
      </c>
      <c r="J83" s="3"/>
      <c r="K83" s="3"/>
      <c r="L83" s="3"/>
      <c r="M83" s="3"/>
      <c r="N83" s="4">
        <v>20</v>
      </c>
      <c r="O83" s="4">
        <v>1383</v>
      </c>
      <c r="P83" s="4">
        <v>1137</v>
      </c>
      <c r="Q83" s="4">
        <v>1234</v>
      </c>
      <c r="R83" s="4">
        <v>1224</v>
      </c>
      <c r="S83" s="4">
        <v>1400</v>
      </c>
      <c r="T83" s="4">
        <v>1334</v>
      </c>
      <c r="U83" s="4">
        <v>1371</v>
      </c>
      <c r="V83" s="4">
        <v>420</v>
      </c>
    </row>
    <row r="84" spans="1:22" x14ac:dyDescent="0.25">
      <c r="A84" s="2" t="s">
        <v>186</v>
      </c>
      <c r="B84" s="2" t="s">
        <v>187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>
        <v>336</v>
      </c>
      <c r="O84" s="4">
        <v>361</v>
      </c>
      <c r="P84" s="4">
        <v>322</v>
      </c>
      <c r="Q84" s="4">
        <v>332</v>
      </c>
      <c r="R84" s="4">
        <v>286</v>
      </c>
      <c r="S84" s="4">
        <v>351</v>
      </c>
      <c r="T84" s="4">
        <v>350</v>
      </c>
      <c r="U84" s="4">
        <v>367</v>
      </c>
      <c r="V84" s="4">
        <v>115</v>
      </c>
    </row>
    <row r="85" spans="1:22" x14ac:dyDescent="0.25">
      <c r="A85" s="2" t="s">
        <v>188</v>
      </c>
      <c r="B85" s="2" t="s">
        <v>189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4">
        <v>52</v>
      </c>
      <c r="N85" s="4">
        <v>47</v>
      </c>
      <c r="O85" s="4">
        <v>42</v>
      </c>
      <c r="P85" s="4">
        <v>49</v>
      </c>
      <c r="Q85" s="4">
        <v>54</v>
      </c>
      <c r="R85" s="4">
        <v>50</v>
      </c>
      <c r="S85" s="4">
        <v>58</v>
      </c>
      <c r="T85" s="4">
        <v>77</v>
      </c>
      <c r="U85" s="4">
        <v>48</v>
      </c>
      <c r="V85" s="4">
        <v>20</v>
      </c>
    </row>
    <row r="86" spans="1:22" x14ac:dyDescent="0.25">
      <c r="A86" s="2" t="s">
        <v>190</v>
      </c>
      <c r="B86" s="2" t="s">
        <v>191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4">
        <v>74</v>
      </c>
      <c r="N86" s="4">
        <v>96</v>
      </c>
      <c r="O86" s="4">
        <v>90</v>
      </c>
      <c r="P86" s="4">
        <v>71</v>
      </c>
      <c r="Q86" s="4">
        <v>73</v>
      </c>
      <c r="R86" s="4">
        <v>76</v>
      </c>
      <c r="S86" s="4">
        <v>76</v>
      </c>
      <c r="T86" s="4">
        <v>91</v>
      </c>
      <c r="U86" s="4">
        <v>118</v>
      </c>
      <c r="V86" s="4">
        <v>30</v>
      </c>
    </row>
    <row r="87" spans="1:22" x14ac:dyDescent="0.25">
      <c r="A87" s="2" t="s">
        <v>192</v>
      </c>
      <c r="B87" s="2" t="s">
        <v>193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>
        <v>352</v>
      </c>
      <c r="P87" s="4">
        <v>292</v>
      </c>
      <c r="Q87" s="4">
        <v>284</v>
      </c>
      <c r="R87" s="4">
        <v>260</v>
      </c>
      <c r="S87" s="4">
        <v>279</v>
      </c>
      <c r="T87" s="4">
        <v>328</v>
      </c>
      <c r="U87" s="4">
        <v>294</v>
      </c>
      <c r="V87" s="4">
        <v>72</v>
      </c>
    </row>
    <row r="88" spans="1:22" x14ac:dyDescent="0.25">
      <c r="A88" s="2" t="s">
        <v>194</v>
      </c>
      <c r="B88" s="2" t="s">
        <v>195</v>
      </c>
      <c r="C88" s="3"/>
      <c r="D88" s="3"/>
      <c r="E88" s="3"/>
      <c r="F88" s="3"/>
      <c r="G88" s="3"/>
      <c r="H88" s="3"/>
      <c r="I88" s="3"/>
      <c r="J88" s="3"/>
      <c r="K88" s="4">
        <v>558</v>
      </c>
      <c r="L88" s="4">
        <v>559</v>
      </c>
      <c r="M88" s="4">
        <v>535</v>
      </c>
      <c r="N88" s="4">
        <v>562</v>
      </c>
      <c r="O88" s="4">
        <v>547</v>
      </c>
      <c r="P88" s="4">
        <v>507</v>
      </c>
      <c r="Q88" s="4">
        <v>541</v>
      </c>
      <c r="R88" s="4">
        <v>511</v>
      </c>
      <c r="S88" s="4">
        <v>581</v>
      </c>
      <c r="T88" s="4">
        <v>576</v>
      </c>
      <c r="U88" s="4">
        <v>623</v>
      </c>
      <c r="V88" s="4">
        <v>173</v>
      </c>
    </row>
    <row r="89" spans="1:22" x14ac:dyDescent="0.25">
      <c r="A89" s="2" t="s">
        <v>196</v>
      </c>
      <c r="B89" s="2" t="s">
        <v>197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>
        <v>27</v>
      </c>
      <c r="P89" s="4">
        <v>17</v>
      </c>
      <c r="Q89" s="4">
        <v>73</v>
      </c>
      <c r="R89" s="4">
        <v>66</v>
      </c>
      <c r="S89" s="4">
        <v>71</v>
      </c>
      <c r="T89" s="4">
        <v>74</v>
      </c>
      <c r="U89" s="4">
        <v>88</v>
      </c>
      <c r="V89" s="4">
        <v>20</v>
      </c>
    </row>
    <row r="90" spans="1:22" x14ac:dyDescent="0.25">
      <c r="A90" s="2" t="s">
        <v>198</v>
      </c>
      <c r="B90" s="2" t="s">
        <v>199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>
        <v>56</v>
      </c>
      <c r="P90" s="4">
        <v>57</v>
      </c>
      <c r="Q90" s="4">
        <v>51</v>
      </c>
      <c r="R90" s="4">
        <v>48</v>
      </c>
      <c r="S90" s="4">
        <v>44</v>
      </c>
      <c r="T90" s="4">
        <v>59</v>
      </c>
      <c r="U90" s="4">
        <v>52</v>
      </c>
      <c r="V90" s="4">
        <v>21</v>
      </c>
    </row>
    <row r="91" spans="1:22" x14ac:dyDescent="0.25">
      <c r="A91" s="2" t="s">
        <v>200</v>
      </c>
      <c r="B91" s="2" t="s">
        <v>201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4">
        <v>10</v>
      </c>
      <c r="N91" s="4">
        <v>136</v>
      </c>
      <c r="O91" s="4">
        <v>498</v>
      </c>
      <c r="P91" s="4">
        <v>402</v>
      </c>
      <c r="Q91" s="4">
        <v>498</v>
      </c>
      <c r="R91" s="4">
        <v>458</v>
      </c>
      <c r="S91" s="4">
        <v>529</v>
      </c>
      <c r="T91" s="4">
        <v>512</v>
      </c>
      <c r="U91" s="4">
        <v>514</v>
      </c>
      <c r="V91" s="4">
        <v>133</v>
      </c>
    </row>
    <row r="92" spans="1:22" x14ac:dyDescent="0.25">
      <c r="A92" s="2" t="s">
        <v>202</v>
      </c>
      <c r="B92" s="2" t="s">
        <v>203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>
        <v>198</v>
      </c>
      <c r="P92" s="4">
        <v>198</v>
      </c>
      <c r="Q92" s="4">
        <v>210</v>
      </c>
      <c r="R92" s="4">
        <v>225</v>
      </c>
      <c r="S92" s="4">
        <v>231</v>
      </c>
      <c r="T92" s="4">
        <v>237</v>
      </c>
      <c r="U92" s="4">
        <v>229</v>
      </c>
      <c r="V92" s="4">
        <v>67</v>
      </c>
    </row>
    <row r="93" spans="1:22" x14ac:dyDescent="0.25">
      <c r="A93" s="2" t="s">
        <v>204</v>
      </c>
      <c r="B93" s="2" t="s">
        <v>205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4">
        <v>23</v>
      </c>
      <c r="O93" s="4">
        <v>401</v>
      </c>
      <c r="P93" s="4">
        <v>369</v>
      </c>
      <c r="Q93" s="4">
        <v>437</v>
      </c>
      <c r="R93" s="4">
        <v>404</v>
      </c>
      <c r="S93" s="4">
        <v>464</v>
      </c>
      <c r="T93" s="4">
        <v>427</v>
      </c>
      <c r="U93" s="4">
        <v>489</v>
      </c>
      <c r="V93" s="4">
        <v>101</v>
      </c>
    </row>
    <row r="94" spans="1:22" x14ac:dyDescent="0.25">
      <c r="A94" s="2" t="s">
        <v>206</v>
      </c>
      <c r="B94" s="2" t="s">
        <v>207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>
        <v>88</v>
      </c>
      <c r="P94" s="4">
        <v>92</v>
      </c>
      <c r="Q94" s="4">
        <v>110</v>
      </c>
      <c r="R94" s="4">
        <v>88</v>
      </c>
      <c r="S94" s="4">
        <v>89</v>
      </c>
      <c r="T94" s="4">
        <v>96</v>
      </c>
      <c r="U94" s="4">
        <v>106</v>
      </c>
      <c r="V94" s="4">
        <v>3</v>
      </c>
    </row>
    <row r="95" spans="1:22" x14ac:dyDescent="0.25">
      <c r="A95" s="2" t="s">
        <v>208</v>
      </c>
      <c r="B95" s="2" t="s">
        <v>209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4">
        <v>160</v>
      </c>
      <c r="O95" s="4">
        <v>176</v>
      </c>
      <c r="P95" s="4">
        <v>186</v>
      </c>
      <c r="Q95" s="4">
        <v>176</v>
      </c>
      <c r="R95" s="4">
        <v>164</v>
      </c>
      <c r="S95" s="4">
        <v>217</v>
      </c>
      <c r="T95" s="4">
        <v>210</v>
      </c>
      <c r="U95" s="4">
        <v>237</v>
      </c>
      <c r="V95" s="4">
        <v>35</v>
      </c>
    </row>
    <row r="96" spans="1:22" x14ac:dyDescent="0.25">
      <c r="A96" s="2" t="s">
        <v>210</v>
      </c>
      <c r="B96" s="2" t="s">
        <v>211</v>
      </c>
      <c r="C96" s="3"/>
      <c r="D96" s="4">
        <v>1</v>
      </c>
      <c r="E96" s="3"/>
      <c r="F96" s="3"/>
      <c r="G96" s="3"/>
      <c r="H96" s="3"/>
      <c r="I96" s="3"/>
      <c r="J96" s="3"/>
      <c r="K96" s="3"/>
      <c r="L96" s="4">
        <v>1</v>
      </c>
      <c r="M96" s="4">
        <v>716</v>
      </c>
      <c r="N96" s="4">
        <v>749</v>
      </c>
      <c r="O96" s="4">
        <v>828</v>
      </c>
      <c r="P96" s="4">
        <v>689</v>
      </c>
      <c r="Q96" s="4">
        <v>694</v>
      </c>
      <c r="R96" s="4">
        <v>714</v>
      </c>
      <c r="S96" s="4">
        <v>817</v>
      </c>
      <c r="T96" s="4">
        <v>794</v>
      </c>
      <c r="U96" s="4">
        <v>749</v>
      </c>
      <c r="V96" s="4">
        <v>245</v>
      </c>
    </row>
    <row r="97" spans="1:22" x14ac:dyDescent="0.25">
      <c r="A97" s="2" t="s">
        <v>212</v>
      </c>
      <c r="B97" s="2" t="s">
        <v>213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>
        <v>117</v>
      </c>
      <c r="P97" s="4">
        <v>116</v>
      </c>
      <c r="Q97" s="4">
        <v>142</v>
      </c>
      <c r="R97" s="3"/>
      <c r="S97" s="4">
        <v>49</v>
      </c>
      <c r="T97" s="4">
        <v>125</v>
      </c>
      <c r="U97" s="4">
        <v>51</v>
      </c>
      <c r="V97" s="4">
        <v>1</v>
      </c>
    </row>
    <row r="98" spans="1:22" x14ac:dyDescent="0.25">
      <c r="A98" s="2" t="s">
        <v>214</v>
      </c>
      <c r="B98" s="2" t="s">
        <v>215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25">
      <c r="A99" s="2" t="s">
        <v>216</v>
      </c>
      <c r="B99" s="2" t="s">
        <v>217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>
        <v>22</v>
      </c>
      <c r="P99" s="4">
        <v>16</v>
      </c>
      <c r="Q99" s="4">
        <v>1</v>
      </c>
      <c r="R99" s="4">
        <v>1</v>
      </c>
      <c r="S99" s="4">
        <v>1</v>
      </c>
      <c r="T99" s="3"/>
      <c r="U99" s="4">
        <v>2</v>
      </c>
      <c r="V99" s="4">
        <v>5</v>
      </c>
    </row>
    <row r="100" spans="1:22" x14ac:dyDescent="0.25">
      <c r="A100" s="2" t="s">
        <v>218</v>
      </c>
      <c r="B100" s="2" t="s">
        <v>219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>
        <v>535</v>
      </c>
      <c r="P100" s="4">
        <v>454</v>
      </c>
      <c r="Q100" s="4">
        <v>515</v>
      </c>
      <c r="R100" s="4">
        <v>488</v>
      </c>
      <c r="S100" s="4">
        <v>510</v>
      </c>
      <c r="T100" s="4">
        <v>482</v>
      </c>
      <c r="U100" s="4">
        <v>499</v>
      </c>
      <c r="V100" s="4">
        <v>134</v>
      </c>
    </row>
    <row r="101" spans="1:22" x14ac:dyDescent="0.25">
      <c r="A101" s="2" t="s">
        <v>220</v>
      </c>
      <c r="B101" s="2" t="s">
        <v>221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>
        <v>55</v>
      </c>
      <c r="P101" s="4">
        <v>65</v>
      </c>
      <c r="Q101" s="4">
        <v>28</v>
      </c>
      <c r="R101" s="3"/>
      <c r="S101" s="3"/>
      <c r="T101" s="3"/>
      <c r="U101" s="4">
        <v>2</v>
      </c>
      <c r="V101" s="3"/>
    </row>
    <row r="102" spans="1:22" x14ac:dyDescent="0.25">
      <c r="A102" s="2" t="s">
        <v>222</v>
      </c>
      <c r="B102" s="2" t="s">
        <v>223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>
        <v>17</v>
      </c>
      <c r="O102" s="4">
        <v>78</v>
      </c>
      <c r="P102" s="4">
        <v>81</v>
      </c>
      <c r="Q102" s="4">
        <v>73</v>
      </c>
      <c r="R102" s="4">
        <v>59</v>
      </c>
      <c r="S102" s="4">
        <v>56</v>
      </c>
      <c r="T102" s="4">
        <v>80</v>
      </c>
      <c r="U102" s="4">
        <v>86</v>
      </c>
      <c r="V102" s="4">
        <v>3</v>
      </c>
    </row>
    <row r="103" spans="1:22" x14ac:dyDescent="0.25">
      <c r="A103" s="2" t="s">
        <v>224</v>
      </c>
      <c r="B103" s="2" t="s">
        <v>225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4">
        <v>83</v>
      </c>
      <c r="O103" s="4">
        <v>85</v>
      </c>
      <c r="P103" s="4">
        <v>97</v>
      </c>
      <c r="Q103" s="4">
        <v>79</v>
      </c>
      <c r="R103" s="4">
        <v>81</v>
      </c>
      <c r="S103" s="4">
        <v>88</v>
      </c>
      <c r="T103" s="4">
        <v>98</v>
      </c>
      <c r="U103" s="4">
        <v>85</v>
      </c>
      <c r="V103" s="4">
        <v>22</v>
      </c>
    </row>
    <row r="104" spans="1:22" x14ac:dyDescent="0.25">
      <c r="A104" s="2" t="s">
        <v>226</v>
      </c>
      <c r="B104" s="2" t="s">
        <v>227</v>
      </c>
      <c r="C104" s="4">
        <v>2</v>
      </c>
      <c r="D104" s="4">
        <v>3</v>
      </c>
      <c r="E104" s="4">
        <v>5</v>
      </c>
      <c r="F104" s="4">
        <v>1</v>
      </c>
      <c r="G104" s="4">
        <v>2</v>
      </c>
      <c r="H104" s="4">
        <v>8</v>
      </c>
      <c r="I104" s="4">
        <v>6</v>
      </c>
      <c r="J104" s="3"/>
      <c r="K104" s="4">
        <v>3</v>
      </c>
      <c r="L104" s="4">
        <v>9</v>
      </c>
      <c r="M104" s="4">
        <v>3</v>
      </c>
      <c r="N104" s="4">
        <v>945</v>
      </c>
      <c r="O104" s="4">
        <v>909</v>
      </c>
      <c r="P104" s="4">
        <v>805</v>
      </c>
      <c r="Q104" s="4">
        <v>840</v>
      </c>
      <c r="R104" s="4">
        <v>825</v>
      </c>
      <c r="S104" s="4">
        <v>877</v>
      </c>
      <c r="T104" s="4">
        <v>868</v>
      </c>
      <c r="U104" s="4">
        <v>919</v>
      </c>
      <c r="V104" s="4">
        <v>298</v>
      </c>
    </row>
    <row r="105" spans="1:22" x14ac:dyDescent="0.25">
      <c r="A105" s="2" t="s">
        <v>228</v>
      </c>
      <c r="B105" s="2" t="s">
        <v>229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>
        <v>80</v>
      </c>
      <c r="N105" s="4">
        <v>462</v>
      </c>
      <c r="O105" s="4">
        <v>444</v>
      </c>
      <c r="P105" s="4">
        <v>420</v>
      </c>
      <c r="Q105" s="4">
        <v>375</v>
      </c>
      <c r="R105" s="4">
        <v>417</v>
      </c>
      <c r="S105" s="4">
        <v>474</v>
      </c>
      <c r="T105" s="4">
        <v>500</v>
      </c>
      <c r="U105" s="4">
        <v>554</v>
      </c>
      <c r="V105" s="4">
        <v>170</v>
      </c>
    </row>
    <row r="106" spans="1:22" x14ac:dyDescent="0.25">
      <c r="A106" s="2" t="s">
        <v>230</v>
      </c>
      <c r="B106" s="2" t="s">
        <v>231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>
        <v>1</v>
      </c>
      <c r="N106" s="4">
        <v>8</v>
      </c>
      <c r="O106" s="4">
        <v>286</v>
      </c>
      <c r="P106" s="4">
        <v>264</v>
      </c>
      <c r="Q106" s="4">
        <v>236</v>
      </c>
      <c r="R106" s="4">
        <v>259</v>
      </c>
      <c r="S106" s="4">
        <v>317</v>
      </c>
      <c r="T106" s="4">
        <v>304</v>
      </c>
      <c r="U106" s="4">
        <v>337</v>
      </c>
      <c r="V106" s="4">
        <v>78</v>
      </c>
    </row>
    <row r="107" spans="1:22" x14ac:dyDescent="0.25">
      <c r="A107" s="2" t="s">
        <v>232</v>
      </c>
      <c r="B107" s="2" t="s">
        <v>233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4">
        <v>2</v>
      </c>
      <c r="O107" s="4">
        <v>191</v>
      </c>
      <c r="P107" s="4">
        <v>182</v>
      </c>
      <c r="Q107" s="4">
        <v>152</v>
      </c>
      <c r="R107" s="4">
        <v>169</v>
      </c>
      <c r="S107" s="4">
        <v>186</v>
      </c>
      <c r="T107" s="4">
        <v>173</v>
      </c>
      <c r="U107" s="4">
        <v>191</v>
      </c>
      <c r="V107" s="4">
        <v>50</v>
      </c>
    </row>
    <row r="108" spans="1:22" x14ac:dyDescent="0.25">
      <c r="A108" s="2" t="s">
        <v>234</v>
      </c>
      <c r="B108" s="2" t="s">
        <v>235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>
        <v>854</v>
      </c>
      <c r="P108" s="4">
        <v>734</v>
      </c>
      <c r="Q108" s="4">
        <v>716</v>
      </c>
      <c r="R108" s="4">
        <v>725</v>
      </c>
      <c r="S108" s="4">
        <v>839</v>
      </c>
      <c r="T108" s="4">
        <v>855</v>
      </c>
      <c r="U108" s="4">
        <v>807</v>
      </c>
      <c r="V108" s="4">
        <v>251</v>
      </c>
    </row>
    <row r="109" spans="1:22" x14ac:dyDescent="0.25">
      <c r="A109" s="2" t="s">
        <v>236</v>
      </c>
      <c r="B109" s="2" t="s">
        <v>237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4">
        <v>295</v>
      </c>
      <c r="O109" s="4">
        <v>294</v>
      </c>
      <c r="P109" s="4">
        <v>243</v>
      </c>
      <c r="Q109" s="4">
        <v>275</v>
      </c>
      <c r="R109" s="4">
        <v>279</v>
      </c>
      <c r="S109" s="4">
        <v>310</v>
      </c>
      <c r="T109" s="4">
        <v>328</v>
      </c>
      <c r="U109" s="4">
        <v>389</v>
      </c>
      <c r="V109" s="4">
        <v>106</v>
      </c>
    </row>
    <row r="110" spans="1:22" x14ac:dyDescent="0.25">
      <c r="A110" s="2" t="s">
        <v>238</v>
      </c>
      <c r="B110" s="2" t="s">
        <v>239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>
        <v>7</v>
      </c>
      <c r="Q110" s="3"/>
      <c r="R110" s="3"/>
      <c r="S110" s="3"/>
      <c r="T110" s="3"/>
      <c r="U110" s="3"/>
      <c r="V110" s="3"/>
    </row>
    <row r="111" spans="1:22" x14ac:dyDescent="0.25">
      <c r="A111" s="2" t="s">
        <v>240</v>
      </c>
      <c r="B111" s="2" t="s">
        <v>241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>
        <v>121</v>
      </c>
      <c r="P111" s="4">
        <v>137</v>
      </c>
      <c r="Q111" s="4">
        <v>148</v>
      </c>
      <c r="R111" s="4">
        <v>116</v>
      </c>
      <c r="S111" s="4">
        <v>102</v>
      </c>
      <c r="T111" s="4">
        <v>112</v>
      </c>
      <c r="U111" s="4">
        <v>150</v>
      </c>
      <c r="V111" s="4">
        <v>21</v>
      </c>
    </row>
    <row r="112" spans="1:22" x14ac:dyDescent="0.25">
      <c r="A112" s="2" t="s">
        <v>242</v>
      </c>
      <c r="B112" s="2" t="s">
        <v>243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>
        <v>150</v>
      </c>
      <c r="P112" s="4">
        <v>162</v>
      </c>
      <c r="Q112" s="4">
        <v>151</v>
      </c>
      <c r="R112" s="4">
        <v>176</v>
      </c>
      <c r="S112" s="4">
        <v>160</v>
      </c>
      <c r="T112" s="4">
        <v>197</v>
      </c>
      <c r="U112" s="4">
        <v>186</v>
      </c>
      <c r="V112" s="4">
        <v>62</v>
      </c>
    </row>
    <row r="113" spans="1:22" x14ac:dyDescent="0.25">
      <c r="A113" s="2" t="s">
        <v>244</v>
      </c>
      <c r="B113" s="2" t="s">
        <v>245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>
        <v>1</v>
      </c>
      <c r="P113" s="3"/>
      <c r="Q113" s="3"/>
      <c r="R113" s="3"/>
      <c r="S113" s="3"/>
      <c r="T113" s="3"/>
      <c r="U113" s="3"/>
      <c r="V113" s="3"/>
    </row>
    <row r="114" spans="1:22" x14ac:dyDescent="0.25">
      <c r="A114" s="2" t="s">
        <v>246</v>
      </c>
      <c r="B114" s="2" t="s">
        <v>247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>
        <v>183</v>
      </c>
      <c r="P114" s="4">
        <v>169</v>
      </c>
      <c r="Q114" s="4">
        <v>174</v>
      </c>
      <c r="R114" s="4">
        <v>167</v>
      </c>
      <c r="S114" s="4">
        <v>204</v>
      </c>
      <c r="T114" s="4">
        <v>195</v>
      </c>
      <c r="U114" s="4">
        <v>184</v>
      </c>
      <c r="V114" s="4">
        <v>41</v>
      </c>
    </row>
    <row r="115" spans="1:22" x14ac:dyDescent="0.25">
      <c r="A115" s="2" t="s">
        <v>248</v>
      </c>
      <c r="B115" s="2" t="s">
        <v>249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4">
        <v>725</v>
      </c>
      <c r="O115" s="4">
        <v>736</v>
      </c>
      <c r="P115" s="4">
        <v>625</v>
      </c>
      <c r="Q115" s="4">
        <v>663</v>
      </c>
      <c r="R115" s="4">
        <v>630</v>
      </c>
      <c r="S115" s="4">
        <v>736</v>
      </c>
      <c r="T115" s="4">
        <v>769</v>
      </c>
      <c r="U115" s="4">
        <v>762</v>
      </c>
      <c r="V115" s="4">
        <v>253</v>
      </c>
    </row>
    <row r="116" spans="1:22" x14ac:dyDescent="0.25">
      <c r="A116" s="2" t="s">
        <v>250</v>
      </c>
      <c r="B116" s="2" t="s">
        <v>251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>
        <v>12</v>
      </c>
      <c r="N116" s="4">
        <v>750</v>
      </c>
      <c r="O116" s="4">
        <v>768</v>
      </c>
      <c r="P116" s="4">
        <v>675</v>
      </c>
      <c r="Q116" s="4">
        <v>667</v>
      </c>
      <c r="R116" s="4">
        <v>669</v>
      </c>
      <c r="S116" s="4">
        <v>735</v>
      </c>
      <c r="T116" s="4">
        <v>732</v>
      </c>
      <c r="U116" s="4">
        <v>652</v>
      </c>
      <c r="V116" s="4">
        <v>230</v>
      </c>
    </row>
    <row r="117" spans="1:22" x14ac:dyDescent="0.25">
      <c r="A117" s="2" t="s">
        <v>252</v>
      </c>
      <c r="B117" s="2" t="s">
        <v>253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>
        <v>25</v>
      </c>
      <c r="N117" s="4">
        <v>16</v>
      </c>
      <c r="O117" s="4">
        <v>19</v>
      </c>
      <c r="P117" s="4">
        <v>16</v>
      </c>
      <c r="Q117" s="4">
        <v>25</v>
      </c>
      <c r="R117" s="4">
        <v>23</v>
      </c>
      <c r="S117" s="4">
        <v>17</v>
      </c>
      <c r="T117" s="4">
        <v>20</v>
      </c>
      <c r="U117" s="4">
        <v>25</v>
      </c>
      <c r="V117" s="4">
        <v>5</v>
      </c>
    </row>
    <row r="118" spans="1:22" x14ac:dyDescent="0.25">
      <c r="A118" s="2" t="s">
        <v>254</v>
      </c>
      <c r="B118" s="2" t="s">
        <v>255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>
        <v>4</v>
      </c>
      <c r="P118" s="4">
        <v>2</v>
      </c>
      <c r="Q118" s="4">
        <v>2</v>
      </c>
      <c r="R118" s="4">
        <v>1</v>
      </c>
      <c r="S118" s="4">
        <v>5</v>
      </c>
      <c r="T118" s="4">
        <v>4</v>
      </c>
      <c r="U118" s="4">
        <v>4</v>
      </c>
      <c r="V118" s="3"/>
    </row>
    <row r="119" spans="1:22" x14ac:dyDescent="0.25">
      <c r="A119" s="2" t="s">
        <v>256</v>
      </c>
      <c r="B119" s="2" t="s">
        <v>257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>
        <v>19</v>
      </c>
      <c r="P119" s="4">
        <v>11</v>
      </c>
      <c r="Q119" s="4">
        <v>14</v>
      </c>
      <c r="R119" s="4">
        <v>17</v>
      </c>
      <c r="S119" s="4">
        <v>5</v>
      </c>
      <c r="T119" s="3"/>
      <c r="U119" s="3"/>
      <c r="V119" s="3"/>
    </row>
    <row r="120" spans="1:22" x14ac:dyDescent="0.25">
      <c r="A120" s="2" t="s">
        <v>258</v>
      </c>
      <c r="B120" s="2" t="s">
        <v>259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>
        <v>1</v>
      </c>
      <c r="N120" s="4">
        <v>13</v>
      </c>
      <c r="O120" s="4">
        <v>16</v>
      </c>
      <c r="P120" s="4">
        <v>15</v>
      </c>
      <c r="Q120" s="4">
        <v>15</v>
      </c>
      <c r="R120" s="4">
        <v>13</v>
      </c>
      <c r="S120" s="4">
        <v>14</v>
      </c>
      <c r="T120" s="4">
        <v>24</v>
      </c>
      <c r="U120" s="4">
        <v>13</v>
      </c>
      <c r="V120" s="3"/>
    </row>
    <row r="121" spans="1:22" x14ac:dyDescent="0.25">
      <c r="A121" s="2" t="s">
        <v>260</v>
      </c>
      <c r="B121" s="2" t="s">
        <v>261</v>
      </c>
      <c r="C121" s="4">
        <v>1</v>
      </c>
      <c r="D121" s="4">
        <v>4</v>
      </c>
      <c r="E121" s="4">
        <v>2</v>
      </c>
      <c r="F121" s="4">
        <v>2</v>
      </c>
      <c r="G121" s="4">
        <v>4</v>
      </c>
      <c r="H121" s="4">
        <v>4</v>
      </c>
      <c r="I121" s="4">
        <v>4</v>
      </c>
      <c r="J121" s="4">
        <v>274</v>
      </c>
      <c r="K121" s="4">
        <v>307</v>
      </c>
      <c r="L121" s="4">
        <v>284</v>
      </c>
      <c r="M121" s="4">
        <v>277</v>
      </c>
      <c r="N121" s="4">
        <v>280</v>
      </c>
      <c r="O121" s="4">
        <v>302</v>
      </c>
      <c r="P121" s="4">
        <v>221</v>
      </c>
      <c r="Q121" s="4">
        <v>326</v>
      </c>
      <c r="R121" s="4">
        <v>313</v>
      </c>
      <c r="S121" s="4">
        <v>366</v>
      </c>
      <c r="T121" s="4">
        <v>332</v>
      </c>
      <c r="U121" s="4">
        <v>317</v>
      </c>
      <c r="V121" s="4">
        <v>97</v>
      </c>
    </row>
    <row r="122" spans="1:22" x14ac:dyDescent="0.25">
      <c r="A122" s="2" t="s">
        <v>262</v>
      </c>
      <c r="B122" s="2" t="s">
        <v>263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x14ac:dyDescent="0.25">
      <c r="A123" s="2" t="s">
        <v>264</v>
      </c>
      <c r="B123" s="2" t="s">
        <v>265</v>
      </c>
      <c r="C123" s="3"/>
      <c r="D123" s="3"/>
      <c r="E123" s="3"/>
      <c r="F123" s="3"/>
      <c r="G123" s="3"/>
      <c r="H123" s="3"/>
      <c r="I123" s="3"/>
      <c r="J123" s="3"/>
      <c r="K123" s="3"/>
      <c r="L123" s="4">
        <v>10</v>
      </c>
      <c r="M123" s="4">
        <v>9</v>
      </c>
      <c r="N123" s="4">
        <v>9</v>
      </c>
      <c r="O123" s="4">
        <v>8</v>
      </c>
      <c r="P123" s="4">
        <v>7</v>
      </c>
      <c r="Q123" s="4">
        <v>7</v>
      </c>
      <c r="R123" s="3"/>
      <c r="S123" s="3"/>
      <c r="T123" s="3"/>
      <c r="U123" s="3"/>
      <c r="V123" s="3"/>
    </row>
    <row r="124" spans="1:22" x14ac:dyDescent="0.25">
      <c r="A124" s="2" t="s">
        <v>266</v>
      </c>
      <c r="B124" s="2" t="s">
        <v>267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4">
        <v>21</v>
      </c>
      <c r="O124" s="4">
        <v>17</v>
      </c>
      <c r="P124" s="4">
        <v>15</v>
      </c>
      <c r="Q124" s="4">
        <v>21</v>
      </c>
      <c r="R124" s="4">
        <v>25</v>
      </c>
      <c r="S124" s="4">
        <v>16</v>
      </c>
      <c r="T124" s="4">
        <v>31</v>
      </c>
      <c r="U124" s="4">
        <v>31</v>
      </c>
      <c r="V124" s="4">
        <v>10</v>
      </c>
    </row>
    <row r="125" spans="1:22" x14ac:dyDescent="0.25">
      <c r="A125" s="2" t="s">
        <v>268</v>
      </c>
      <c r="B125" s="2" t="s">
        <v>269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25">
      <c r="A126" s="2" t="s">
        <v>270</v>
      </c>
      <c r="B126" s="2" t="s">
        <v>271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>
        <v>7</v>
      </c>
      <c r="P126" s="4">
        <v>5</v>
      </c>
      <c r="Q126" s="4">
        <v>9</v>
      </c>
      <c r="R126" s="4">
        <v>8</v>
      </c>
      <c r="S126" s="4">
        <v>6</v>
      </c>
      <c r="T126" s="4">
        <v>7</v>
      </c>
      <c r="U126" s="3"/>
      <c r="V126" s="3"/>
    </row>
    <row r="127" spans="1:22" x14ac:dyDescent="0.25">
      <c r="A127" s="2" t="s">
        <v>272</v>
      </c>
      <c r="B127" s="2" t="s">
        <v>273</v>
      </c>
      <c r="C127" s="4">
        <v>2</v>
      </c>
      <c r="D127" s="3"/>
      <c r="E127" s="3"/>
      <c r="F127" s="3"/>
      <c r="G127" s="3"/>
      <c r="H127" s="3"/>
      <c r="I127" s="3"/>
      <c r="J127" s="3"/>
      <c r="K127" s="3"/>
      <c r="L127" s="4">
        <v>17</v>
      </c>
      <c r="M127" s="4">
        <v>6</v>
      </c>
      <c r="N127" s="4">
        <v>14</v>
      </c>
      <c r="O127" s="4">
        <v>16</v>
      </c>
      <c r="P127" s="4">
        <v>17</v>
      </c>
      <c r="Q127" s="4">
        <v>15</v>
      </c>
      <c r="R127" s="4">
        <v>13</v>
      </c>
      <c r="S127" s="4">
        <v>15</v>
      </c>
      <c r="T127" s="4">
        <v>21</v>
      </c>
      <c r="U127" s="4">
        <v>26</v>
      </c>
      <c r="V127" s="4">
        <v>9</v>
      </c>
    </row>
    <row r="128" spans="1:22" x14ac:dyDescent="0.25">
      <c r="A128" s="2" t="s">
        <v>274</v>
      </c>
      <c r="B128" s="2" t="s">
        <v>275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>
        <v>22</v>
      </c>
      <c r="O128" s="4">
        <v>15</v>
      </c>
      <c r="P128" s="4">
        <v>19</v>
      </c>
      <c r="Q128" s="4">
        <v>21</v>
      </c>
      <c r="R128" s="4">
        <v>10</v>
      </c>
      <c r="S128" s="4">
        <v>10</v>
      </c>
      <c r="T128" s="3"/>
      <c r="U128" s="3"/>
      <c r="V128" s="3"/>
    </row>
    <row r="129" spans="1:22" x14ac:dyDescent="0.25">
      <c r="A129" s="2" t="s">
        <v>276</v>
      </c>
      <c r="B129" s="2" t="s">
        <v>277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>
        <v>14</v>
      </c>
      <c r="N129" s="4">
        <v>30</v>
      </c>
      <c r="O129" s="4">
        <v>31</v>
      </c>
      <c r="P129" s="4">
        <v>27</v>
      </c>
      <c r="Q129" s="4">
        <v>33</v>
      </c>
      <c r="R129" s="4">
        <v>36</v>
      </c>
      <c r="S129" s="4">
        <v>21</v>
      </c>
      <c r="T129" s="4">
        <v>34</v>
      </c>
      <c r="U129" s="4">
        <v>44</v>
      </c>
      <c r="V129" s="4">
        <v>6</v>
      </c>
    </row>
    <row r="130" spans="1:22" x14ac:dyDescent="0.25">
      <c r="A130" s="2" t="s">
        <v>278</v>
      </c>
      <c r="B130" s="2" t="s">
        <v>279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x14ac:dyDescent="0.25">
      <c r="A131" s="2" t="s">
        <v>280</v>
      </c>
      <c r="B131" s="2" t="s">
        <v>281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x14ac:dyDescent="0.25">
      <c r="A132" s="2" t="s">
        <v>282</v>
      </c>
      <c r="B132" s="2" t="s">
        <v>283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>
        <v>2</v>
      </c>
      <c r="P132" s="4">
        <v>4</v>
      </c>
      <c r="Q132" s="3"/>
      <c r="R132" s="4">
        <v>1</v>
      </c>
      <c r="S132" s="3"/>
      <c r="T132" s="3"/>
      <c r="U132" s="3"/>
      <c r="V132" s="3"/>
    </row>
    <row r="133" spans="1:22" x14ac:dyDescent="0.25">
      <c r="A133" s="2" t="s">
        <v>284</v>
      </c>
      <c r="B133" s="2" t="s">
        <v>285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4">
        <v>21</v>
      </c>
      <c r="O133" s="4">
        <v>25</v>
      </c>
      <c r="P133" s="4">
        <v>20</v>
      </c>
      <c r="Q133" s="4">
        <v>30</v>
      </c>
      <c r="R133" s="4">
        <v>29</v>
      </c>
      <c r="S133" s="4">
        <v>33</v>
      </c>
      <c r="T133" s="4">
        <v>38</v>
      </c>
      <c r="U133" s="4">
        <v>44</v>
      </c>
      <c r="V133" s="3"/>
    </row>
    <row r="134" spans="1:22" x14ac:dyDescent="0.25">
      <c r="A134" s="2" t="s">
        <v>286</v>
      </c>
      <c r="B134" s="2" t="s">
        <v>287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>
        <v>152</v>
      </c>
      <c r="P134" s="4">
        <v>89</v>
      </c>
      <c r="Q134" s="4">
        <v>124</v>
      </c>
      <c r="R134" s="4">
        <v>125</v>
      </c>
      <c r="S134" s="4">
        <v>121</v>
      </c>
      <c r="T134" s="4">
        <v>89</v>
      </c>
      <c r="U134" s="4">
        <v>147</v>
      </c>
      <c r="V134" s="4">
        <v>7</v>
      </c>
    </row>
    <row r="135" spans="1:22" x14ac:dyDescent="0.25">
      <c r="A135" s="2" t="s">
        <v>288</v>
      </c>
      <c r="B135" s="2" t="s">
        <v>289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4">
        <v>1</v>
      </c>
      <c r="O135" s="4">
        <v>40</v>
      </c>
      <c r="P135" s="4">
        <v>39</v>
      </c>
      <c r="Q135" s="4">
        <v>50</v>
      </c>
      <c r="R135" s="4">
        <v>34</v>
      </c>
      <c r="S135" s="4">
        <v>58</v>
      </c>
      <c r="T135" s="4">
        <v>46</v>
      </c>
      <c r="U135" s="4">
        <v>57</v>
      </c>
      <c r="V135" s="4">
        <v>11</v>
      </c>
    </row>
    <row r="136" spans="1:22" x14ac:dyDescent="0.25">
      <c r="A136" s="2" t="s">
        <v>290</v>
      </c>
      <c r="B136" s="2" t="s">
        <v>291</v>
      </c>
      <c r="C136" s="3"/>
      <c r="D136" s="3"/>
      <c r="E136" s="3"/>
      <c r="F136" s="3"/>
      <c r="G136" s="3"/>
      <c r="H136" s="3"/>
      <c r="I136" s="4">
        <v>27</v>
      </c>
      <c r="J136" s="4">
        <v>22</v>
      </c>
      <c r="K136" s="4">
        <v>14</v>
      </c>
      <c r="L136" s="4">
        <v>26</v>
      </c>
      <c r="M136" s="4">
        <v>22</v>
      </c>
      <c r="N136" s="4">
        <v>28</v>
      </c>
      <c r="O136" s="4">
        <v>8</v>
      </c>
      <c r="P136" s="4">
        <v>4</v>
      </c>
      <c r="Q136" s="4">
        <v>8</v>
      </c>
      <c r="R136" s="4">
        <v>2</v>
      </c>
      <c r="S136" s="4">
        <v>3</v>
      </c>
      <c r="T136" s="4">
        <v>3</v>
      </c>
      <c r="U136" s="4">
        <v>13</v>
      </c>
      <c r="V136" s="3"/>
    </row>
    <row r="137" spans="1:22" x14ac:dyDescent="0.25">
      <c r="A137" s="2" t="s">
        <v>292</v>
      </c>
      <c r="B137" s="2" t="s">
        <v>293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x14ac:dyDescent="0.25">
      <c r="A138" s="2" t="s">
        <v>294</v>
      </c>
      <c r="B138" s="2" t="s">
        <v>295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>
        <v>14</v>
      </c>
      <c r="Q138" s="4">
        <v>27</v>
      </c>
      <c r="R138" s="4">
        <v>27</v>
      </c>
      <c r="S138" s="4">
        <v>17</v>
      </c>
      <c r="T138" s="4">
        <v>30</v>
      </c>
      <c r="U138" s="4">
        <v>22</v>
      </c>
      <c r="V138" s="4">
        <v>3</v>
      </c>
    </row>
    <row r="139" spans="1:22" x14ac:dyDescent="0.25">
      <c r="A139" s="2" t="s">
        <v>296</v>
      </c>
      <c r="B139" s="2" t="s">
        <v>297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>
        <v>8</v>
      </c>
      <c r="P139" s="4">
        <v>5</v>
      </c>
      <c r="Q139" s="4">
        <v>12</v>
      </c>
      <c r="R139" s="4">
        <v>8</v>
      </c>
      <c r="S139" s="4">
        <v>5</v>
      </c>
      <c r="T139" s="3"/>
      <c r="U139" s="3"/>
      <c r="V139" s="3"/>
    </row>
    <row r="140" spans="1:22" x14ac:dyDescent="0.25">
      <c r="A140" s="2" t="s">
        <v>298</v>
      </c>
      <c r="B140" s="2" t="s">
        <v>299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>
        <v>11</v>
      </c>
      <c r="P140" s="4">
        <v>8</v>
      </c>
      <c r="Q140" s="4">
        <v>3</v>
      </c>
      <c r="R140" s="4">
        <v>8</v>
      </c>
      <c r="S140" s="4">
        <v>8</v>
      </c>
      <c r="T140" s="4">
        <v>7</v>
      </c>
      <c r="U140" s="4">
        <v>10</v>
      </c>
      <c r="V140" s="4">
        <v>4</v>
      </c>
    </row>
    <row r="141" spans="1:22" x14ac:dyDescent="0.25">
      <c r="A141" s="2" t="s">
        <v>300</v>
      </c>
      <c r="B141" s="2" t="s">
        <v>301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>
        <v>1</v>
      </c>
      <c r="N141" s="4">
        <v>29</v>
      </c>
      <c r="O141" s="4">
        <v>194</v>
      </c>
      <c r="P141" s="4">
        <v>201</v>
      </c>
      <c r="Q141" s="4">
        <v>185</v>
      </c>
      <c r="R141" s="4">
        <v>185</v>
      </c>
      <c r="S141" s="4">
        <v>231</v>
      </c>
      <c r="T141" s="4">
        <v>219</v>
      </c>
      <c r="U141" s="4">
        <v>255</v>
      </c>
      <c r="V141" s="4">
        <v>65</v>
      </c>
    </row>
    <row r="142" spans="1:22" x14ac:dyDescent="0.25">
      <c r="A142" s="2" t="s">
        <v>302</v>
      </c>
      <c r="B142" s="2" t="s">
        <v>303</v>
      </c>
      <c r="C142" s="3"/>
      <c r="D142" s="3"/>
      <c r="E142" s="3"/>
      <c r="F142" s="3"/>
      <c r="G142" s="3"/>
      <c r="H142" s="3"/>
      <c r="I142" s="3"/>
      <c r="J142" s="3"/>
      <c r="K142" s="4">
        <v>1</v>
      </c>
      <c r="L142" s="3"/>
      <c r="M142" s="3"/>
      <c r="N142" s="3"/>
      <c r="O142" s="4">
        <v>32</v>
      </c>
      <c r="P142" s="4">
        <v>22</v>
      </c>
      <c r="Q142" s="4">
        <v>26</v>
      </c>
      <c r="R142" s="4">
        <v>33</v>
      </c>
      <c r="S142" s="4">
        <v>34</v>
      </c>
      <c r="T142" s="4">
        <v>17</v>
      </c>
      <c r="U142" s="4">
        <v>10</v>
      </c>
      <c r="V142" s="4">
        <v>1</v>
      </c>
    </row>
    <row r="143" spans="1:22" x14ac:dyDescent="0.25">
      <c r="A143" s="2" t="s">
        <v>304</v>
      </c>
      <c r="B143" s="2" t="s">
        <v>305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>
        <v>4</v>
      </c>
      <c r="P143" s="4">
        <v>4</v>
      </c>
      <c r="Q143" s="4">
        <v>4</v>
      </c>
      <c r="R143" s="3"/>
      <c r="S143" s="3"/>
      <c r="T143" s="3"/>
      <c r="U143" s="3"/>
      <c r="V143" s="3"/>
    </row>
    <row r="144" spans="1:22" x14ac:dyDescent="0.25">
      <c r="A144" s="2" t="s">
        <v>306</v>
      </c>
      <c r="B144" s="2" t="s">
        <v>307</v>
      </c>
      <c r="C144" s="3"/>
      <c r="D144" s="3"/>
      <c r="E144" s="3"/>
      <c r="F144" s="3"/>
      <c r="G144" s="3"/>
      <c r="H144" s="3"/>
      <c r="I144" s="3"/>
      <c r="J144" s="3"/>
      <c r="K144" s="3"/>
      <c r="L144" s="4">
        <v>6</v>
      </c>
      <c r="M144" s="4">
        <v>17</v>
      </c>
      <c r="N144" s="4">
        <v>12</v>
      </c>
      <c r="O144" s="4">
        <v>11</v>
      </c>
      <c r="P144" s="4">
        <v>5</v>
      </c>
      <c r="Q144" s="4">
        <v>11</v>
      </c>
      <c r="R144" s="4">
        <v>19</v>
      </c>
      <c r="S144" s="4">
        <v>12</v>
      </c>
      <c r="T144" s="4">
        <v>9</v>
      </c>
      <c r="U144" s="4">
        <v>16</v>
      </c>
      <c r="V144" s="4">
        <v>3</v>
      </c>
    </row>
    <row r="145" spans="1:22" x14ac:dyDescent="0.25">
      <c r="A145" s="2" t="s">
        <v>308</v>
      </c>
      <c r="B145" s="2" t="s">
        <v>309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>
        <v>7</v>
      </c>
      <c r="P145" s="4">
        <v>4</v>
      </c>
      <c r="Q145" s="4">
        <v>2</v>
      </c>
      <c r="R145" s="3"/>
      <c r="S145" s="3"/>
      <c r="T145" s="3"/>
      <c r="U145" s="3"/>
      <c r="V145" s="3"/>
    </row>
    <row r="146" spans="1:22" x14ac:dyDescent="0.25">
      <c r="A146" s="2" t="s">
        <v>310</v>
      </c>
      <c r="B146" s="2" t="s">
        <v>311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25">
      <c r="A147" s="2" t="s">
        <v>312</v>
      </c>
      <c r="B147" s="2" t="s">
        <v>313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25">
      <c r="A148" s="2" t="s">
        <v>314</v>
      </c>
      <c r="B148" s="2" t="s">
        <v>315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25">
      <c r="A149" s="2" t="s">
        <v>316</v>
      </c>
      <c r="B149" s="2" t="s">
        <v>317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>
        <v>289</v>
      </c>
      <c r="P149" s="4">
        <v>240</v>
      </c>
      <c r="Q149" s="4">
        <v>268</v>
      </c>
      <c r="R149" s="4">
        <v>243</v>
      </c>
      <c r="S149" s="4">
        <v>273</v>
      </c>
      <c r="T149" s="4">
        <v>308</v>
      </c>
      <c r="U149" s="4">
        <v>292</v>
      </c>
      <c r="V149" s="4">
        <v>88</v>
      </c>
    </row>
    <row r="150" spans="1:22" x14ac:dyDescent="0.25">
      <c r="A150" s="2" t="s">
        <v>318</v>
      </c>
      <c r="B150" s="2" t="s">
        <v>319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>
        <v>10</v>
      </c>
      <c r="P150" s="4">
        <v>19</v>
      </c>
      <c r="Q150" s="4">
        <v>20</v>
      </c>
      <c r="R150" s="3"/>
      <c r="S150" s="4">
        <v>1</v>
      </c>
      <c r="T150" s="3"/>
      <c r="U150" s="3"/>
      <c r="V150" s="3"/>
    </row>
    <row r="151" spans="1:22" x14ac:dyDescent="0.25">
      <c r="A151" s="2" t="s">
        <v>320</v>
      </c>
      <c r="B151" s="2" t="s">
        <v>321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>
        <v>13</v>
      </c>
      <c r="P151" s="4">
        <v>13</v>
      </c>
      <c r="Q151" s="4">
        <v>13</v>
      </c>
      <c r="R151" s="4">
        <v>18</v>
      </c>
      <c r="S151" s="4">
        <v>15</v>
      </c>
      <c r="T151" s="4">
        <v>22</v>
      </c>
      <c r="U151" s="4">
        <v>13</v>
      </c>
      <c r="V151" s="4">
        <v>2</v>
      </c>
    </row>
    <row r="152" spans="1:22" x14ac:dyDescent="0.25">
      <c r="A152" s="2" t="s">
        <v>322</v>
      </c>
      <c r="B152" s="2" t="s">
        <v>323</v>
      </c>
      <c r="C152" s="3"/>
      <c r="D152" s="3"/>
      <c r="E152" s="3"/>
      <c r="F152" s="3"/>
      <c r="G152" s="3"/>
      <c r="H152" s="3"/>
      <c r="I152" s="3"/>
      <c r="J152" s="3"/>
      <c r="K152" s="4">
        <v>1</v>
      </c>
      <c r="L152" s="3"/>
      <c r="M152" s="4">
        <v>3</v>
      </c>
      <c r="N152" s="4">
        <v>676</v>
      </c>
      <c r="O152" s="4">
        <v>666</v>
      </c>
      <c r="P152" s="4">
        <v>609</v>
      </c>
      <c r="Q152" s="4">
        <v>681</v>
      </c>
      <c r="R152" s="4">
        <v>643</v>
      </c>
      <c r="S152" s="4">
        <v>736</v>
      </c>
      <c r="T152" s="4">
        <v>672</v>
      </c>
      <c r="U152" s="4">
        <v>705</v>
      </c>
      <c r="V152" s="4">
        <v>241</v>
      </c>
    </row>
    <row r="153" spans="1:22" x14ac:dyDescent="0.25">
      <c r="A153" s="2" t="s">
        <v>324</v>
      </c>
      <c r="B153" s="2" t="s">
        <v>325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>
        <v>8</v>
      </c>
      <c r="R153" s="4">
        <v>11</v>
      </c>
      <c r="S153" s="4">
        <v>13</v>
      </c>
      <c r="T153" s="4">
        <v>13</v>
      </c>
      <c r="U153" s="3"/>
      <c r="V153" s="3"/>
    </row>
    <row r="154" spans="1:22" x14ac:dyDescent="0.25">
      <c r="A154" s="2" t="s">
        <v>326</v>
      </c>
      <c r="B154" s="2" t="s">
        <v>327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25">
      <c r="A155" s="2" t="s">
        <v>328</v>
      </c>
      <c r="B155" s="2" t="s">
        <v>329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4">
        <v>6</v>
      </c>
      <c r="O155" s="4">
        <v>1213</v>
      </c>
      <c r="P155" s="4">
        <v>1100</v>
      </c>
      <c r="Q155" s="4">
        <v>1158</v>
      </c>
      <c r="R155" s="4">
        <v>1191</v>
      </c>
      <c r="S155" s="4">
        <v>1321</v>
      </c>
      <c r="T155" s="4">
        <v>1196</v>
      </c>
      <c r="U155" s="4">
        <v>1282</v>
      </c>
      <c r="V155" s="4">
        <v>417</v>
      </c>
    </row>
    <row r="156" spans="1:22" x14ac:dyDescent="0.25">
      <c r="A156" s="2" t="s">
        <v>330</v>
      </c>
      <c r="B156" s="2" t="s">
        <v>331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>
        <v>1</v>
      </c>
      <c r="P156" s="4">
        <v>26</v>
      </c>
      <c r="Q156" s="4">
        <v>31</v>
      </c>
      <c r="R156" s="4">
        <v>49</v>
      </c>
      <c r="S156" s="4">
        <v>50</v>
      </c>
      <c r="T156" s="4">
        <v>41</v>
      </c>
      <c r="U156" s="4">
        <v>48</v>
      </c>
      <c r="V156" s="4">
        <v>14</v>
      </c>
    </row>
    <row r="157" spans="1:22" x14ac:dyDescent="0.25">
      <c r="A157" s="2" t="s">
        <v>332</v>
      </c>
      <c r="B157" s="2" t="s">
        <v>333</v>
      </c>
      <c r="C157" s="3"/>
      <c r="D157" s="3"/>
      <c r="E157" s="3"/>
      <c r="F157" s="3"/>
      <c r="G157" s="3"/>
      <c r="H157" s="3"/>
      <c r="I157" s="3"/>
      <c r="J157" s="3"/>
      <c r="K157" s="4">
        <v>2</v>
      </c>
      <c r="L157" s="4">
        <v>6</v>
      </c>
      <c r="M157" s="4">
        <v>12</v>
      </c>
      <c r="N157" s="4">
        <v>109</v>
      </c>
      <c r="O157" s="4">
        <v>767</v>
      </c>
      <c r="P157" s="4">
        <v>648</v>
      </c>
      <c r="Q157" s="4">
        <v>683</v>
      </c>
      <c r="R157" s="4">
        <v>723</v>
      </c>
      <c r="S157" s="4">
        <v>739</v>
      </c>
      <c r="T157" s="4">
        <v>766</v>
      </c>
      <c r="U157" s="4">
        <v>785</v>
      </c>
      <c r="V157" s="4">
        <v>81</v>
      </c>
    </row>
    <row r="158" spans="1:22" x14ac:dyDescent="0.25">
      <c r="A158" s="2" t="s">
        <v>334</v>
      </c>
      <c r="B158" s="2" t="s">
        <v>335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25">
      <c r="A159" s="2" t="s">
        <v>336</v>
      </c>
      <c r="B159" s="2" t="s">
        <v>337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>
        <v>2</v>
      </c>
      <c r="N159" s="4">
        <v>27</v>
      </c>
      <c r="O159" s="4">
        <v>18</v>
      </c>
      <c r="P159" s="4">
        <v>19</v>
      </c>
      <c r="Q159" s="4">
        <v>18</v>
      </c>
      <c r="R159" s="4">
        <v>21</v>
      </c>
      <c r="S159" s="4">
        <v>26</v>
      </c>
      <c r="T159" s="4">
        <v>18</v>
      </c>
      <c r="U159" s="4">
        <v>26</v>
      </c>
      <c r="V159" s="4">
        <v>3</v>
      </c>
    </row>
    <row r="160" spans="1:22" x14ac:dyDescent="0.25">
      <c r="A160" s="2" t="s">
        <v>338</v>
      </c>
      <c r="B160" s="2" t="s">
        <v>339</v>
      </c>
      <c r="C160" s="3"/>
      <c r="D160" s="3"/>
      <c r="E160" s="3"/>
      <c r="F160" s="3"/>
      <c r="G160" s="3"/>
      <c r="H160" s="3"/>
      <c r="I160" s="3"/>
      <c r="J160" s="4">
        <v>1</v>
      </c>
      <c r="K160" s="4">
        <v>1</v>
      </c>
      <c r="L160" s="4">
        <v>429</v>
      </c>
      <c r="M160" s="4">
        <v>388</v>
      </c>
      <c r="N160" s="4">
        <v>420</v>
      </c>
      <c r="O160" s="4">
        <v>383</v>
      </c>
      <c r="P160" s="4">
        <v>349</v>
      </c>
      <c r="Q160" s="4">
        <v>391</v>
      </c>
      <c r="R160" s="4">
        <v>418</v>
      </c>
      <c r="S160" s="4">
        <v>433</v>
      </c>
      <c r="T160" s="4">
        <v>409</v>
      </c>
      <c r="U160" s="4">
        <v>434</v>
      </c>
      <c r="V160" s="4">
        <v>153</v>
      </c>
    </row>
    <row r="161" spans="1:22" x14ac:dyDescent="0.25">
      <c r="A161" s="2" t="s">
        <v>340</v>
      </c>
      <c r="B161" s="2" t="s">
        <v>341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4">
        <v>382</v>
      </c>
      <c r="O161" s="4">
        <v>424</v>
      </c>
      <c r="P161" s="4">
        <v>359</v>
      </c>
      <c r="Q161" s="4">
        <v>364</v>
      </c>
      <c r="R161" s="4">
        <v>341</v>
      </c>
      <c r="S161" s="4">
        <v>363</v>
      </c>
      <c r="T161" s="4">
        <v>362</v>
      </c>
      <c r="U161" s="4">
        <v>437</v>
      </c>
      <c r="V161" s="4">
        <v>115</v>
      </c>
    </row>
    <row r="162" spans="1:22" x14ac:dyDescent="0.25">
      <c r="A162" s="2" t="s">
        <v>342</v>
      </c>
      <c r="B162" s="2" t="s">
        <v>343</v>
      </c>
      <c r="C162" s="3"/>
      <c r="D162" s="3"/>
      <c r="E162" s="3"/>
      <c r="F162" s="3"/>
      <c r="G162" s="3"/>
      <c r="H162" s="3"/>
      <c r="I162" s="3"/>
      <c r="J162" s="3"/>
      <c r="K162" s="3"/>
      <c r="L162" s="5" t="s">
        <v>344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25">
      <c r="A163" s="2" t="s">
        <v>345</v>
      </c>
      <c r="B163" s="2" t="s">
        <v>346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25">
      <c r="A164" s="2" t="s">
        <v>347</v>
      </c>
      <c r="B164" s="2" t="s">
        <v>348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>
        <v>553</v>
      </c>
      <c r="P164" s="4">
        <v>528</v>
      </c>
      <c r="Q164" s="4">
        <v>580</v>
      </c>
      <c r="R164" s="4">
        <v>562</v>
      </c>
      <c r="S164" s="4">
        <v>675</v>
      </c>
      <c r="T164" s="4">
        <v>632</v>
      </c>
      <c r="U164" s="4">
        <v>582</v>
      </c>
      <c r="V164" s="4">
        <v>205</v>
      </c>
    </row>
    <row r="165" spans="1:22" x14ac:dyDescent="0.25">
      <c r="A165" s="2" t="s">
        <v>349</v>
      </c>
      <c r="B165" s="2" t="s">
        <v>350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25">
      <c r="A166" s="2" t="s">
        <v>351</v>
      </c>
      <c r="B166" s="2" t="s">
        <v>352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4">
        <v>13</v>
      </c>
      <c r="O166" s="4">
        <v>25</v>
      </c>
      <c r="P166" s="4">
        <v>6</v>
      </c>
      <c r="Q166" s="4">
        <v>17</v>
      </c>
      <c r="R166" s="4">
        <v>40</v>
      </c>
      <c r="S166" s="4">
        <v>16</v>
      </c>
      <c r="T166" s="4">
        <v>24</v>
      </c>
      <c r="U166" s="4">
        <v>6</v>
      </c>
      <c r="V166" s="3"/>
    </row>
    <row r="167" spans="1:22" x14ac:dyDescent="0.25">
      <c r="A167" s="2" t="s">
        <v>353</v>
      </c>
      <c r="B167" s="2" t="s">
        <v>354</v>
      </c>
      <c r="C167" s="4">
        <v>16</v>
      </c>
      <c r="D167" s="4">
        <v>14</v>
      </c>
      <c r="E167" s="4">
        <v>15</v>
      </c>
      <c r="F167" s="4">
        <v>18</v>
      </c>
      <c r="G167" s="4">
        <v>84</v>
      </c>
      <c r="H167" s="4">
        <v>56</v>
      </c>
      <c r="I167" s="4">
        <v>1884</v>
      </c>
      <c r="J167" s="4">
        <v>1662</v>
      </c>
      <c r="K167" s="4">
        <v>2084</v>
      </c>
      <c r="L167" s="4">
        <v>2036</v>
      </c>
      <c r="M167" s="4">
        <v>1877</v>
      </c>
      <c r="N167" s="4">
        <v>2162</v>
      </c>
      <c r="O167" s="4">
        <v>2096</v>
      </c>
      <c r="P167" s="4">
        <v>1885</v>
      </c>
      <c r="Q167" s="4">
        <v>2243</v>
      </c>
      <c r="R167" s="4">
        <v>2266</v>
      </c>
      <c r="S167" s="4">
        <v>2290</v>
      </c>
      <c r="T167" s="4">
        <v>2369</v>
      </c>
      <c r="U167" s="4">
        <v>2361</v>
      </c>
      <c r="V167" s="4">
        <v>476</v>
      </c>
    </row>
    <row r="168" spans="1:22" x14ac:dyDescent="0.25">
      <c r="A168" s="2" t="s">
        <v>355</v>
      </c>
      <c r="B168" s="2" t="s">
        <v>356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4">
        <v>169</v>
      </c>
      <c r="O168" s="4">
        <v>181</v>
      </c>
      <c r="P168" s="4">
        <v>136</v>
      </c>
      <c r="Q168" s="4">
        <v>155</v>
      </c>
      <c r="R168" s="4">
        <v>159</v>
      </c>
      <c r="S168" s="4">
        <v>188</v>
      </c>
      <c r="T168" s="4">
        <v>193</v>
      </c>
      <c r="U168" s="4">
        <v>196</v>
      </c>
      <c r="V168" s="4">
        <v>50</v>
      </c>
    </row>
    <row r="169" spans="1:22" x14ac:dyDescent="0.25">
      <c r="A169" s="2" t="s">
        <v>357</v>
      </c>
      <c r="B169" s="2" t="s">
        <v>358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>
        <v>287</v>
      </c>
      <c r="N169" s="4">
        <v>324</v>
      </c>
      <c r="O169" s="4">
        <v>321</v>
      </c>
      <c r="P169" s="4">
        <v>245</v>
      </c>
      <c r="Q169" s="4">
        <v>291</v>
      </c>
      <c r="R169" s="4">
        <v>319</v>
      </c>
      <c r="S169" s="4">
        <v>302</v>
      </c>
      <c r="T169" s="4">
        <v>298</v>
      </c>
      <c r="U169" s="4">
        <v>285</v>
      </c>
      <c r="V169" s="4">
        <v>53</v>
      </c>
    </row>
    <row r="170" spans="1:22" x14ac:dyDescent="0.25">
      <c r="A170" s="2" t="s">
        <v>359</v>
      </c>
      <c r="B170" s="2" t="s">
        <v>360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14</v>
      </c>
      <c r="P170" s="4">
        <v>2</v>
      </c>
      <c r="Q170" s="4">
        <v>21</v>
      </c>
      <c r="R170" s="4">
        <v>15</v>
      </c>
      <c r="S170" s="4">
        <v>22</v>
      </c>
      <c r="T170" s="4">
        <v>24</v>
      </c>
      <c r="U170" s="4">
        <v>31</v>
      </c>
      <c r="V170" s="3"/>
    </row>
    <row r="171" spans="1:22" x14ac:dyDescent="0.25">
      <c r="A171" s="2" t="s">
        <v>361</v>
      </c>
      <c r="B171" s="2" t="s">
        <v>362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>
        <v>24</v>
      </c>
      <c r="P171" s="4">
        <v>28</v>
      </c>
      <c r="Q171" s="4">
        <v>27</v>
      </c>
      <c r="R171" s="4">
        <v>10</v>
      </c>
      <c r="S171" s="4">
        <v>2</v>
      </c>
      <c r="T171" s="3"/>
      <c r="U171" s="4">
        <v>4</v>
      </c>
      <c r="V171" s="3"/>
    </row>
    <row r="172" spans="1:22" x14ac:dyDescent="0.25">
      <c r="A172" s="2" t="s">
        <v>363</v>
      </c>
      <c r="B172" s="2" t="s">
        <v>364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>
        <v>440</v>
      </c>
      <c r="N172" s="4">
        <v>524</v>
      </c>
      <c r="O172" s="4">
        <v>489</v>
      </c>
      <c r="P172" s="4">
        <v>519</v>
      </c>
      <c r="Q172" s="4">
        <v>458</v>
      </c>
      <c r="R172" s="4">
        <v>489</v>
      </c>
      <c r="S172" s="4">
        <v>522</v>
      </c>
      <c r="T172" s="4">
        <v>487</v>
      </c>
      <c r="U172" s="4">
        <v>576</v>
      </c>
      <c r="V172" s="4">
        <v>159</v>
      </c>
    </row>
    <row r="173" spans="1:22" x14ac:dyDescent="0.25">
      <c r="A173" s="2" t="s">
        <v>365</v>
      </c>
      <c r="B173" s="2" t="s">
        <v>366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>
        <v>224</v>
      </c>
      <c r="P173" s="4">
        <v>214</v>
      </c>
      <c r="Q173" s="4">
        <v>238</v>
      </c>
      <c r="R173" s="4">
        <v>224</v>
      </c>
      <c r="S173" s="4">
        <v>4</v>
      </c>
      <c r="T173" s="3"/>
      <c r="U173" s="4">
        <v>1</v>
      </c>
      <c r="V173" s="3"/>
    </row>
    <row r="174" spans="1:22" x14ac:dyDescent="0.25">
      <c r="A174" s="2" t="s">
        <v>367</v>
      </c>
      <c r="B174" s="2" t="s">
        <v>368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4">
        <v>22</v>
      </c>
      <c r="O174" s="4">
        <v>17</v>
      </c>
      <c r="P174" s="4">
        <v>16</v>
      </c>
      <c r="Q174" s="4">
        <v>12</v>
      </c>
      <c r="R174" s="4">
        <v>18</v>
      </c>
      <c r="S174" s="4">
        <v>17</v>
      </c>
      <c r="T174" s="4">
        <v>8</v>
      </c>
      <c r="U174" s="4">
        <v>26</v>
      </c>
      <c r="V174" s="3"/>
    </row>
    <row r="175" spans="1:22" x14ac:dyDescent="0.25">
      <c r="A175" s="2" t="s">
        <v>369</v>
      </c>
      <c r="B175" s="2" t="s">
        <v>370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>
        <v>1</v>
      </c>
      <c r="N175" s="4">
        <v>681</v>
      </c>
      <c r="O175" s="4">
        <v>809</v>
      </c>
      <c r="P175" s="4">
        <v>757</v>
      </c>
      <c r="Q175" s="4">
        <v>742</v>
      </c>
      <c r="R175" s="4">
        <v>692</v>
      </c>
      <c r="S175" s="4">
        <v>701</v>
      </c>
      <c r="T175" s="4">
        <v>743</v>
      </c>
      <c r="U175" s="4">
        <v>846</v>
      </c>
      <c r="V175" s="4">
        <v>231</v>
      </c>
    </row>
    <row r="176" spans="1:22" x14ac:dyDescent="0.25">
      <c r="A176" s="2" t="s">
        <v>371</v>
      </c>
      <c r="B176" s="2" t="s">
        <v>372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>
        <v>189</v>
      </c>
      <c r="P176" s="4">
        <v>233</v>
      </c>
      <c r="Q176" s="4">
        <v>198</v>
      </c>
      <c r="R176" s="4">
        <v>222</v>
      </c>
      <c r="S176" s="4">
        <v>226</v>
      </c>
      <c r="T176" s="4">
        <v>169</v>
      </c>
      <c r="U176" s="4">
        <v>3</v>
      </c>
      <c r="V176" s="3"/>
    </row>
    <row r="177" spans="1:22" x14ac:dyDescent="0.25">
      <c r="A177" s="2" t="s">
        <v>373</v>
      </c>
      <c r="B177" s="2" t="s">
        <v>374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>
        <v>7</v>
      </c>
      <c r="O177" s="4">
        <v>11</v>
      </c>
      <c r="P177" s="4">
        <v>6</v>
      </c>
      <c r="Q177" s="4">
        <v>6</v>
      </c>
      <c r="R177" s="3"/>
      <c r="S177" s="3"/>
      <c r="T177" s="3"/>
      <c r="U177" s="3"/>
      <c r="V177" s="3"/>
    </row>
    <row r="178" spans="1:22" x14ac:dyDescent="0.25">
      <c r="A178" s="2" t="s">
        <v>375</v>
      </c>
      <c r="B178" s="2" t="s">
        <v>376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>
        <v>17</v>
      </c>
      <c r="O178" s="4">
        <v>13</v>
      </c>
      <c r="P178" s="4">
        <v>11</v>
      </c>
      <c r="Q178" s="4">
        <v>12</v>
      </c>
      <c r="R178" s="4">
        <v>10</v>
      </c>
      <c r="S178" s="4">
        <v>9</v>
      </c>
      <c r="T178" s="4">
        <v>4</v>
      </c>
      <c r="U178" s="3"/>
      <c r="V178" s="3"/>
    </row>
    <row r="179" spans="1:22" x14ac:dyDescent="0.25">
      <c r="A179" s="2" t="s">
        <v>377</v>
      </c>
      <c r="B179" s="2" t="s">
        <v>378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>
        <v>15</v>
      </c>
      <c r="P179" s="4">
        <v>12</v>
      </c>
      <c r="Q179" s="4">
        <v>11</v>
      </c>
      <c r="R179" s="4">
        <v>23</v>
      </c>
      <c r="S179" s="4">
        <v>24</v>
      </c>
      <c r="T179" s="4">
        <v>17</v>
      </c>
      <c r="U179" s="4">
        <v>18</v>
      </c>
      <c r="V179" s="4">
        <v>1</v>
      </c>
    </row>
    <row r="180" spans="1:22" x14ac:dyDescent="0.25">
      <c r="A180" s="2" t="s">
        <v>379</v>
      </c>
      <c r="B180" s="2" t="s">
        <v>380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>
        <v>7</v>
      </c>
      <c r="P180" s="4">
        <v>7</v>
      </c>
      <c r="Q180" s="4">
        <v>8</v>
      </c>
      <c r="R180" s="4">
        <v>8</v>
      </c>
      <c r="S180" s="4">
        <v>6</v>
      </c>
      <c r="T180" s="4">
        <v>16</v>
      </c>
      <c r="U180" s="3"/>
      <c r="V180" s="3"/>
    </row>
    <row r="181" spans="1:22" x14ac:dyDescent="0.25">
      <c r="A181" s="2" t="s">
        <v>381</v>
      </c>
      <c r="B181" s="2" t="s">
        <v>382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25">
      <c r="A182" s="2" t="s">
        <v>383</v>
      </c>
      <c r="B182" s="2" t="s">
        <v>384</v>
      </c>
      <c r="C182" s="3"/>
      <c r="D182" s="3"/>
      <c r="E182" s="3"/>
      <c r="F182" s="3"/>
      <c r="G182" s="3"/>
      <c r="H182" s="3"/>
      <c r="I182" s="3"/>
      <c r="J182" s="3"/>
      <c r="K182" s="4">
        <v>24</v>
      </c>
      <c r="L182" s="4">
        <v>26</v>
      </c>
      <c r="M182" s="4">
        <v>18</v>
      </c>
      <c r="N182" s="4">
        <v>18</v>
      </c>
      <c r="O182" s="4">
        <v>23</v>
      </c>
      <c r="P182" s="4">
        <v>18</v>
      </c>
      <c r="Q182" s="4">
        <v>36</v>
      </c>
      <c r="R182" s="4">
        <v>11</v>
      </c>
      <c r="S182" s="4">
        <v>16</v>
      </c>
      <c r="T182" s="4">
        <v>23</v>
      </c>
      <c r="U182" s="4">
        <v>1</v>
      </c>
      <c r="V182" s="3"/>
    </row>
    <row r="183" spans="1:22" x14ac:dyDescent="0.25">
      <c r="A183" s="2" t="s">
        <v>385</v>
      </c>
      <c r="B183" s="2" t="s">
        <v>386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>
        <v>13</v>
      </c>
      <c r="N183" s="4">
        <v>17</v>
      </c>
      <c r="O183" s="4">
        <v>25</v>
      </c>
      <c r="P183" s="4">
        <v>14</v>
      </c>
      <c r="Q183" s="4">
        <v>3</v>
      </c>
      <c r="R183" s="3"/>
      <c r="S183" s="3"/>
      <c r="T183" s="3"/>
      <c r="U183" s="3"/>
      <c r="V183" s="3"/>
    </row>
    <row r="184" spans="1:22" x14ac:dyDescent="0.25">
      <c r="A184" s="2" t="s">
        <v>387</v>
      </c>
      <c r="B184" s="2" t="s">
        <v>388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>
        <v>344</v>
      </c>
      <c r="P184" s="4">
        <v>287</v>
      </c>
      <c r="Q184" s="4">
        <v>364</v>
      </c>
      <c r="R184" s="4">
        <v>352</v>
      </c>
      <c r="S184" s="4">
        <v>323</v>
      </c>
      <c r="T184" s="4">
        <v>313</v>
      </c>
      <c r="U184" s="4">
        <v>331</v>
      </c>
      <c r="V184" s="4">
        <v>72</v>
      </c>
    </row>
    <row r="185" spans="1:22" x14ac:dyDescent="0.25">
      <c r="A185" s="2" t="s">
        <v>389</v>
      </c>
      <c r="B185" s="2" t="s">
        <v>390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>
        <v>8</v>
      </c>
      <c r="P185" s="4">
        <v>1</v>
      </c>
      <c r="Q185" s="3"/>
      <c r="R185" s="3"/>
      <c r="S185" s="3"/>
      <c r="T185" s="3"/>
      <c r="U185" s="3"/>
      <c r="V185" s="3"/>
    </row>
    <row r="186" spans="1:22" x14ac:dyDescent="0.25">
      <c r="A186" s="2" t="s">
        <v>391</v>
      </c>
      <c r="B186" s="2" t="s">
        <v>392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4">
        <v>57</v>
      </c>
      <c r="O186" s="4">
        <v>27</v>
      </c>
      <c r="P186" s="4">
        <v>95</v>
      </c>
      <c r="Q186" s="4">
        <v>95</v>
      </c>
      <c r="R186" s="4">
        <v>97</v>
      </c>
      <c r="S186" s="4">
        <v>82</v>
      </c>
      <c r="T186" s="4">
        <v>91</v>
      </c>
      <c r="U186" s="4">
        <v>95</v>
      </c>
      <c r="V186" s="4">
        <v>10</v>
      </c>
    </row>
    <row r="187" spans="1:22" x14ac:dyDescent="0.25">
      <c r="A187" s="2" t="s">
        <v>393</v>
      </c>
      <c r="B187" s="2" t="s">
        <v>394</v>
      </c>
      <c r="C187" s="3"/>
      <c r="D187" s="3"/>
      <c r="E187" s="3"/>
      <c r="F187" s="3"/>
      <c r="G187" s="3"/>
      <c r="H187" s="3"/>
      <c r="I187" s="3"/>
      <c r="J187" s="3"/>
      <c r="K187" s="3"/>
      <c r="L187" s="4">
        <v>5</v>
      </c>
      <c r="M187" s="4">
        <v>257</v>
      </c>
      <c r="N187" s="4">
        <v>261</v>
      </c>
      <c r="O187" s="4">
        <v>251</v>
      </c>
      <c r="P187" s="4">
        <v>201</v>
      </c>
      <c r="Q187" s="4">
        <v>212</v>
      </c>
      <c r="R187" s="4">
        <v>258</v>
      </c>
      <c r="S187" s="4">
        <v>252</v>
      </c>
      <c r="T187" s="4">
        <v>250</v>
      </c>
      <c r="U187" s="4">
        <v>251</v>
      </c>
      <c r="V187" s="4">
        <v>87</v>
      </c>
    </row>
    <row r="188" spans="1:22" x14ac:dyDescent="0.25">
      <c r="A188" s="2" t="s">
        <v>395</v>
      </c>
      <c r="B188" s="2" t="s">
        <v>396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>
        <v>223</v>
      </c>
      <c r="P188" s="4">
        <v>232</v>
      </c>
      <c r="Q188" s="4">
        <v>244</v>
      </c>
      <c r="R188" s="4">
        <v>256</v>
      </c>
      <c r="S188" s="4">
        <v>281</v>
      </c>
      <c r="T188" s="4">
        <v>208</v>
      </c>
      <c r="U188" s="4">
        <v>246</v>
      </c>
      <c r="V188" s="4">
        <v>71</v>
      </c>
    </row>
    <row r="189" spans="1:22" x14ac:dyDescent="0.25">
      <c r="A189" s="2" t="s">
        <v>397</v>
      </c>
      <c r="B189" s="2" t="s">
        <v>398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>
        <v>79</v>
      </c>
      <c r="P189" s="4">
        <v>47</v>
      </c>
      <c r="Q189" s="4">
        <v>75</v>
      </c>
      <c r="R189" s="4">
        <v>69</v>
      </c>
      <c r="S189" s="4">
        <v>45</v>
      </c>
      <c r="T189" s="4">
        <v>1</v>
      </c>
      <c r="U189" s="3"/>
      <c r="V189" s="3"/>
    </row>
    <row r="190" spans="1:22" x14ac:dyDescent="0.25">
      <c r="A190" s="2" t="s">
        <v>399</v>
      </c>
      <c r="B190" s="2" t="s">
        <v>400</v>
      </c>
      <c r="C190" s="3"/>
      <c r="D190" s="3"/>
      <c r="E190" s="3"/>
      <c r="F190" s="3"/>
      <c r="G190" s="3"/>
      <c r="H190" s="3"/>
      <c r="I190" s="3"/>
      <c r="J190" s="3"/>
      <c r="K190" s="3"/>
      <c r="L190" s="4">
        <v>94</v>
      </c>
      <c r="M190" s="4">
        <v>93</v>
      </c>
      <c r="N190" s="4">
        <v>73</v>
      </c>
      <c r="O190" s="4">
        <v>89</v>
      </c>
      <c r="P190" s="4">
        <v>65</v>
      </c>
      <c r="Q190" s="4">
        <v>67</v>
      </c>
      <c r="R190" s="4">
        <v>89</v>
      </c>
      <c r="S190" s="4">
        <v>90</v>
      </c>
      <c r="T190" s="4">
        <v>87</v>
      </c>
      <c r="U190" s="4">
        <v>84</v>
      </c>
      <c r="V190" s="4">
        <v>7</v>
      </c>
    </row>
    <row r="191" spans="1:22" x14ac:dyDescent="0.25">
      <c r="A191" s="2" t="s">
        <v>401</v>
      </c>
      <c r="B191" s="2" t="s">
        <v>402</v>
      </c>
      <c r="C191" s="3"/>
      <c r="D191" s="3"/>
      <c r="E191" s="3"/>
      <c r="F191" s="3"/>
      <c r="G191" s="3"/>
      <c r="H191" s="3"/>
      <c r="I191" s="3"/>
      <c r="J191" s="3"/>
      <c r="K191" s="4">
        <v>1</v>
      </c>
      <c r="L191" s="3"/>
      <c r="M191" s="4">
        <v>5</v>
      </c>
      <c r="N191" s="4">
        <v>27</v>
      </c>
      <c r="O191" s="4">
        <v>194</v>
      </c>
      <c r="P191" s="4">
        <v>152</v>
      </c>
      <c r="Q191" s="4">
        <v>159</v>
      </c>
      <c r="R191" s="4">
        <v>218</v>
      </c>
      <c r="S191" s="4">
        <v>185</v>
      </c>
      <c r="T191" s="4">
        <v>158</v>
      </c>
      <c r="U191" s="4">
        <v>151</v>
      </c>
      <c r="V191" s="3"/>
    </row>
    <row r="192" spans="1:22" x14ac:dyDescent="0.25">
      <c r="A192" s="2" t="s">
        <v>403</v>
      </c>
      <c r="B192" s="2" t="s">
        <v>404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>
        <v>24</v>
      </c>
      <c r="P192" s="4">
        <v>29</v>
      </c>
      <c r="Q192" s="4">
        <v>24</v>
      </c>
      <c r="R192" s="4">
        <v>22</v>
      </c>
      <c r="S192" s="4">
        <v>27</v>
      </c>
      <c r="T192" s="4">
        <v>17</v>
      </c>
      <c r="U192" s="4">
        <v>14</v>
      </c>
      <c r="V192" s="4">
        <v>10</v>
      </c>
    </row>
    <row r="193" spans="1:22" x14ac:dyDescent="0.25">
      <c r="A193" s="2" t="s">
        <v>405</v>
      </c>
      <c r="B193" s="2" t="s">
        <v>406</v>
      </c>
      <c r="C193" s="3"/>
      <c r="D193" s="3"/>
      <c r="E193" s="3"/>
      <c r="F193" s="4">
        <v>80</v>
      </c>
      <c r="G193" s="4">
        <v>245</v>
      </c>
      <c r="H193" s="4">
        <v>250</v>
      </c>
      <c r="I193" s="4">
        <v>288</v>
      </c>
      <c r="J193" s="4">
        <v>236</v>
      </c>
      <c r="K193" s="4">
        <v>234</v>
      </c>
      <c r="L193" s="4">
        <v>215</v>
      </c>
      <c r="M193" s="4">
        <v>226</v>
      </c>
      <c r="N193" s="4">
        <v>287</v>
      </c>
      <c r="O193" s="4">
        <v>263</v>
      </c>
      <c r="P193" s="4">
        <v>230</v>
      </c>
      <c r="Q193" s="4">
        <v>258</v>
      </c>
      <c r="R193" s="4">
        <v>236</v>
      </c>
      <c r="S193" s="4">
        <v>265</v>
      </c>
      <c r="T193" s="4">
        <v>215</v>
      </c>
      <c r="U193" s="4">
        <v>263</v>
      </c>
      <c r="V193" s="4">
        <v>85</v>
      </c>
    </row>
    <row r="194" spans="1:22" x14ac:dyDescent="0.25">
      <c r="A194" s="2" t="s">
        <v>407</v>
      </c>
      <c r="B194" s="2" t="s">
        <v>408</v>
      </c>
      <c r="C194" s="3"/>
      <c r="D194" s="3"/>
      <c r="E194" s="3"/>
      <c r="F194" s="3"/>
      <c r="G194" s="3"/>
      <c r="H194" s="3"/>
      <c r="I194" s="3"/>
      <c r="J194" s="3"/>
      <c r="K194" s="3"/>
      <c r="L194" s="4">
        <v>30</v>
      </c>
      <c r="M194" s="4">
        <v>42</v>
      </c>
      <c r="N194" s="4">
        <v>47</v>
      </c>
      <c r="O194" s="4">
        <v>42</v>
      </c>
      <c r="P194" s="4">
        <v>34</v>
      </c>
      <c r="Q194" s="4">
        <v>28</v>
      </c>
      <c r="R194" s="4">
        <v>35</v>
      </c>
      <c r="S194" s="4">
        <v>38</v>
      </c>
      <c r="T194" s="4">
        <v>36</v>
      </c>
      <c r="U194" s="4">
        <v>30</v>
      </c>
      <c r="V194" s="3"/>
    </row>
    <row r="195" spans="1:22" x14ac:dyDescent="0.25">
      <c r="A195" s="2" t="s">
        <v>409</v>
      </c>
      <c r="B195" s="2" t="s">
        <v>410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>
        <v>3</v>
      </c>
      <c r="P195" s="3"/>
      <c r="Q195" s="3"/>
      <c r="R195" s="3"/>
      <c r="S195" s="3"/>
      <c r="T195" s="3"/>
      <c r="U195" s="3"/>
      <c r="V195" s="3"/>
    </row>
    <row r="196" spans="1:22" x14ac:dyDescent="0.25">
      <c r="A196" s="2" t="s">
        <v>411</v>
      </c>
      <c r="B196" s="2" t="s">
        <v>412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4">
        <v>5</v>
      </c>
      <c r="O196" s="4">
        <v>287</v>
      </c>
      <c r="P196" s="4">
        <v>248</v>
      </c>
      <c r="Q196" s="4">
        <v>247</v>
      </c>
      <c r="R196" s="4">
        <v>237</v>
      </c>
      <c r="S196" s="4">
        <v>305</v>
      </c>
      <c r="T196" s="4">
        <v>291</v>
      </c>
      <c r="U196" s="4">
        <v>296</v>
      </c>
      <c r="V196" s="4">
        <v>93</v>
      </c>
    </row>
    <row r="197" spans="1:22" x14ac:dyDescent="0.25">
      <c r="A197" s="2" t="s">
        <v>413</v>
      </c>
      <c r="B197" s="2" t="s">
        <v>414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4">
        <v>4</v>
      </c>
      <c r="O197" s="4">
        <v>277</v>
      </c>
      <c r="P197" s="4">
        <v>288</v>
      </c>
      <c r="Q197" s="4">
        <v>306</v>
      </c>
      <c r="R197" s="4">
        <v>284</v>
      </c>
      <c r="S197" s="4">
        <v>295</v>
      </c>
      <c r="T197" s="4">
        <v>351</v>
      </c>
      <c r="U197" s="4">
        <v>342</v>
      </c>
      <c r="V197" s="4">
        <v>115</v>
      </c>
    </row>
    <row r="198" spans="1:22" x14ac:dyDescent="0.25">
      <c r="A198" s="2" t="s">
        <v>415</v>
      </c>
      <c r="B198" s="2" t="s">
        <v>416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>
        <v>366</v>
      </c>
      <c r="P198" s="4">
        <v>279</v>
      </c>
      <c r="Q198" s="4">
        <v>389</v>
      </c>
      <c r="R198" s="4">
        <v>366</v>
      </c>
      <c r="S198" s="4">
        <v>426</v>
      </c>
      <c r="T198" s="4">
        <v>407</v>
      </c>
      <c r="U198" s="4">
        <v>470</v>
      </c>
      <c r="V198" s="4">
        <v>117</v>
      </c>
    </row>
    <row r="199" spans="1:22" x14ac:dyDescent="0.25">
      <c r="A199" s="2" t="s">
        <v>417</v>
      </c>
      <c r="B199" s="2" t="s">
        <v>418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4">
        <v>865</v>
      </c>
      <c r="O199" s="4">
        <v>783</v>
      </c>
      <c r="P199" s="4">
        <v>727</v>
      </c>
      <c r="Q199" s="4">
        <v>779</v>
      </c>
      <c r="R199" s="4">
        <v>769</v>
      </c>
      <c r="S199" s="4">
        <v>849</v>
      </c>
      <c r="T199" s="4">
        <v>817</v>
      </c>
      <c r="U199" s="4">
        <v>803</v>
      </c>
      <c r="V199" s="4">
        <v>251</v>
      </c>
    </row>
    <row r="200" spans="1:22" x14ac:dyDescent="0.25">
      <c r="A200" s="2" t="s">
        <v>419</v>
      </c>
      <c r="B200" s="2" t="s">
        <v>420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>
        <v>361</v>
      </c>
      <c r="P200" s="4">
        <v>333</v>
      </c>
      <c r="Q200" s="4">
        <v>339</v>
      </c>
      <c r="R200" s="4">
        <v>351</v>
      </c>
      <c r="S200" s="4">
        <v>389</v>
      </c>
      <c r="T200" s="4">
        <v>349</v>
      </c>
      <c r="U200" s="4">
        <v>380</v>
      </c>
      <c r="V200" s="4">
        <v>115</v>
      </c>
    </row>
    <row r="201" spans="1:22" x14ac:dyDescent="0.25">
      <c r="A201" s="2" t="s">
        <v>421</v>
      </c>
      <c r="B201" s="2" t="s">
        <v>422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4">
        <v>1</v>
      </c>
      <c r="O201" s="4">
        <v>384</v>
      </c>
      <c r="P201" s="4">
        <v>322</v>
      </c>
      <c r="Q201" s="4">
        <v>373</v>
      </c>
      <c r="R201" s="4">
        <v>361</v>
      </c>
      <c r="S201" s="4">
        <v>327</v>
      </c>
      <c r="T201" s="4">
        <v>325</v>
      </c>
      <c r="U201" s="4">
        <v>298</v>
      </c>
      <c r="V201" s="4">
        <v>96</v>
      </c>
    </row>
    <row r="202" spans="1:22" x14ac:dyDescent="0.25">
      <c r="A202" s="2" t="s">
        <v>423</v>
      </c>
      <c r="B202" s="2" t="s">
        <v>424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>
        <v>1</v>
      </c>
      <c r="N202" s="4">
        <v>231</v>
      </c>
      <c r="O202" s="4">
        <v>220</v>
      </c>
      <c r="P202" s="4">
        <v>210</v>
      </c>
      <c r="Q202" s="4">
        <v>222</v>
      </c>
      <c r="R202" s="4">
        <v>255</v>
      </c>
      <c r="S202" s="4">
        <v>238</v>
      </c>
      <c r="T202" s="4">
        <v>252</v>
      </c>
      <c r="U202" s="4">
        <v>225</v>
      </c>
      <c r="V202" s="4">
        <v>5</v>
      </c>
    </row>
    <row r="203" spans="1:22" x14ac:dyDescent="0.25">
      <c r="A203" s="2" t="s">
        <v>425</v>
      </c>
      <c r="B203" s="2" t="s">
        <v>426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>
        <v>41</v>
      </c>
      <c r="P203" s="4">
        <v>32</v>
      </c>
      <c r="Q203" s="4">
        <v>26</v>
      </c>
      <c r="R203" s="4">
        <v>35</v>
      </c>
      <c r="S203" s="4">
        <v>44</v>
      </c>
      <c r="T203" s="4">
        <v>38</v>
      </c>
      <c r="U203" s="4">
        <v>35</v>
      </c>
      <c r="V203" s="4">
        <v>15</v>
      </c>
    </row>
    <row r="204" spans="1:22" x14ac:dyDescent="0.25">
      <c r="A204" s="2" t="s">
        <v>427</v>
      </c>
      <c r="B204" s="2" t="s">
        <v>428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4">
        <v>529</v>
      </c>
      <c r="P204" s="4">
        <v>491</v>
      </c>
      <c r="Q204" s="4">
        <v>534</v>
      </c>
      <c r="R204" s="4">
        <v>500</v>
      </c>
      <c r="S204" s="4">
        <v>548</v>
      </c>
      <c r="T204" s="4">
        <v>524</v>
      </c>
      <c r="U204" s="4">
        <v>578</v>
      </c>
      <c r="V204" s="4">
        <v>152</v>
      </c>
    </row>
    <row r="205" spans="1:22" x14ac:dyDescent="0.25">
      <c r="A205" s="2" t="s">
        <v>429</v>
      </c>
      <c r="B205" s="2" t="s">
        <v>430</v>
      </c>
      <c r="C205" s="3"/>
      <c r="D205" s="3"/>
      <c r="E205" s="3"/>
      <c r="F205" s="3"/>
      <c r="G205" s="3"/>
      <c r="H205" s="3"/>
      <c r="I205" s="3"/>
      <c r="J205" s="3"/>
      <c r="K205" s="3"/>
      <c r="L205" s="4">
        <v>22</v>
      </c>
      <c r="M205" s="4">
        <v>362</v>
      </c>
      <c r="N205" s="4">
        <v>398</v>
      </c>
      <c r="O205" s="4">
        <v>367</v>
      </c>
      <c r="P205" s="4">
        <v>329</v>
      </c>
      <c r="Q205" s="4">
        <v>360</v>
      </c>
      <c r="R205" s="4">
        <v>364</v>
      </c>
      <c r="S205" s="4">
        <v>444</v>
      </c>
      <c r="T205" s="4">
        <v>373</v>
      </c>
      <c r="U205" s="4">
        <v>294</v>
      </c>
      <c r="V205" s="3"/>
    </row>
    <row r="206" spans="1:22" x14ac:dyDescent="0.25">
      <c r="A206" s="2" t="s">
        <v>431</v>
      </c>
      <c r="B206" s="2" t="s">
        <v>432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4">
        <v>17</v>
      </c>
      <c r="O206" s="4">
        <v>1023</v>
      </c>
      <c r="P206" s="4">
        <v>952</v>
      </c>
      <c r="Q206" s="4">
        <v>917</v>
      </c>
      <c r="R206" s="4">
        <v>954</v>
      </c>
      <c r="S206" s="4">
        <v>1045</v>
      </c>
      <c r="T206" s="4">
        <v>740</v>
      </c>
      <c r="U206" s="4">
        <v>827</v>
      </c>
      <c r="V206" s="4">
        <v>278</v>
      </c>
    </row>
    <row r="207" spans="1:22" x14ac:dyDescent="0.25">
      <c r="A207" s="2" t="s">
        <v>433</v>
      </c>
      <c r="B207" s="2" t="s">
        <v>434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>
        <v>1</v>
      </c>
      <c r="O207" s="4">
        <v>319</v>
      </c>
      <c r="P207" s="4">
        <v>254</v>
      </c>
      <c r="Q207" s="4">
        <v>286</v>
      </c>
      <c r="R207" s="4">
        <v>263</v>
      </c>
      <c r="S207" s="4">
        <v>272</v>
      </c>
      <c r="T207" s="4">
        <v>328</v>
      </c>
      <c r="U207" s="4">
        <v>279</v>
      </c>
      <c r="V207" s="4">
        <v>86</v>
      </c>
    </row>
    <row r="208" spans="1:22" x14ac:dyDescent="0.25">
      <c r="A208" s="2" t="s">
        <v>435</v>
      </c>
      <c r="B208" s="2" t="s">
        <v>436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>
        <v>64</v>
      </c>
      <c r="P208" s="4">
        <v>55</v>
      </c>
      <c r="Q208" s="4">
        <v>55</v>
      </c>
      <c r="R208" s="4">
        <v>45</v>
      </c>
      <c r="S208" s="4">
        <v>59</v>
      </c>
      <c r="T208" s="4">
        <v>59</v>
      </c>
      <c r="U208" s="4">
        <v>55</v>
      </c>
      <c r="V208" s="4">
        <v>15</v>
      </c>
    </row>
    <row r="209" spans="1:22" x14ac:dyDescent="0.25">
      <c r="A209" s="2" t="s">
        <v>437</v>
      </c>
      <c r="B209" s="2" t="s">
        <v>438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>
        <v>2</v>
      </c>
      <c r="N209" s="4">
        <v>518</v>
      </c>
      <c r="O209" s="4">
        <v>474</v>
      </c>
      <c r="P209" s="4">
        <v>435</v>
      </c>
      <c r="Q209" s="4">
        <v>444</v>
      </c>
      <c r="R209" s="4">
        <v>406</v>
      </c>
      <c r="S209" s="4">
        <v>513</v>
      </c>
      <c r="T209" s="4">
        <v>453</v>
      </c>
      <c r="U209" s="4">
        <v>481</v>
      </c>
      <c r="V209" s="4">
        <v>143</v>
      </c>
    </row>
    <row r="210" spans="1:22" x14ac:dyDescent="0.25">
      <c r="A210" s="2" t="s">
        <v>439</v>
      </c>
      <c r="B210" s="2" t="s">
        <v>440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4">
        <v>190</v>
      </c>
      <c r="P210" s="4">
        <v>164</v>
      </c>
      <c r="Q210" s="4">
        <v>175</v>
      </c>
      <c r="R210" s="4">
        <v>157</v>
      </c>
      <c r="S210" s="4">
        <v>196</v>
      </c>
      <c r="T210" s="4">
        <v>185</v>
      </c>
      <c r="U210" s="4">
        <v>190</v>
      </c>
      <c r="V210" s="4">
        <v>21</v>
      </c>
    </row>
    <row r="211" spans="1:22" x14ac:dyDescent="0.25">
      <c r="A211" s="2" t="s">
        <v>441</v>
      </c>
      <c r="B211" s="2" t="s">
        <v>442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4">
        <v>1</v>
      </c>
      <c r="O211" s="4">
        <v>199</v>
      </c>
      <c r="P211" s="4">
        <v>170</v>
      </c>
      <c r="Q211" s="4">
        <v>204</v>
      </c>
      <c r="R211" s="4">
        <v>213</v>
      </c>
      <c r="S211" s="4">
        <v>232</v>
      </c>
      <c r="T211" s="4">
        <v>226</v>
      </c>
      <c r="U211" s="4">
        <v>198</v>
      </c>
      <c r="V211" s="4">
        <v>67</v>
      </c>
    </row>
    <row r="212" spans="1:22" x14ac:dyDescent="0.25">
      <c r="A212" s="2" t="s">
        <v>443</v>
      </c>
      <c r="B212" s="2" t="s">
        <v>444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>
        <v>100</v>
      </c>
      <c r="N212" s="4">
        <v>151</v>
      </c>
      <c r="O212" s="4">
        <v>179</v>
      </c>
      <c r="P212" s="4">
        <v>138</v>
      </c>
      <c r="Q212" s="4">
        <v>161</v>
      </c>
      <c r="R212" s="4">
        <v>163</v>
      </c>
      <c r="S212" s="4">
        <v>173</v>
      </c>
      <c r="T212" s="4">
        <v>174</v>
      </c>
      <c r="U212" s="4">
        <v>144</v>
      </c>
      <c r="V212" s="4">
        <v>62</v>
      </c>
    </row>
    <row r="213" spans="1:22" x14ac:dyDescent="0.25">
      <c r="A213" s="2" t="s">
        <v>445</v>
      </c>
      <c r="B213" s="2" t="s">
        <v>446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4">
        <v>998</v>
      </c>
      <c r="P213" s="4">
        <v>978</v>
      </c>
      <c r="Q213" s="4">
        <v>962</v>
      </c>
      <c r="R213" s="4">
        <v>949</v>
      </c>
      <c r="S213" s="4">
        <v>1034</v>
      </c>
      <c r="T213" s="4">
        <v>977</v>
      </c>
      <c r="U213" s="4">
        <v>1059</v>
      </c>
      <c r="V213" s="4">
        <v>232</v>
      </c>
    </row>
    <row r="214" spans="1:22" x14ac:dyDescent="0.25">
      <c r="A214" s="2" t="s">
        <v>447</v>
      </c>
      <c r="B214" s="2" t="s">
        <v>448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x14ac:dyDescent="0.25">
      <c r="A215" s="2" t="s">
        <v>449</v>
      </c>
      <c r="B215" s="2" t="s">
        <v>450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4">
        <v>192</v>
      </c>
      <c r="P215" s="4">
        <v>133</v>
      </c>
      <c r="Q215" s="4">
        <v>175</v>
      </c>
      <c r="R215" s="4">
        <v>163</v>
      </c>
      <c r="S215" s="4">
        <v>179</v>
      </c>
      <c r="T215" s="4">
        <v>145</v>
      </c>
      <c r="U215" s="4">
        <v>161</v>
      </c>
      <c r="V215" s="4">
        <v>37</v>
      </c>
    </row>
    <row r="216" spans="1:22" x14ac:dyDescent="0.25">
      <c r="A216" s="2" t="s">
        <v>451</v>
      </c>
      <c r="B216" s="2" t="s">
        <v>452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4">
        <v>35</v>
      </c>
      <c r="O216" s="4">
        <v>611</v>
      </c>
      <c r="P216" s="4">
        <v>579</v>
      </c>
      <c r="Q216" s="4">
        <v>661</v>
      </c>
      <c r="R216" s="4">
        <v>621</v>
      </c>
      <c r="S216" s="4">
        <v>676</v>
      </c>
      <c r="T216" s="4">
        <v>630</v>
      </c>
      <c r="U216" s="4">
        <v>601</v>
      </c>
      <c r="V216" s="4">
        <v>171</v>
      </c>
    </row>
    <row r="217" spans="1:22" x14ac:dyDescent="0.25">
      <c r="A217" s="2" t="s">
        <v>453</v>
      </c>
      <c r="B217" s="2" t="s">
        <v>454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4">
        <v>1</v>
      </c>
      <c r="O217" s="4">
        <v>197</v>
      </c>
      <c r="P217" s="4">
        <v>188</v>
      </c>
      <c r="Q217" s="4">
        <v>208</v>
      </c>
      <c r="R217" s="4">
        <v>186</v>
      </c>
      <c r="S217" s="4">
        <v>221</v>
      </c>
      <c r="T217" s="4">
        <v>184</v>
      </c>
      <c r="U217" s="4">
        <v>242</v>
      </c>
      <c r="V217" s="4">
        <v>64</v>
      </c>
    </row>
    <row r="218" spans="1:22" x14ac:dyDescent="0.25">
      <c r="A218" s="2" t="s">
        <v>455</v>
      </c>
      <c r="B218" s="2" t="s">
        <v>456</v>
      </c>
      <c r="C218" s="3"/>
      <c r="D218" s="3"/>
      <c r="E218" s="3"/>
      <c r="F218" s="3"/>
      <c r="G218" s="3"/>
      <c r="H218" s="3"/>
      <c r="I218" s="3"/>
      <c r="J218" s="3"/>
      <c r="K218" s="3"/>
      <c r="L218" s="4">
        <v>1</v>
      </c>
      <c r="M218" s="4">
        <v>1</v>
      </c>
      <c r="N218" s="4">
        <v>312</v>
      </c>
      <c r="O218" s="4">
        <v>322</v>
      </c>
      <c r="P218" s="4">
        <v>322</v>
      </c>
      <c r="Q218" s="4">
        <v>255</v>
      </c>
      <c r="R218" s="4">
        <v>273</v>
      </c>
      <c r="S218" s="4">
        <v>314</v>
      </c>
      <c r="T218" s="4">
        <v>323</v>
      </c>
      <c r="U218" s="4">
        <v>259</v>
      </c>
      <c r="V218" s="4">
        <v>99</v>
      </c>
    </row>
    <row r="219" spans="1:22" x14ac:dyDescent="0.25">
      <c r="A219" s="2" t="s">
        <v>457</v>
      </c>
      <c r="B219" s="2" t="s">
        <v>458</v>
      </c>
      <c r="C219" s="3"/>
      <c r="D219" s="3"/>
      <c r="E219" s="3"/>
      <c r="F219" s="3"/>
      <c r="G219" s="3"/>
      <c r="H219" s="3"/>
      <c r="I219" s="3"/>
      <c r="J219" s="3"/>
      <c r="K219" s="3"/>
      <c r="L219" s="4">
        <v>1</v>
      </c>
      <c r="M219" s="3"/>
      <c r="N219" s="4">
        <v>1</v>
      </c>
      <c r="O219" s="4">
        <v>439</v>
      </c>
      <c r="P219" s="4">
        <v>357</v>
      </c>
      <c r="Q219" s="4">
        <v>414</v>
      </c>
      <c r="R219" s="4">
        <v>423</v>
      </c>
      <c r="S219" s="4">
        <v>414</v>
      </c>
      <c r="T219" s="4">
        <v>485</v>
      </c>
      <c r="U219" s="4">
        <v>471</v>
      </c>
      <c r="V219" s="4">
        <v>120</v>
      </c>
    </row>
    <row r="220" spans="1:22" x14ac:dyDescent="0.25">
      <c r="A220" s="2" t="s">
        <v>459</v>
      </c>
      <c r="B220" s="2" t="s">
        <v>460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4">
        <v>339</v>
      </c>
      <c r="P220" s="4">
        <v>261</v>
      </c>
      <c r="Q220" s="4">
        <v>306</v>
      </c>
      <c r="R220" s="4">
        <v>272</v>
      </c>
      <c r="S220" s="4">
        <v>323</v>
      </c>
      <c r="T220" s="4">
        <v>332</v>
      </c>
      <c r="U220" s="4">
        <v>316</v>
      </c>
      <c r="V220" s="4">
        <v>44</v>
      </c>
    </row>
    <row r="221" spans="1:22" x14ac:dyDescent="0.25">
      <c r="A221" s="2" t="s">
        <v>461</v>
      </c>
      <c r="B221" s="2" t="s">
        <v>462</v>
      </c>
      <c r="C221" s="4">
        <v>2</v>
      </c>
      <c r="D221" s="3"/>
      <c r="E221" s="3"/>
      <c r="F221" s="4">
        <v>1</v>
      </c>
      <c r="G221" s="4">
        <v>1</v>
      </c>
      <c r="H221" s="3"/>
      <c r="I221" s="4">
        <v>4</v>
      </c>
      <c r="J221" s="3"/>
      <c r="K221" s="3"/>
      <c r="L221" s="4">
        <v>2</v>
      </c>
      <c r="M221" s="4">
        <v>1</v>
      </c>
      <c r="N221" s="4">
        <v>495</v>
      </c>
      <c r="O221" s="4">
        <v>542</v>
      </c>
      <c r="P221" s="4">
        <v>479</v>
      </c>
      <c r="Q221" s="4">
        <v>523</v>
      </c>
      <c r="R221" s="4">
        <v>490</v>
      </c>
      <c r="S221" s="4">
        <v>534</v>
      </c>
      <c r="T221" s="4">
        <v>515</v>
      </c>
      <c r="U221" s="4">
        <v>530</v>
      </c>
      <c r="V221" s="4">
        <v>139</v>
      </c>
    </row>
    <row r="222" spans="1:22" x14ac:dyDescent="0.25">
      <c r="A222" s="2" t="s">
        <v>463</v>
      </c>
      <c r="B222" s="2" t="s">
        <v>464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>
        <v>1</v>
      </c>
      <c r="N222" s="4">
        <v>19</v>
      </c>
      <c r="O222" s="4">
        <v>601</v>
      </c>
      <c r="P222" s="4">
        <v>491</v>
      </c>
      <c r="Q222" s="4">
        <v>410</v>
      </c>
      <c r="R222" s="4">
        <v>431</v>
      </c>
      <c r="S222" s="4">
        <v>623</v>
      </c>
      <c r="T222" s="4">
        <v>661</v>
      </c>
      <c r="U222" s="4">
        <v>663</v>
      </c>
      <c r="V222" s="4">
        <v>197</v>
      </c>
    </row>
    <row r="223" spans="1:22" x14ac:dyDescent="0.25">
      <c r="A223" s="2" t="s">
        <v>465</v>
      </c>
      <c r="B223" s="2" t="s">
        <v>466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x14ac:dyDescent="0.25">
      <c r="A224" s="2" t="s">
        <v>467</v>
      </c>
      <c r="B224" s="2" t="s">
        <v>468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4">
        <v>24</v>
      </c>
      <c r="R224" s="3"/>
      <c r="S224" s="4">
        <v>9</v>
      </c>
      <c r="T224" s="4">
        <v>49</v>
      </c>
      <c r="U224" s="4">
        <v>206</v>
      </c>
      <c r="V224" s="4">
        <v>29</v>
      </c>
    </row>
    <row r="225" spans="1:22" x14ac:dyDescent="0.25">
      <c r="A225" s="2" t="s">
        <v>469</v>
      </c>
      <c r="B225" s="2" t="s">
        <v>470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4">
        <v>35</v>
      </c>
      <c r="O225" s="4">
        <v>813</v>
      </c>
      <c r="P225" s="4">
        <v>723</v>
      </c>
      <c r="Q225" s="4">
        <v>710</v>
      </c>
      <c r="R225" s="4">
        <v>722</v>
      </c>
      <c r="S225" s="4">
        <v>771</v>
      </c>
      <c r="T225" s="4">
        <v>755</v>
      </c>
      <c r="U225" s="4">
        <v>706</v>
      </c>
      <c r="V225" s="4">
        <v>221</v>
      </c>
    </row>
    <row r="226" spans="1:22" x14ac:dyDescent="0.25">
      <c r="A226" s="2" t="s">
        <v>471</v>
      </c>
      <c r="B226" s="2" t="s">
        <v>472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4">
        <v>734</v>
      </c>
      <c r="P226" s="4">
        <v>685</v>
      </c>
      <c r="Q226" s="4">
        <v>779</v>
      </c>
      <c r="R226" s="4">
        <v>758</v>
      </c>
      <c r="S226" s="4">
        <v>799</v>
      </c>
      <c r="T226" s="4">
        <v>812</v>
      </c>
      <c r="U226" s="4">
        <v>816</v>
      </c>
      <c r="V226" s="4">
        <v>256</v>
      </c>
    </row>
    <row r="227" spans="1:22" x14ac:dyDescent="0.25">
      <c r="A227" s="2" t="s">
        <v>473</v>
      </c>
      <c r="B227" s="2" t="s">
        <v>474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4">
        <v>343</v>
      </c>
      <c r="P227" s="4">
        <v>285</v>
      </c>
      <c r="Q227" s="4">
        <v>340</v>
      </c>
      <c r="R227" s="4">
        <v>291</v>
      </c>
      <c r="S227" s="4">
        <v>355</v>
      </c>
      <c r="T227" s="4">
        <v>383</v>
      </c>
      <c r="U227" s="4">
        <v>422</v>
      </c>
      <c r="V227" s="4">
        <v>114</v>
      </c>
    </row>
    <row r="228" spans="1:22" x14ac:dyDescent="0.25">
      <c r="A228" s="2" t="s">
        <v>475</v>
      </c>
      <c r="B228" s="2" t="s">
        <v>476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>
        <v>507</v>
      </c>
      <c r="P228" s="4">
        <v>409</v>
      </c>
      <c r="Q228" s="4">
        <v>512</v>
      </c>
      <c r="R228" s="4">
        <v>446</v>
      </c>
      <c r="S228" s="4">
        <v>473</v>
      </c>
      <c r="T228" s="4">
        <v>490</v>
      </c>
      <c r="U228" s="4">
        <v>559</v>
      </c>
      <c r="V228" s="4">
        <v>170</v>
      </c>
    </row>
    <row r="229" spans="1:22" x14ac:dyDescent="0.25">
      <c r="A229" s="2" t="s">
        <v>477</v>
      </c>
      <c r="B229" s="2" t="s">
        <v>478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4">
        <v>526</v>
      </c>
      <c r="P229" s="4">
        <v>551</v>
      </c>
      <c r="Q229" s="4">
        <v>482</v>
      </c>
      <c r="R229" s="4">
        <v>531</v>
      </c>
      <c r="S229" s="4">
        <v>516</v>
      </c>
      <c r="T229" s="4">
        <v>539</v>
      </c>
      <c r="U229" s="4">
        <v>559</v>
      </c>
      <c r="V229" s="4">
        <v>176</v>
      </c>
    </row>
    <row r="230" spans="1:22" x14ac:dyDescent="0.25">
      <c r="A230" s="2" t="s">
        <v>479</v>
      </c>
      <c r="B230" s="2" t="s">
        <v>480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4">
        <v>452</v>
      </c>
      <c r="S230" s="4">
        <v>1470</v>
      </c>
      <c r="T230" s="4">
        <v>1473</v>
      </c>
      <c r="U230" s="4">
        <v>1425</v>
      </c>
      <c r="V230" s="4">
        <v>431</v>
      </c>
    </row>
    <row r="231" spans="1:22" x14ac:dyDescent="0.25">
      <c r="A231" s="2" t="s">
        <v>481</v>
      </c>
      <c r="B231" s="2" t="s">
        <v>482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4">
        <v>120</v>
      </c>
      <c r="P231" s="4">
        <v>90</v>
      </c>
      <c r="Q231" s="4">
        <v>116</v>
      </c>
      <c r="R231" s="4">
        <v>108</v>
      </c>
      <c r="S231" s="4">
        <v>109</v>
      </c>
      <c r="T231" s="4">
        <v>123</v>
      </c>
      <c r="U231" s="4">
        <v>149</v>
      </c>
      <c r="V231" s="4">
        <v>50</v>
      </c>
    </row>
    <row r="232" spans="1:22" x14ac:dyDescent="0.25">
      <c r="A232" s="2" t="s">
        <v>483</v>
      </c>
      <c r="B232" s="2" t="s">
        <v>484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4">
        <v>1</v>
      </c>
      <c r="R232" s="4">
        <v>3</v>
      </c>
      <c r="S232" s="3"/>
      <c r="T232" s="3"/>
      <c r="U232" s="3"/>
      <c r="V232" s="3"/>
    </row>
    <row r="233" spans="1:22" x14ac:dyDescent="0.25">
      <c r="A233" s="2" t="s">
        <v>485</v>
      </c>
      <c r="B233" s="2" t="s">
        <v>486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4">
        <v>498</v>
      </c>
      <c r="P233" s="4">
        <v>628</v>
      </c>
      <c r="Q233" s="4">
        <v>956</v>
      </c>
      <c r="R233" s="4">
        <v>1048</v>
      </c>
      <c r="S233" s="4">
        <v>1007</v>
      </c>
      <c r="T233" s="4">
        <v>1032</v>
      </c>
      <c r="U233" s="4">
        <v>1074</v>
      </c>
      <c r="V233" s="4">
        <v>326</v>
      </c>
    </row>
    <row r="234" spans="1:22" x14ac:dyDescent="0.25">
      <c r="A234" s="2" t="s">
        <v>487</v>
      </c>
      <c r="B234" s="2" t="s">
        <v>488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>
        <v>209</v>
      </c>
      <c r="P234" s="4">
        <v>190</v>
      </c>
      <c r="Q234" s="4">
        <v>225</v>
      </c>
      <c r="R234" s="4">
        <v>193</v>
      </c>
      <c r="S234" s="4">
        <v>254</v>
      </c>
      <c r="T234" s="4">
        <v>266</v>
      </c>
      <c r="U234" s="4">
        <v>261</v>
      </c>
      <c r="V234" s="4">
        <v>59</v>
      </c>
    </row>
    <row r="235" spans="1:22" x14ac:dyDescent="0.25">
      <c r="A235" s="2" t="s">
        <v>489</v>
      </c>
      <c r="B235" s="2" t="s">
        <v>490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4">
        <v>3</v>
      </c>
      <c r="P235" s="3"/>
      <c r="Q235" s="3"/>
      <c r="R235" s="3"/>
      <c r="S235" s="3"/>
      <c r="T235" s="3"/>
      <c r="U235" s="3"/>
      <c r="V235" s="3"/>
    </row>
    <row r="236" spans="1:22" x14ac:dyDescent="0.25">
      <c r="A236" s="2" t="s">
        <v>491</v>
      </c>
      <c r="B236" s="2" t="s">
        <v>492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4">
        <v>1</v>
      </c>
      <c r="O236" s="4">
        <v>384</v>
      </c>
      <c r="P236" s="4">
        <v>299</v>
      </c>
      <c r="Q236" s="4">
        <v>346</v>
      </c>
      <c r="R236" s="4">
        <v>322</v>
      </c>
      <c r="S236" s="4">
        <v>384</v>
      </c>
      <c r="T236" s="4">
        <v>368</v>
      </c>
      <c r="U236" s="4">
        <v>396</v>
      </c>
      <c r="V236" s="4">
        <v>41</v>
      </c>
    </row>
    <row r="237" spans="1:22" x14ac:dyDescent="0.25">
      <c r="A237" s="2" t="s">
        <v>493</v>
      </c>
      <c r="B237" s="2" t="s">
        <v>494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4">
        <v>1249</v>
      </c>
      <c r="P237" s="4">
        <v>1121</v>
      </c>
      <c r="Q237" s="4">
        <v>1221</v>
      </c>
      <c r="R237" s="4">
        <v>1316</v>
      </c>
      <c r="S237" s="4">
        <v>1334</v>
      </c>
      <c r="T237" s="4">
        <v>1331</v>
      </c>
      <c r="U237" s="4">
        <v>1373</v>
      </c>
      <c r="V237" s="4">
        <v>227</v>
      </c>
    </row>
    <row r="238" spans="1:22" x14ac:dyDescent="0.25">
      <c r="A238" s="2" t="s">
        <v>495</v>
      </c>
      <c r="B238" s="2" t="s">
        <v>496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4">
        <v>30</v>
      </c>
      <c r="O238" s="4">
        <v>103</v>
      </c>
      <c r="P238" s="4">
        <v>96</v>
      </c>
      <c r="Q238" s="4">
        <v>90</v>
      </c>
      <c r="R238" s="4">
        <v>122</v>
      </c>
      <c r="S238" s="4">
        <v>95</v>
      </c>
      <c r="T238" s="4">
        <v>80</v>
      </c>
      <c r="U238" s="4">
        <v>119</v>
      </c>
      <c r="V238" s="4">
        <v>48</v>
      </c>
    </row>
    <row r="239" spans="1:22" x14ac:dyDescent="0.25">
      <c r="A239" s="2" t="s">
        <v>497</v>
      </c>
      <c r="B239" s="2" t="s">
        <v>498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>
        <v>7</v>
      </c>
      <c r="N239" s="4">
        <v>586</v>
      </c>
      <c r="O239" s="4">
        <v>618</v>
      </c>
      <c r="P239" s="4">
        <v>509</v>
      </c>
      <c r="Q239" s="4">
        <v>537</v>
      </c>
      <c r="R239" s="4">
        <v>543</v>
      </c>
      <c r="S239" s="4">
        <v>560</v>
      </c>
      <c r="T239" s="4">
        <v>560</v>
      </c>
      <c r="U239" s="4">
        <v>622</v>
      </c>
      <c r="V239" s="4">
        <v>160</v>
      </c>
    </row>
    <row r="240" spans="1:22" x14ac:dyDescent="0.25">
      <c r="A240" s="2" t="s">
        <v>499</v>
      </c>
      <c r="B240" s="2" t="s">
        <v>500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>
        <v>242</v>
      </c>
      <c r="P240" s="4">
        <v>210</v>
      </c>
      <c r="Q240" s="4">
        <v>229</v>
      </c>
      <c r="R240" s="4">
        <v>229</v>
      </c>
      <c r="S240" s="4">
        <v>242</v>
      </c>
      <c r="T240" s="4">
        <v>247</v>
      </c>
      <c r="U240" s="4">
        <v>297</v>
      </c>
      <c r="V240" s="4">
        <v>77</v>
      </c>
    </row>
    <row r="241" spans="1:22" x14ac:dyDescent="0.25">
      <c r="A241" s="2" t="s">
        <v>501</v>
      </c>
      <c r="B241" s="2" t="s">
        <v>502</v>
      </c>
      <c r="C241" s="3"/>
      <c r="D241" s="3"/>
      <c r="E241" s="3"/>
      <c r="F241" s="3"/>
      <c r="G241" s="3"/>
      <c r="H241" s="3"/>
      <c r="I241" s="3"/>
      <c r="J241" s="3"/>
      <c r="K241" s="3"/>
      <c r="L241" s="4">
        <v>149</v>
      </c>
      <c r="M241" s="4">
        <v>132</v>
      </c>
      <c r="N241" s="4">
        <v>133</v>
      </c>
      <c r="O241" s="4">
        <v>124</v>
      </c>
      <c r="P241" s="4">
        <v>133</v>
      </c>
      <c r="Q241" s="4">
        <v>100</v>
      </c>
      <c r="R241" s="4">
        <v>130</v>
      </c>
      <c r="S241" s="4">
        <v>134</v>
      </c>
      <c r="T241" s="4">
        <v>98</v>
      </c>
      <c r="U241" s="4">
        <v>86</v>
      </c>
      <c r="V241" s="4">
        <v>23</v>
      </c>
    </row>
    <row r="242" spans="1:22" x14ac:dyDescent="0.25">
      <c r="A242" s="2" t="s">
        <v>503</v>
      </c>
      <c r="B242" s="2" t="s">
        <v>504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>
        <v>274</v>
      </c>
      <c r="P242" s="4">
        <v>174</v>
      </c>
      <c r="Q242" s="4">
        <v>207</v>
      </c>
      <c r="R242" s="4">
        <v>221</v>
      </c>
      <c r="S242" s="4">
        <v>278</v>
      </c>
      <c r="T242" s="4">
        <v>249</v>
      </c>
      <c r="U242" s="4">
        <v>268</v>
      </c>
      <c r="V242" s="4">
        <v>93</v>
      </c>
    </row>
    <row r="243" spans="1:22" x14ac:dyDescent="0.25">
      <c r="A243" s="2" t="s">
        <v>505</v>
      </c>
      <c r="B243" s="2" t="s">
        <v>506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4">
        <v>406</v>
      </c>
      <c r="P243" s="4">
        <v>339</v>
      </c>
      <c r="Q243" s="4">
        <v>466</v>
      </c>
      <c r="R243" s="4">
        <v>493</v>
      </c>
      <c r="S243" s="4">
        <v>518</v>
      </c>
      <c r="T243" s="4">
        <v>506</v>
      </c>
      <c r="U243" s="4">
        <v>515</v>
      </c>
      <c r="V243" s="4">
        <v>126</v>
      </c>
    </row>
    <row r="244" spans="1:22" x14ac:dyDescent="0.25">
      <c r="A244" s="2" t="s">
        <v>507</v>
      </c>
      <c r="B244" s="2" t="s">
        <v>508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4">
        <v>1183</v>
      </c>
      <c r="O244" s="4">
        <v>1182</v>
      </c>
      <c r="P244" s="4">
        <v>1026</v>
      </c>
      <c r="Q244" s="4">
        <v>1103</v>
      </c>
      <c r="R244" s="4">
        <v>1225</v>
      </c>
      <c r="S244" s="4">
        <v>1172</v>
      </c>
      <c r="T244" s="4">
        <v>1193</v>
      </c>
      <c r="U244" s="4">
        <v>1146</v>
      </c>
      <c r="V244" s="4">
        <v>361</v>
      </c>
    </row>
    <row r="245" spans="1:22" x14ac:dyDescent="0.25">
      <c r="A245" s="2" t="s">
        <v>509</v>
      </c>
      <c r="B245" s="2" t="s">
        <v>510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4">
        <v>253</v>
      </c>
      <c r="P245" s="4">
        <v>223</v>
      </c>
      <c r="Q245" s="4">
        <v>202</v>
      </c>
      <c r="R245" s="4">
        <v>217</v>
      </c>
      <c r="S245" s="4">
        <v>286</v>
      </c>
      <c r="T245" s="4">
        <v>248</v>
      </c>
      <c r="U245" s="4">
        <v>262</v>
      </c>
      <c r="V245" s="4">
        <v>67</v>
      </c>
    </row>
    <row r="246" spans="1:22" x14ac:dyDescent="0.25">
      <c r="A246" s="2" t="s">
        <v>511</v>
      </c>
      <c r="B246" s="2" t="s">
        <v>512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4">
        <v>44</v>
      </c>
      <c r="P246" s="4">
        <v>37</v>
      </c>
      <c r="Q246" s="4">
        <v>37</v>
      </c>
      <c r="R246" s="4">
        <v>47</v>
      </c>
      <c r="S246" s="4">
        <v>40</v>
      </c>
      <c r="T246" s="4">
        <v>42</v>
      </c>
      <c r="U246" s="4">
        <v>44</v>
      </c>
      <c r="V246" s="4">
        <v>8</v>
      </c>
    </row>
    <row r="247" spans="1:22" x14ac:dyDescent="0.25">
      <c r="A247" s="2" t="s">
        <v>513</v>
      </c>
      <c r="B247" s="2" t="s">
        <v>514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>
        <v>43</v>
      </c>
      <c r="P247" s="4">
        <v>38</v>
      </c>
      <c r="Q247" s="4">
        <v>34</v>
      </c>
      <c r="R247" s="4">
        <v>41</v>
      </c>
      <c r="S247" s="4">
        <v>42</v>
      </c>
      <c r="T247" s="4">
        <v>55</v>
      </c>
      <c r="U247" s="4">
        <v>56</v>
      </c>
      <c r="V247" s="4">
        <v>13</v>
      </c>
    </row>
    <row r="248" spans="1:22" x14ac:dyDescent="0.25">
      <c r="A248" s="2" t="s">
        <v>515</v>
      </c>
      <c r="B248" s="2" t="s">
        <v>516</v>
      </c>
      <c r="C248" s="4">
        <v>1</v>
      </c>
      <c r="D248" s="3"/>
      <c r="E248" s="3"/>
      <c r="F248" s="3"/>
      <c r="G248" s="4">
        <v>1</v>
      </c>
      <c r="H248" s="3"/>
      <c r="I248" s="3"/>
      <c r="J248" s="3"/>
      <c r="K248" s="3"/>
      <c r="L248" s="3"/>
      <c r="M248" s="3"/>
      <c r="N248" s="4">
        <v>22</v>
      </c>
      <c r="O248" s="4">
        <v>95</v>
      </c>
      <c r="P248" s="4">
        <v>90</v>
      </c>
      <c r="Q248" s="4">
        <v>81</v>
      </c>
      <c r="R248" s="4">
        <v>86</v>
      </c>
      <c r="S248" s="4">
        <v>105</v>
      </c>
      <c r="T248" s="4">
        <v>92</v>
      </c>
      <c r="U248" s="4">
        <v>110</v>
      </c>
      <c r="V248" s="4">
        <v>30</v>
      </c>
    </row>
    <row r="249" spans="1:22" x14ac:dyDescent="0.25">
      <c r="A249" s="2" t="s">
        <v>517</v>
      </c>
      <c r="B249" s="2" t="s">
        <v>518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4">
        <v>1</v>
      </c>
      <c r="O249" s="4">
        <v>129</v>
      </c>
      <c r="P249" s="4">
        <v>141</v>
      </c>
      <c r="Q249" s="4">
        <v>139</v>
      </c>
      <c r="R249" s="4">
        <v>156</v>
      </c>
      <c r="S249" s="4">
        <v>135</v>
      </c>
      <c r="T249" s="4">
        <v>126</v>
      </c>
      <c r="U249" s="4">
        <v>162</v>
      </c>
      <c r="V249" s="4">
        <v>34</v>
      </c>
    </row>
    <row r="250" spans="1:22" x14ac:dyDescent="0.25">
      <c r="A250" s="2" t="s">
        <v>519</v>
      </c>
      <c r="B250" s="2" t="s">
        <v>520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4">
        <v>179</v>
      </c>
      <c r="P250" s="4">
        <v>148</v>
      </c>
      <c r="Q250" s="4">
        <v>153</v>
      </c>
      <c r="R250" s="4">
        <v>154</v>
      </c>
      <c r="S250" s="4">
        <v>163</v>
      </c>
      <c r="T250" s="4">
        <v>136</v>
      </c>
      <c r="U250" s="4">
        <v>175</v>
      </c>
      <c r="V250" s="4">
        <v>39</v>
      </c>
    </row>
    <row r="251" spans="1:22" x14ac:dyDescent="0.25">
      <c r="A251" s="2" t="s">
        <v>521</v>
      </c>
      <c r="B251" s="2" t="s">
        <v>522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4">
        <v>301</v>
      </c>
      <c r="P251" s="4">
        <v>32</v>
      </c>
      <c r="Q251" s="4">
        <v>13</v>
      </c>
      <c r="R251" s="4">
        <v>9</v>
      </c>
      <c r="S251" s="4">
        <v>2</v>
      </c>
      <c r="T251" s="4">
        <v>2</v>
      </c>
      <c r="U251" s="4">
        <v>17</v>
      </c>
      <c r="V251" s="4">
        <v>1</v>
      </c>
    </row>
    <row r="252" spans="1:22" x14ac:dyDescent="0.25">
      <c r="A252" s="2" t="s">
        <v>523</v>
      </c>
      <c r="B252" s="2" t="s">
        <v>524</v>
      </c>
      <c r="C252" s="4">
        <v>1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>
        <v>151</v>
      </c>
      <c r="P252" s="4">
        <v>249</v>
      </c>
      <c r="Q252" s="4">
        <v>168</v>
      </c>
      <c r="R252" s="4">
        <v>193</v>
      </c>
      <c r="S252" s="4">
        <v>295</v>
      </c>
      <c r="T252" s="4">
        <v>391</v>
      </c>
      <c r="U252" s="4">
        <v>502</v>
      </c>
      <c r="V252" s="4">
        <v>91</v>
      </c>
    </row>
    <row r="253" spans="1:22" x14ac:dyDescent="0.25">
      <c r="A253" s="2" t="s">
        <v>525</v>
      </c>
      <c r="B253" s="2" t="s">
        <v>526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4">
        <v>35</v>
      </c>
      <c r="P253" s="4">
        <v>30</v>
      </c>
      <c r="Q253" s="4">
        <v>28</v>
      </c>
      <c r="R253" s="4">
        <v>35</v>
      </c>
      <c r="S253" s="4">
        <v>31</v>
      </c>
      <c r="T253" s="4">
        <v>23</v>
      </c>
      <c r="U253" s="4">
        <v>49</v>
      </c>
      <c r="V253" s="4">
        <v>9</v>
      </c>
    </row>
    <row r="254" spans="1:22" x14ac:dyDescent="0.25">
      <c r="A254" s="2" t="s">
        <v>527</v>
      </c>
      <c r="B254" s="2" t="s">
        <v>528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4">
        <v>281</v>
      </c>
      <c r="O254" s="4">
        <v>273</v>
      </c>
      <c r="P254" s="4">
        <v>248</v>
      </c>
      <c r="Q254" s="4">
        <v>243</v>
      </c>
      <c r="R254" s="4">
        <v>266</v>
      </c>
      <c r="S254" s="4">
        <v>297</v>
      </c>
      <c r="T254" s="4">
        <v>268</v>
      </c>
      <c r="U254" s="4">
        <v>263</v>
      </c>
      <c r="V254" s="4">
        <v>95</v>
      </c>
    </row>
    <row r="255" spans="1:22" x14ac:dyDescent="0.25">
      <c r="A255" s="2" t="s">
        <v>529</v>
      </c>
      <c r="B255" s="2" t="s">
        <v>530</v>
      </c>
      <c r="C255" s="4">
        <v>1</v>
      </c>
      <c r="D255" s="4">
        <v>1</v>
      </c>
      <c r="E255" s="3"/>
      <c r="F255" s="3"/>
      <c r="G255" s="4">
        <v>1</v>
      </c>
      <c r="H255" s="3"/>
      <c r="I255" s="3"/>
      <c r="J255" s="3"/>
      <c r="K255" s="3"/>
      <c r="L255" s="3"/>
      <c r="M255" s="3"/>
      <c r="N255" s="3"/>
      <c r="O255" s="4">
        <v>274</v>
      </c>
      <c r="P255" s="4">
        <v>256</v>
      </c>
      <c r="Q255" s="4">
        <v>257</v>
      </c>
      <c r="R255" s="4">
        <v>264</v>
      </c>
      <c r="S255" s="4">
        <v>281</v>
      </c>
      <c r="T255" s="4">
        <v>265</v>
      </c>
      <c r="U255" s="4">
        <v>294</v>
      </c>
      <c r="V255" s="4">
        <v>87</v>
      </c>
    </row>
    <row r="256" spans="1:22" x14ac:dyDescent="0.25">
      <c r="A256" s="2" t="s">
        <v>531</v>
      </c>
      <c r="B256" s="2" t="s">
        <v>532</v>
      </c>
      <c r="C256" s="3"/>
      <c r="D256" s="3"/>
      <c r="E256" s="3"/>
      <c r="F256" s="3"/>
      <c r="G256" s="4">
        <v>6</v>
      </c>
      <c r="H256" s="3"/>
      <c r="I256" s="3"/>
      <c r="J256" s="3"/>
      <c r="K256" s="3"/>
      <c r="L256" s="3"/>
      <c r="M256" s="3"/>
      <c r="N256" s="3"/>
      <c r="O256" s="4">
        <v>363</v>
      </c>
      <c r="P256" s="4">
        <v>330</v>
      </c>
      <c r="Q256" s="4">
        <v>310</v>
      </c>
      <c r="R256" s="4">
        <v>356</v>
      </c>
      <c r="S256" s="4">
        <v>460</v>
      </c>
      <c r="T256" s="4">
        <v>374</v>
      </c>
      <c r="U256" s="4">
        <v>400</v>
      </c>
      <c r="V256" s="4">
        <v>82</v>
      </c>
    </row>
    <row r="257" spans="1:22" x14ac:dyDescent="0.25">
      <c r="A257" s="2" t="s">
        <v>533</v>
      </c>
      <c r="B257" s="2" t="s">
        <v>534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4">
        <v>2</v>
      </c>
      <c r="O257" s="4">
        <v>473</v>
      </c>
      <c r="P257" s="4">
        <v>452</v>
      </c>
      <c r="Q257" s="4">
        <v>439</v>
      </c>
      <c r="R257" s="4">
        <v>438</v>
      </c>
      <c r="S257" s="4">
        <v>434</v>
      </c>
      <c r="T257" s="4">
        <v>463</v>
      </c>
      <c r="U257" s="4">
        <v>460</v>
      </c>
      <c r="V257" s="4">
        <v>152</v>
      </c>
    </row>
    <row r="258" spans="1:22" x14ac:dyDescent="0.25">
      <c r="A258" s="2" t="s">
        <v>535</v>
      </c>
      <c r="B258" s="2" t="s">
        <v>536</v>
      </c>
      <c r="C258" s="3"/>
      <c r="D258" s="3"/>
      <c r="E258" s="3"/>
      <c r="F258" s="3"/>
      <c r="G258" s="3"/>
      <c r="H258" s="3"/>
      <c r="I258" s="3"/>
      <c r="J258" s="3"/>
      <c r="K258" s="3"/>
      <c r="L258" s="4">
        <v>1</v>
      </c>
      <c r="M258" s="4">
        <v>22</v>
      </c>
      <c r="N258" s="4">
        <v>953</v>
      </c>
      <c r="O258" s="4">
        <v>918</v>
      </c>
      <c r="P258" s="4">
        <v>850</v>
      </c>
      <c r="Q258" s="4">
        <v>894</v>
      </c>
      <c r="R258" s="4">
        <v>773</v>
      </c>
      <c r="S258" s="4">
        <v>971</v>
      </c>
      <c r="T258" s="4">
        <v>893</v>
      </c>
      <c r="U258" s="4">
        <v>960</v>
      </c>
      <c r="V258" s="4">
        <v>250</v>
      </c>
    </row>
    <row r="259" spans="1:22" x14ac:dyDescent="0.25">
      <c r="A259" s="2" t="s">
        <v>537</v>
      </c>
      <c r="B259" s="2" t="s">
        <v>538</v>
      </c>
      <c r="C259" s="3"/>
      <c r="D259" s="3"/>
      <c r="E259" s="3"/>
      <c r="F259" s="3"/>
      <c r="G259" s="3"/>
      <c r="H259" s="3"/>
      <c r="I259" s="3"/>
      <c r="J259" s="3"/>
      <c r="K259" s="3"/>
      <c r="L259" s="4">
        <v>112</v>
      </c>
      <c r="M259" s="4">
        <v>125</v>
      </c>
      <c r="N259" s="4">
        <v>142</v>
      </c>
      <c r="O259" s="4">
        <v>111</v>
      </c>
      <c r="P259" s="4">
        <v>118</v>
      </c>
      <c r="Q259" s="4">
        <v>113</v>
      </c>
      <c r="R259" s="4">
        <v>100</v>
      </c>
      <c r="S259" s="4">
        <v>106</v>
      </c>
      <c r="T259" s="4">
        <v>122</v>
      </c>
      <c r="U259" s="4">
        <v>127</v>
      </c>
      <c r="V259" s="4">
        <v>38</v>
      </c>
    </row>
    <row r="260" spans="1:22" x14ac:dyDescent="0.25">
      <c r="A260" s="2" t="s">
        <v>539</v>
      </c>
      <c r="B260" s="2" t="s">
        <v>540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4">
        <v>10</v>
      </c>
      <c r="O260" s="4">
        <v>576</v>
      </c>
      <c r="P260" s="4">
        <v>478</v>
      </c>
      <c r="Q260" s="4">
        <v>521</v>
      </c>
      <c r="R260" s="4">
        <v>486</v>
      </c>
      <c r="S260" s="4">
        <v>478</v>
      </c>
      <c r="T260" s="4">
        <v>576</v>
      </c>
      <c r="U260" s="4">
        <v>428</v>
      </c>
      <c r="V260" s="4">
        <v>27</v>
      </c>
    </row>
    <row r="261" spans="1:22" x14ac:dyDescent="0.25">
      <c r="A261" s="2" t="s">
        <v>541</v>
      </c>
      <c r="B261" s="2" t="s">
        <v>542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4">
        <v>1000</v>
      </c>
      <c r="P261" s="4">
        <v>866</v>
      </c>
      <c r="Q261" s="4">
        <v>928</v>
      </c>
      <c r="R261" s="4">
        <v>898</v>
      </c>
      <c r="S261" s="4">
        <v>1049</v>
      </c>
      <c r="T261" s="4">
        <v>1004</v>
      </c>
      <c r="U261" s="4">
        <v>1013</v>
      </c>
      <c r="V261" s="4">
        <v>270</v>
      </c>
    </row>
    <row r="262" spans="1:22" x14ac:dyDescent="0.25">
      <c r="A262" s="2" t="s">
        <v>543</v>
      </c>
      <c r="B262" s="2" t="s">
        <v>544</v>
      </c>
      <c r="C262" s="3"/>
      <c r="D262" s="3"/>
      <c r="E262" s="3"/>
      <c r="F262" s="3"/>
      <c r="G262" s="3"/>
      <c r="H262" s="3"/>
      <c r="I262" s="3"/>
      <c r="J262" s="3"/>
      <c r="K262" s="4">
        <v>420</v>
      </c>
      <c r="L262" s="4">
        <v>396</v>
      </c>
      <c r="M262" s="4">
        <v>400</v>
      </c>
      <c r="N262" s="4">
        <v>395</v>
      </c>
      <c r="O262" s="4">
        <v>396</v>
      </c>
      <c r="P262" s="4">
        <v>376</v>
      </c>
      <c r="Q262" s="4">
        <v>368</v>
      </c>
      <c r="R262" s="4">
        <v>385</v>
      </c>
      <c r="S262" s="4">
        <v>396</v>
      </c>
      <c r="T262" s="4">
        <v>361</v>
      </c>
      <c r="U262" s="4">
        <v>422</v>
      </c>
      <c r="V262" s="4">
        <v>117</v>
      </c>
    </row>
    <row r="263" spans="1:22" x14ac:dyDescent="0.25">
      <c r="A263" s="2" t="s">
        <v>545</v>
      </c>
      <c r="B263" s="2" t="s">
        <v>546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>
        <v>9</v>
      </c>
      <c r="N263" s="4">
        <v>592</v>
      </c>
      <c r="O263" s="4">
        <v>618</v>
      </c>
      <c r="P263" s="4">
        <v>530</v>
      </c>
      <c r="Q263" s="4">
        <v>565</v>
      </c>
      <c r="R263" s="4">
        <v>534</v>
      </c>
      <c r="S263" s="4">
        <v>564</v>
      </c>
      <c r="T263" s="4">
        <v>551</v>
      </c>
      <c r="U263" s="4">
        <v>577</v>
      </c>
      <c r="V263" s="4">
        <v>161</v>
      </c>
    </row>
    <row r="264" spans="1:22" x14ac:dyDescent="0.25">
      <c r="A264" s="2" t="s">
        <v>547</v>
      </c>
      <c r="B264" s="2" t="s">
        <v>548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4">
        <v>501</v>
      </c>
      <c r="O264" s="4">
        <v>508</v>
      </c>
      <c r="P264" s="4">
        <v>467</v>
      </c>
      <c r="Q264" s="4">
        <v>424</v>
      </c>
      <c r="R264" s="4">
        <v>411</v>
      </c>
      <c r="S264" s="4">
        <v>484</v>
      </c>
      <c r="T264" s="4">
        <v>459</v>
      </c>
      <c r="U264" s="4">
        <v>459</v>
      </c>
      <c r="V264" s="4">
        <v>158</v>
      </c>
    </row>
    <row r="265" spans="1:22" x14ac:dyDescent="0.25">
      <c r="A265" s="2" t="s">
        <v>549</v>
      </c>
      <c r="B265" s="2" t="s">
        <v>550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>
        <v>196</v>
      </c>
      <c r="N265" s="4">
        <v>308</v>
      </c>
      <c r="O265" s="4">
        <v>262</v>
      </c>
      <c r="P265" s="4">
        <v>234</v>
      </c>
      <c r="Q265" s="4">
        <v>289</v>
      </c>
      <c r="R265" s="4">
        <v>236</v>
      </c>
      <c r="S265" s="4">
        <v>271</v>
      </c>
      <c r="T265" s="4">
        <v>263</v>
      </c>
      <c r="U265" s="4">
        <v>247</v>
      </c>
      <c r="V265" s="4">
        <v>81</v>
      </c>
    </row>
    <row r="266" spans="1:22" x14ac:dyDescent="0.25">
      <c r="A266" s="2" t="s">
        <v>551</v>
      </c>
      <c r="B266" s="2" t="s">
        <v>552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4">
        <v>2</v>
      </c>
      <c r="O266" s="4">
        <v>280</v>
      </c>
      <c r="P266" s="4">
        <v>252</v>
      </c>
      <c r="Q266" s="4">
        <v>296</v>
      </c>
      <c r="R266" s="4">
        <v>282</v>
      </c>
      <c r="S266" s="4">
        <v>300</v>
      </c>
      <c r="T266" s="4">
        <v>305</v>
      </c>
      <c r="U266" s="4">
        <v>275</v>
      </c>
      <c r="V266" s="4">
        <v>105</v>
      </c>
    </row>
    <row r="267" spans="1:22" x14ac:dyDescent="0.25">
      <c r="A267" s="2" t="s">
        <v>553</v>
      </c>
      <c r="B267" s="2" t="s">
        <v>554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>
        <v>1</v>
      </c>
      <c r="N267" s="4">
        <v>9</v>
      </c>
      <c r="O267" s="4">
        <v>467</v>
      </c>
      <c r="P267" s="4">
        <v>528</v>
      </c>
      <c r="Q267" s="4">
        <v>561</v>
      </c>
      <c r="R267" s="4">
        <v>563</v>
      </c>
      <c r="S267" s="4">
        <v>633</v>
      </c>
      <c r="T267" s="4">
        <v>617</v>
      </c>
      <c r="U267" s="4">
        <v>627</v>
      </c>
      <c r="V267" s="4">
        <v>172</v>
      </c>
    </row>
    <row r="268" spans="1:22" x14ac:dyDescent="0.25">
      <c r="A268" s="2" t="s">
        <v>555</v>
      </c>
      <c r="B268" s="2" t="s">
        <v>556</v>
      </c>
      <c r="C268" s="3"/>
      <c r="D268" s="3"/>
      <c r="E268" s="3"/>
      <c r="F268" s="3"/>
      <c r="G268" s="3"/>
      <c r="H268" s="3"/>
      <c r="I268" s="3"/>
      <c r="J268" s="3"/>
      <c r="K268" s="3"/>
      <c r="L268" s="4">
        <v>15</v>
      </c>
      <c r="M268" s="4">
        <v>221</v>
      </c>
      <c r="N268" s="4">
        <v>267</v>
      </c>
      <c r="O268" s="4">
        <v>241</v>
      </c>
      <c r="P268" s="4">
        <v>237</v>
      </c>
      <c r="Q268" s="4">
        <v>255</v>
      </c>
      <c r="R268" s="4">
        <v>204</v>
      </c>
      <c r="S268" s="4">
        <v>229</v>
      </c>
      <c r="T268" s="4">
        <v>260</v>
      </c>
      <c r="U268" s="4">
        <v>250</v>
      </c>
      <c r="V268" s="4">
        <v>80</v>
      </c>
    </row>
    <row r="269" spans="1:22" x14ac:dyDescent="0.25">
      <c r="A269" s="2" t="s">
        <v>557</v>
      </c>
      <c r="B269" s="2" t="s">
        <v>558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4">
        <v>152</v>
      </c>
      <c r="P269" s="4">
        <v>141</v>
      </c>
      <c r="Q269" s="4">
        <v>152</v>
      </c>
      <c r="R269" s="4">
        <v>135</v>
      </c>
      <c r="S269" s="4">
        <v>155</v>
      </c>
      <c r="T269" s="4">
        <v>167</v>
      </c>
      <c r="U269" s="4">
        <v>171</v>
      </c>
      <c r="V269" s="4">
        <v>48</v>
      </c>
    </row>
    <row r="270" spans="1:22" x14ac:dyDescent="0.25">
      <c r="A270" s="2" t="s">
        <v>559</v>
      </c>
      <c r="B270" s="2" t="s">
        <v>560</v>
      </c>
      <c r="C270" s="3"/>
      <c r="D270" s="3"/>
      <c r="E270" s="3"/>
      <c r="F270" s="3"/>
      <c r="G270" s="3"/>
      <c r="H270" s="3"/>
      <c r="I270" s="4">
        <v>408</v>
      </c>
      <c r="J270" s="4">
        <v>404</v>
      </c>
      <c r="K270" s="4">
        <v>424</v>
      </c>
      <c r="L270" s="4">
        <v>375</v>
      </c>
      <c r="M270" s="4">
        <v>380</v>
      </c>
      <c r="N270" s="4">
        <v>479</v>
      </c>
      <c r="O270" s="4">
        <v>429</v>
      </c>
      <c r="P270" s="4">
        <v>364</v>
      </c>
      <c r="Q270" s="4">
        <v>450</v>
      </c>
      <c r="R270" s="4">
        <v>404</v>
      </c>
      <c r="S270" s="4">
        <v>411</v>
      </c>
      <c r="T270" s="4">
        <v>417</v>
      </c>
      <c r="U270" s="4">
        <v>443</v>
      </c>
      <c r="V270" s="4">
        <v>144</v>
      </c>
    </row>
    <row r="271" spans="1:22" x14ac:dyDescent="0.25">
      <c r="A271" s="2" t="s">
        <v>561</v>
      </c>
      <c r="B271" s="2" t="s">
        <v>562</v>
      </c>
      <c r="C271" s="3"/>
      <c r="D271" s="3"/>
      <c r="E271" s="3"/>
      <c r="F271" s="3"/>
      <c r="G271" s="3"/>
      <c r="H271" s="3"/>
      <c r="I271" s="3"/>
      <c r="J271" s="3"/>
      <c r="K271" s="3"/>
      <c r="L271" s="4">
        <v>13</v>
      </c>
      <c r="M271" s="4">
        <v>587</v>
      </c>
      <c r="N271" s="4">
        <v>671</v>
      </c>
      <c r="O271" s="4">
        <v>657</v>
      </c>
      <c r="P271" s="4">
        <v>591</v>
      </c>
      <c r="Q271" s="4">
        <v>595</v>
      </c>
      <c r="R271" s="4">
        <v>536</v>
      </c>
      <c r="S271" s="4">
        <v>607</v>
      </c>
      <c r="T271" s="4">
        <v>650</v>
      </c>
      <c r="U271" s="4">
        <v>699</v>
      </c>
      <c r="V271" s="4">
        <v>157</v>
      </c>
    </row>
    <row r="272" spans="1:22" x14ac:dyDescent="0.25">
      <c r="A272" s="2" t="s">
        <v>563</v>
      </c>
      <c r="B272" s="2" t="s">
        <v>564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4">
        <v>1</v>
      </c>
      <c r="O272" s="4">
        <v>130</v>
      </c>
      <c r="P272" s="4">
        <v>141</v>
      </c>
      <c r="Q272" s="4">
        <v>182</v>
      </c>
      <c r="R272" s="4">
        <v>145</v>
      </c>
      <c r="S272" s="4">
        <v>171</v>
      </c>
      <c r="T272" s="4">
        <v>174</v>
      </c>
      <c r="U272" s="4">
        <v>143</v>
      </c>
      <c r="V272" s="4">
        <v>39</v>
      </c>
    </row>
    <row r="273" spans="1:22" x14ac:dyDescent="0.25">
      <c r="A273" s="2" t="s">
        <v>565</v>
      </c>
      <c r="B273" s="2" t="s">
        <v>566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4">
        <v>286</v>
      </c>
      <c r="O273" s="4">
        <v>293</v>
      </c>
      <c r="P273" s="4">
        <v>244</v>
      </c>
      <c r="Q273" s="4">
        <v>249</v>
      </c>
      <c r="R273" s="4">
        <v>246</v>
      </c>
      <c r="S273" s="4">
        <v>256</v>
      </c>
      <c r="T273" s="4">
        <v>280</v>
      </c>
      <c r="U273" s="4">
        <v>273</v>
      </c>
      <c r="V273" s="4">
        <v>73</v>
      </c>
    </row>
    <row r="274" spans="1:22" x14ac:dyDescent="0.25">
      <c r="A274" s="2" t="s">
        <v>567</v>
      </c>
      <c r="B274" s="2" t="s">
        <v>568</v>
      </c>
      <c r="C274" s="3"/>
      <c r="D274" s="3"/>
      <c r="E274" s="3"/>
      <c r="F274" s="3"/>
      <c r="G274" s="3"/>
      <c r="H274" s="3"/>
      <c r="I274" s="3"/>
      <c r="J274" s="3"/>
      <c r="K274" s="4">
        <v>1</v>
      </c>
      <c r="L274" s="4">
        <v>131</v>
      </c>
      <c r="M274" s="4">
        <v>307</v>
      </c>
      <c r="N274" s="4">
        <v>380</v>
      </c>
      <c r="O274" s="4">
        <v>355</v>
      </c>
      <c r="P274" s="4">
        <v>290</v>
      </c>
      <c r="Q274" s="4">
        <v>323</v>
      </c>
      <c r="R274" s="4">
        <v>331</v>
      </c>
      <c r="S274" s="4">
        <v>376</v>
      </c>
      <c r="T274" s="4">
        <v>320</v>
      </c>
      <c r="U274" s="4">
        <v>320</v>
      </c>
      <c r="V274" s="4">
        <v>94</v>
      </c>
    </row>
    <row r="275" spans="1:22" x14ac:dyDescent="0.25">
      <c r="A275" s="2" t="s">
        <v>569</v>
      </c>
      <c r="B275" s="2" t="s">
        <v>570</v>
      </c>
      <c r="C275" s="3"/>
      <c r="D275" s="4">
        <v>1</v>
      </c>
      <c r="E275" s="4">
        <v>1</v>
      </c>
      <c r="F275" s="3"/>
      <c r="G275" s="4">
        <v>3</v>
      </c>
      <c r="H275" s="4">
        <v>1</v>
      </c>
      <c r="I275" s="3"/>
      <c r="J275" s="4">
        <v>1</v>
      </c>
      <c r="K275" s="4">
        <v>1</v>
      </c>
      <c r="L275" s="3"/>
      <c r="M275" s="4">
        <v>325</v>
      </c>
      <c r="N275" s="4">
        <v>413</v>
      </c>
      <c r="O275" s="4">
        <v>406</v>
      </c>
      <c r="P275" s="4">
        <v>298</v>
      </c>
      <c r="Q275" s="4">
        <v>354</v>
      </c>
      <c r="R275" s="4">
        <v>361</v>
      </c>
      <c r="S275" s="4">
        <v>373</v>
      </c>
      <c r="T275" s="4">
        <v>372</v>
      </c>
      <c r="U275" s="4">
        <v>411</v>
      </c>
      <c r="V275" s="4">
        <v>138</v>
      </c>
    </row>
    <row r="276" spans="1:22" x14ac:dyDescent="0.25">
      <c r="A276" s="2" t="s">
        <v>571</v>
      </c>
      <c r="B276" s="2" t="s">
        <v>572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4">
        <v>596</v>
      </c>
      <c r="O276" s="4">
        <v>575</v>
      </c>
      <c r="P276" s="4">
        <v>548</v>
      </c>
      <c r="Q276" s="4">
        <v>586</v>
      </c>
      <c r="R276" s="4">
        <v>561</v>
      </c>
      <c r="S276" s="4">
        <v>593</v>
      </c>
      <c r="T276" s="4">
        <v>548</v>
      </c>
      <c r="U276" s="4">
        <v>516</v>
      </c>
      <c r="V276" s="4">
        <v>174</v>
      </c>
    </row>
    <row r="277" spans="1:22" x14ac:dyDescent="0.25">
      <c r="A277" s="2" t="s">
        <v>573</v>
      </c>
      <c r="B277" s="2" t="s">
        <v>574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4">
        <v>131</v>
      </c>
      <c r="P277" s="4">
        <v>192</v>
      </c>
      <c r="Q277" s="4">
        <v>165</v>
      </c>
      <c r="R277" s="4">
        <v>133</v>
      </c>
      <c r="S277" s="4">
        <v>135</v>
      </c>
      <c r="T277" s="4">
        <v>177</v>
      </c>
      <c r="U277" s="4">
        <v>174</v>
      </c>
      <c r="V277" s="4">
        <v>61</v>
      </c>
    </row>
    <row r="278" spans="1:22" x14ac:dyDescent="0.25">
      <c r="A278" s="2" t="s">
        <v>575</v>
      </c>
      <c r="B278" s="2" t="s">
        <v>576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4">
        <v>1</v>
      </c>
      <c r="O278" s="4">
        <v>31</v>
      </c>
      <c r="P278" s="4">
        <v>35</v>
      </c>
      <c r="Q278" s="4">
        <v>6</v>
      </c>
      <c r="R278" s="4">
        <v>21</v>
      </c>
      <c r="S278" s="4">
        <v>31</v>
      </c>
      <c r="T278" s="4">
        <v>34</v>
      </c>
      <c r="U278" s="4">
        <v>51</v>
      </c>
      <c r="V278" s="4">
        <v>27</v>
      </c>
    </row>
    <row r="279" spans="1:22" x14ac:dyDescent="0.25">
      <c r="A279" s="2" t="s">
        <v>577</v>
      </c>
      <c r="B279" s="2" t="s">
        <v>578</v>
      </c>
      <c r="C279" s="3"/>
      <c r="D279" s="3"/>
      <c r="E279" s="3"/>
      <c r="F279" s="3"/>
      <c r="G279" s="3"/>
      <c r="H279" s="3"/>
      <c r="I279" s="4">
        <v>1</v>
      </c>
      <c r="J279" s="3"/>
      <c r="K279" s="3"/>
      <c r="L279" s="3"/>
      <c r="M279" s="3"/>
      <c r="N279" s="3"/>
      <c r="O279" s="4">
        <v>243</v>
      </c>
      <c r="P279" s="4">
        <v>208</v>
      </c>
      <c r="Q279" s="4">
        <v>182</v>
      </c>
      <c r="R279" s="4">
        <v>200</v>
      </c>
      <c r="S279" s="4">
        <v>205</v>
      </c>
      <c r="T279" s="4">
        <v>199</v>
      </c>
      <c r="U279" s="4">
        <v>195</v>
      </c>
      <c r="V279" s="4">
        <v>50</v>
      </c>
    </row>
    <row r="280" spans="1:22" x14ac:dyDescent="0.25">
      <c r="A280" s="2" t="s">
        <v>579</v>
      </c>
      <c r="B280" s="2" t="s">
        <v>580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4">
        <v>32</v>
      </c>
      <c r="O280" s="4">
        <v>532</v>
      </c>
      <c r="P280" s="4">
        <v>470</v>
      </c>
      <c r="Q280" s="4">
        <v>441</v>
      </c>
      <c r="R280" s="4">
        <v>451</v>
      </c>
      <c r="S280" s="4">
        <v>467</v>
      </c>
      <c r="T280" s="4">
        <v>470</v>
      </c>
      <c r="U280" s="4">
        <v>457</v>
      </c>
      <c r="V280" s="4">
        <v>157</v>
      </c>
    </row>
    <row r="281" spans="1:22" x14ac:dyDescent="0.25">
      <c r="A281" s="2" t="s">
        <v>581</v>
      </c>
      <c r="B281" s="2" t="s">
        <v>582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>
        <v>5</v>
      </c>
      <c r="N281" s="4">
        <v>461</v>
      </c>
      <c r="O281" s="4">
        <v>486</v>
      </c>
      <c r="P281" s="4">
        <v>432</v>
      </c>
      <c r="Q281" s="4">
        <v>427</v>
      </c>
      <c r="R281" s="4">
        <v>426</v>
      </c>
      <c r="S281" s="4">
        <v>473</v>
      </c>
      <c r="T281" s="4">
        <v>518</v>
      </c>
      <c r="U281" s="4">
        <v>494</v>
      </c>
      <c r="V281" s="4">
        <v>107</v>
      </c>
    </row>
    <row r="282" spans="1:22" x14ac:dyDescent="0.25">
      <c r="A282" s="2" t="s">
        <v>583</v>
      </c>
      <c r="B282" s="2" t="s">
        <v>584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4">
        <v>211</v>
      </c>
      <c r="P282" s="4">
        <v>173</v>
      </c>
      <c r="Q282" s="4">
        <v>187</v>
      </c>
      <c r="R282" s="4">
        <v>212</v>
      </c>
      <c r="S282" s="4">
        <v>174</v>
      </c>
      <c r="T282" s="4">
        <v>202</v>
      </c>
      <c r="U282" s="4">
        <v>217</v>
      </c>
      <c r="V282" s="4">
        <v>55</v>
      </c>
    </row>
    <row r="283" spans="1:22" x14ac:dyDescent="0.25">
      <c r="A283" s="2" t="s">
        <v>585</v>
      </c>
      <c r="B283" s="2" t="s">
        <v>586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4">
        <v>170</v>
      </c>
      <c r="O283" s="4">
        <v>269</v>
      </c>
      <c r="P283" s="4">
        <v>246</v>
      </c>
      <c r="Q283" s="4">
        <v>243</v>
      </c>
      <c r="R283" s="4">
        <v>241</v>
      </c>
      <c r="S283" s="4">
        <v>227</v>
      </c>
      <c r="T283" s="4">
        <v>230</v>
      </c>
      <c r="U283" s="4">
        <v>253</v>
      </c>
      <c r="V283" s="4">
        <v>83</v>
      </c>
    </row>
    <row r="284" spans="1:22" x14ac:dyDescent="0.25">
      <c r="A284" s="2" t="s">
        <v>587</v>
      </c>
      <c r="B284" s="2" t="s">
        <v>588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>
        <v>1172</v>
      </c>
      <c r="P284" s="4">
        <v>1269</v>
      </c>
      <c r="Q284" s="4">
        <v>1095</v>
      </c>
      <c r="R284" s="4">
        <v>1104</v>
      </c>
      <c r="S284" s="4">
        <v>1214</v>
      </c>
      <c r="T284" s="4">
        <v>1190</v>
      </c>
      <c r="U284" s="4">
        <v>1107</v>
      </c>
      <c r="V284" s="4">
        <v>373</v>
      </c>
    </row>
    <row r="285" spans="1:22" x14ac:dyDescent="0.25">
      <c r="A285" s="2" t="s">
        <v>589</v>
      </c>
      <c r="B285" s="2" t="s">
        <v>590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4">
        <v>269</v>
      </c>
      <c r="P285" s="4">
        <v>300</v>
      </c>
      <c r="Q285" s="4">
        <v>241</v>
      </c>
      <c r="R285" s="4">
        <v>212</v>
      </c>
      <c r="S285" s="4">
        <v>236</v>
      </c>
      <c r="T285" s="4">
        <v>261</v>
      </c>
      <c r="U285" s="4">
        <v>252</v>
      </c>
      <c r="V285" s="4">
        <v>74</v>
      </c>
    </row>
    <row r="286" spans="1:22" x14ac:dyDescent="0.25">
      <c r="A286" s="2" t="s">
        <v>591</v>
      </c>
      <c r="B286" s="2" t="s">
        <v>592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4">
        <v>150</v>
      </c>
      <c r="P286" s="4">
        <v>150</v>
      </c>
      <c r="Q286" s="4">
        <v>115</v>
      </c>
      <c r="R286" s="4">
        <v>149</v>
      </c>
      <c r="S286" s="4">
        <v>138</v>
      </c>
      <c r="T286" s="4">
        <v>145</v>
      </c>
      <c r="U286" s="4">
        <v>154</v>
      </c>
      <c r="V286" s="4">
        <v>44</v>
      </c>
    </row>
    <row r="287" spans="1:22" x14ac:dyDescent="0.25">
      <c r="A287" s="2" t="s">
        <v>593</v>
      </c>
      <c r="B287" s="2" t="s">
        <v>594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4">
        <v>271</v>
      </c>
      <c r="P287" s="4">
        <v>254</v>
      </c>
      <c r="Q287" s="4">
        <v>302</v>
      </c>
      <c r="R287" s="4">
        <v>234</v>
      </c>
      <c r="S287" s="4">
        <v>238</v>
      </c>
      <c r="T287" s="4">
        <v>267</v>
      </c>
      <c r="U287" s="4">
        <v>290</v>
      </c>
      <c r="V287" s="4">
        <v>88</v>
      </c>
    </row>
    <row r="288" spans="1:22" x14ac:dyDescent="0.25">
      <c r="A288" s="2" t="s">
        <v>595</v>
      </c>
      <c r="B288" s="2" t="s">
        <v>596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4">
        <v>148</v>
      </c>
      <c r="P288" s="4">
        <v>176</v>
      </c>
      <c r="Q288" s="4">
        <v>139</v>
      </c>
      <c r="R288" s="4">
        <v>103</v>
      </c>
      <c r="S288" s="4">
        <v>125</v>
      </c>
      <c r="T288" s="4">
        <v>138</v>
      </c>
      <c r="U288" s="4">
        <v>167</v>
      </c>
      <c r="V288" s="4">
        <v>29</v>
      </c>
    </row>
    <row r="289" spans="1:22" x14ac:dyDescent="0.25">
      <c r="A289" s="2" t="s">
        <v>597</v>
      </c>
      <c r="B289" s="2" t="s">
        <v>598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4">
        <v>306</v>
      </c>
      <c r="P289" s="4">
        <v>337</v>
      </c>
      <c r="Q289" s="4">
        <v>249</v>
      </c>
      <c r="R289" s="4">
        <v>243</v>
      </c>
      <c r="S289" s="4">
        <v>303</v>
      </c>
      <c r="T289" s="4">
        <v>352</v>
      </c>
      <c r="U289" s="4">
        <v>340</v>
      </c>
      <c r="V289" s="4">
        <v>100</v>
      </c>
    </row>
    <row r="290" spans="1:22" x14ac:dyDescent="0.25">
      <c r="A290" s="2" t="s">
        <v>599</v>
      </c>
      <c r="B290" s="2" t="s">
        <v>600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4">
        <v>230</v>
      </c>
      <c r="O290" s="4">
        <v>228</v>
      </c>
      <c r="P290" s="4">
        <v>201</v>
      </c>
      <c r="Q290" s="4">
        <v>197</v>
      </c>
      <c r="R290" s="4">
        <v>187</v>
      </c>
      <c r="S290" s="4">
        <v>199</v>
      </c>
      <c r="T290" s="4">
        <v>221</v>
      </c>
      <c r="U290" s="4">
        <v>222</v>
      </c>
      <c r="V290" s="4">
        <v>59</v>
      </c>
    </row>
    <row r="291" spans="1:22" x14ac:dyDescent="0.25">
      <c r="A291" s="2" t="s">
        <v>601</v>
      </c>
      <c r="B291" s="2" t="s">
        <v>602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4">
        <v>2</v>
      </c>
      <c r="O291" s="4">
        <v>251</v>
      </c>
      <c r="P291" s="4">
        <v>245</v>
      </c>
      <c r="Q291" s="4">
        <v>222</v>
      </c>
      <c r="R291" s="4">
        <v>162</v>
      </c>
      <c r="S291" s="4">
        <v>252</v>
      </c>
      <c r="T291" s="4">
        <v>261</v>
      </c>
      <c r="U291" s="4">
        <v>280</v>
      </c>
      <c r="V291" s="4">
        <v>10</v>
      </c>
    </row>
    <row r="292" spans="1:22" x14ac:dyDescent="0.25">
      <c r="A292" s="2" t="s">
        <v>603</v>
      </c>
      <c r="B292" s="2" t="s">
        <v>604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4">
        <v>107</v>
      </c>
      <c r="P292" s="4">
        <v>173</v>
      </c>
      <c r="Q292" s="4">
        <v>106</v>
      </c>
      <c r="R292" s="4">
        <v>91</v>
      </c>
      <c r="S292" s="4">
        <v>93</v>
      </c>
      <c r="T292" s="4">
        <v>105</v>
      </c>
      <c r="U292" s="4">
        <v>133</v>
      </c>
      <c r="V292" s="4">
        <v>32</v>
      </c>
    </row>
    <row r="293" spans="1:22" x14ac:dyDescent="0.25">
      <c r="A293" s="2" t="s">
        <v>605</v>
      </c>
      <c r="B293" s="2" t="s">
        <v>606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4">
        <v>263</v>
      </c>
      <c r="P293" s="4">
        <v>263</v>
      </c>
      <c r="Q293" s="4">
        <v>264</v>
      </c>
      <c r="R293" s="4">
        <v>273</v>
      </c>
      <c r="S293" s="4">
        <v>239</v>
      </c>
      <c r="T293" s="4">
        <v>305</v>
      </c>
      <c r="U293" s="4">
        <v>298</v>
      </c>
      <c r="V293" s="4">
        <v>79</v>
      </c>
    </row>
    <row r="294" spans="1:22" x14ac:dyDescent="0.25">
      <c r="A294" s="2" t="s">
        <v>607</v>
      </c>
      <c r="B294" s="2" t="s">
        <v>608</v>
      </c>
      <c r="C294" s="3"/>
      <c r="D294" s="3"/>
      <c r="E294" s="3"/>
      <c r="F294" s="3"/>
      <c r="G294" s="3"/>
      <c r="H294" s="3"/>
      <c r="I294" s="3"/>
      <c r="J294" s="3"/>
      <c r="K294" s="3"/>
      <c r="L294" s="4">
        <v>76</v>
      </c>
      <c r="M294" s="4">
        <v>76</v>
      </c>
      <c r="N294" s="4">
        <v>91</v>
      </c>
      <c r="O294" s="4">
        <v>78</v>
      </c>
      <c r="P294" s="4">
        <v>87</v>
      </c>
      <c r="Q294" s="4">
        <v>72</v>
      </c>
      <c r="R294" s="4">
        <v>84</v>
      </c>
      <c r="S294" s="4">
        <v>49</v>
      </c>
      <c r="T294" s="4">
        <v>70</v>
      </c>
      <c r="U294" s="4">
        <v>80</v>
      </c>
      <c r="V294" s="4">
        <v>26</v>
      </c>
    </row>
    <row r="295" spans="1:22" x14ac:dyDescent="0.25">
      <c r="A295" s="2" t="s">
        <v>609</v>
      </c>
      <c r="B295" s="2" t="s">
        <v>610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4">
        <v>455</v>
      </c>
      <c r="P295" s="4">
        <v>430</v>
      </c>
      <c r="Q295" s="4">
        <v>419</v>
      </c>
      <c r="R295" s="4">
        <v>422</v>
      </c>
      <c r="S295" s="4">
        <v>432</v>
      </c>
      <c r="T295" s="4">
        <v>434</v>
      </c>
      <c r="U295" s="4">
        <v>477</v>
      </c>
      <c r="V295" s="4">
        <v>125</v>
      </c>
    </row>
    <row r="296" spans="1:22" x14ac:dyDescent="0.25">
      <c r="A296" s="2" t="s">
        <v>611</v>
      </c>
      <c r="B296" s="2" t="s">
        <v>612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>
        <v>320</v>
      </c>
      <c r="P296" s="4">
        <v>347</v>
      </c>
      <c r="Q296" s="4">
        <v>318</v>
      </c>
      <c r="R296" s="4">
        <v>312</v>
      </c>
      <c r="S296" s="4">
        <v>343</v>
      </c>
      <c r="T296" s="4">
        <v>279</v>
      </c>
      <c r="U296" s="4">
        <v>325</v>
      </c>
      <c r="V296" s="4">
        <v>113</v>
      </c>
    </row>
    <row r="297" spans="1:22" x14ac:dyDescent="0.25">
      <c r="A297" s="2" t="s">
        <v>613</v>
      </c>
      <c r="B297" s="2" t="s">
        <v>614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4">
        <v>299</v>
      </c>
      <c r="P297" s="4">
        <v>280</v>
      </c>
      <c r="Q297" s="4">
        <v>298</v>
      </c>
      <c r="R297" s="4">
        <v>274</v>
      </c>
      <c r="S297" s="4">
        <v>279</v>
      </c>
      <c r="T297" s="4">
        <v>275</v>
      </c>
      <c r="U297" s="4">
        <v>313</v>
      </c>
      <c r="V297" s="4">
        <v>93</v>
      </c>
    </row>
    <row r="298" spans="1:22" x14ac:dyDescent="0.25">
      <c r="A298" s="2" t="s">
        <v>615</v>
      </c>
      <c r="B298" s="2" t="s">
        <v>616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>
        <v>1</v>
      </c>
      <c r="N298" s="4">
        <v>230</v>
      </c>
      <c r="O298" s="4">
        <v>287</v>
      </c>
      <c r="P298" s="4">
        <v>396</v>
      </c>
      <c r="Q298" s="4">
        <v>218</v>
      </c>
      <c r="R298" s="4">
        <v>207</v>
      </c>
      <c r="S298" s="4">
        <v>275</v>
      </c>
      <c r="T298" s="4">
        <v>276</v>
      </c>
      <c r="U298" s="4">
        <v>284</v>
      </c>
      <c r="V298" s="4">
        <v>70</v>
      </c>
    </row>
    <row r="299" spans="1:22" x14ac:dyDescent="0.25">
      <c r="A299" s="2" t="s">
        <v>617</v>
      </c>
      <c r="B299" s="2" t="s">
        <v>618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4">
        <v>81</v>
      </c>
      <c r="O299" s="4">
        <v>103</v>
      </c>
      <c r="P299" s="4">
        <v>99</v>
      </c>
      <c r="Q299" s="4">
        <v>79</v>
      </c>
      <c r="R299" s="4">
        <v>76</v>
      </c>
      <c r="S299" s="4">
        <v>85</v>
      </c>
      <c r="T299" s="4">
        <v>81</v>
      </c>
      <c r="U299" s="4">
        <v>79</v>
      </c>
      <c r="V299" s="4">
        <v>31</v>
      </c>
    </row>
    <row r="300" spans="1:22" x14ac:dyDescent="0.25">
      <c r="A300" s="2" t="s">
        <v>619</v>
      </c>
      <c r="B300" s="2" t="s">
        <v>620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4">
        <v>102</v>
      </c>
      <c r="O300" s="4">
        <v>274</v>
      </c>
      <c r="P300" s="4">
        <v>377</v>
      </c>
      <c r="Q300" s="4">
        <v>232</v>
      </c>
      <c r="R300" s="4">
        <v>202</v>
      </c>
      <c r="S300" s="4">
        <v>270</v>
      </c>
      <c r="T300" s="4">
        <v>271</v>
      </c>
      <c r="U300" s="4">
        <v>335</v>
      </c>
      <c r="V300" s="4">
        <v>81</v>
      </c>
    </row>
    <row r="301" spans="1:22" x14ac:dyDescent="0.25">
      <c r="A301" s="2" t="s">
        <v>621</v>
      </c>
      <c r="B301" s="2" t="s">
        <v>622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>
        <v>2222</v>
      </c>
      <c r="N301" s="4">
        <v>2384</v>
      </c>
      <c r="O301" s="4">
        <v>2193</v>
      </c>
      <c r="P301" s="4">
        <v>2086</v>
      </c>
      <c r="Q301" s="4">
        <v>2108</v>
      </c>
      <c r="R301" s="4">
        <v>1986</v>
      </c>
      <c r="S301" s="4">
        <v>2235</v>
      </c>
      <c r="T301" s="4">
        <v>2180</v>
      </c>
      <c r="U301" s="4">
        <v>1937</v>
      </c>
      <c r="V301" s="4">
        <v>483</v>
      </c>
    </row>
    <row r="302" spans="1:22" x14ac:dyDescent="0.25">
      <c r="A302" s="2" t="s">
        <v>623</v>
      </c>
      <c r="B302" s="2" t="s">
        <v>624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4">
        <v>49</v>
      </c>
      <c r="P302" s="4">
        <v>127</v>
      </c>
      <c r="Q302" s="4">
        <v>69</v>
      </c>
      <c r="R302" s="4">
        <v>44</v>
      </c>
      <c r="S302" s="4">
        <v>53</v>
      </c>
      <c r="T302" s="4">
        <v>75</v>
      </c>
      <c r="U302" s="4">
        <v>44</v>
      </c>
      <c r="V302" s="3"/>
    </row>
    <row r="303" spans="1:22" x14ac:dyDescent="0.25">
      <c r="A303" s="2" t="s">
        <v>625</v>
      </c>
      <c r="B303" s="2" t="s">
        <v>626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4">
        <v>9</v>
      </c>
      <c r="O303" s="4">
        <v>542</v>
      </c>
      <c r="P303" s="4">
        <v>463</v>
      </c>
      <c r="Q303" s="4">
        <v>424</v>
      </c>
      <c r="R303" s="4">
        <v>424</v>
      </c>
      <c r="S303" s="4">
        <v>497</v>
      </c>
      <c r="T303" s="4">
        <v>492</v>
      </c>
      <c r="U303" s="4">
        <v>503</v>
      </c>
      <c r="V303" s="4">
        <v>155</v>
      </c>
    </row>
    <row r="304" spans="1:22" x14ac:dyDescent="0.25">
      <c r="A304" s="2" t="s">
        <v>627</v>
      </c>
      <c r="B304" s="2" t="s">
        <v>628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4">
        <v>349</v>
      </c>
      <c r="P304" s="4">
        <v>523</v>
      </c>
      <c r="Q304" s="4">
        <v>371</v>
      </c>
      <c r="R304" s="4">
        <v>352</v>
      </c>
      <c r="S304" s="4">
        <v>381</v>
      </c>
      <c r="T304" s="4">
        <v>426</v>
      </c>
      <c r="U304" s="4">
        <v>487</v>
      </c>
      <c r="V304" s="4">
        <v>175</v>
      </c>
    </row>
    <row r="305" spans="1:22" x14ac:dyDescent="0.25">
      <c r="A305" s="2" t="s">
        <v>629</v>
      </c>
      <c r="B305" s="2" t="s">
        <v>630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>
        <v>2</v>
      </c>
      <c r="N305" s="4">
        <v>188</v>
      </c>
      <c r="O305" s="4">
        <v>185</v>
      </c>
      <c r="P305" s="4">
        <v>151</v>
      </c>
      <c r="Q305" s="4">
        <v>151</v>
      </c>
      <c r="R305" s="4">
        <v>170</v>
      </c>
      <c r="S305" s="4">
        <v>171</v>
      </c>
      <c r="T305" s="4">
        <v>162</v>
      </c>
      <c r="U305" s="4">
        <v>143</v>
      </c>
      <c r="V305" s="4">
        <v>45</v>
      </c>
    </row>
    <row r="306" spans="1:22" x14ac:dyDescent="0.25">
      <c r="A306" s="2" t="s">
        <v>631</v>
      </c>
      <c r="B306" s="2" t="s">
        <v>632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4">
        <v>332</v>
      </c>
      <c r="P306" s="4">
        <v>281</v>
      </c>
      <c r="Q306" s="4">
        <v>330</v>
      </c>
      <c r="R306" s="4">
        <v>281</v>
      </c>
      <c r="S306" s="4">
        <v>304</v>
      </c>
      <c r="T306" s="4">
        <v>333</v>
      </c>
      <c r="U306" s="4">
        <v>314</v>
      </c>
      <c r="V306" s="4">
        <v>91</v>
      </c>
    </row>
    <row r="307" spans="1:22" x14ac:dyDescent="0.25">
      <c r="A307" s="2" t="s">
        <v>633</v>
      </c>
      <c r="B307" s="2" t="s">
        <v>634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>
        <v>244</v>
      </c>
      <c r="N307" s="4">
        <v>286</v>
      </c>
      <c r="O307" s="4">
        <v>359</v>
      </c>
      <c r="P307" s="4">
        <v>284</v>
      </c>
      <c r="Q307" s="4">
        <v>286</v>
      </c>
      <c r="R307" s="4">
        <v>271</v>
      </c>
      <c r="S307" s="4">
        <v>289</v>
      </c>
      <c r="T307" s="4">
        <v>340</v>
      </c>
      <c r="U307" s="4">
        <v>326</v>
      </c>
      <c r="V307" s="4">
        <v>95</v>
      </c>
    </row>
    <row r="308" spans="1:22" x14ac:dyDescent="0.25">
      <c r="A308" s="2" t="s">
        <v>635</v>
      </c>
      <c r="B308" s="2" t="s">
        <v>636</v>
      </c>
      <c r="C308" s="3"/>
      <c r="D308" s="3"/>
      <c r="E308" s="3"/>
      <c r="F308" s="3"/>
      <c r="G308" s="3"/>
      <c r="H308" s="3"/>
      <c r="I308" s="3"/>
      <c r="J308" s="3"/>
      <c r="K308" s="3"/>
      <c r="L308" s="4">
        <v>1</v>
      </c>
      <c r="M308" s="3"/>
      <c r="N308" s="4">
        <v>1</v>
      </c>
      <c r="O308" s="4">
        <v>1</v>
      </c>
      <c r="P308" s="4">
        <v>1</v>
      </c>
      <c r="Q308" s="3"/>
      <c r="R308" s="3"/>
      <c r="S308" s="3"/>
      <c r="T308" s="3"/>
      <c r="U308" s="3"/>
      <c r="V308" s="3"/>
    </row>
    <row r="309" spans="1:22" x14ac:dyDescent="0.25">
      <c r="A309" s="2" t="s">
        <v>637</v>
      </c>
      <c r="B309" s="2" t="s">
        <v>638</v>
      </c>
      <c r="C309" s="3"/>
      <c r="D309" s="3"/>
      <c r="E309" s="3"/>
      <c r="F309" s="3"/>
      <c r="G309" s="3"/>
      <c r="H309" s="3"/>
      <c r="I309" s="3"/>
      <c r="J309" s="3"/>
      <c r="K309" s="3"/>
      <c r="L309" s="4">
        <v>1</v>
      </c>
      <c r="M309" s="3"/>
      <c r="N309" s="4">
        <v>3291</v>
      </c>
      <c r="O309" s="4">
        <v>7540</v>
      </c>
      <c r="P309" s="4">
        <v>6828</v>
      </c>
      <c r="Q309" s="4">
        <v>7098</v>
      </c>
      <c r="R309" s="4">
        <v>6855</v>
      </c>
      <c r="S309" s="4">
        <v>8038</v>
      </c>
      <c r="T309" s="4">
        <v>8381</v>
      </c>
      <c r="U309" s="4">
        <v>8884</v>
      </c>
      <c r="V309" s="4">
        <v>2675</v>
      </c>
    </row>
    <row r="310" spans="1:22" x14ac:dyDescent="0.25">
      <c r="A310" s="2" t="s">
        <v>639</v>
      </c>
      <c r="B310" s="2" t="s">
        <v>640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4">
        <v>102</v>
      </c>
      <c r="P310" s="3"/>
      <c r="Q310" s="3"/>
      <c r="R310" s="3"/>
      <c r="S310" s="3"/>
      <c r="T310" s="3"/>
      <c r="U310" s="3"/>
      <c r="V310" s="3"/>
    </row>
    <row r="311" spans="1:22" x14ac:dyDescent="0.25">
      <c r="A311" s="2" t="s">
        <v>641</v>
      </c>
      <c r="B311" s="2" t="s">
        <v>642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4">
        <v>381</v>
      </c>
      <c r="P311" s="4">
        <v>357</v>
      </c>
      <c r="Q311" s="4">
        <v>408</v>
      </c>
      <c r="R311" s="4">
        <v>380</v>
      </c>
      <c r="S311" s="4">
        <v>431</v>
      </c>
      <c r="T311" s="4">
        <v>485</v>
      </c>
      <c r="U311" s="4">
        <v>546</v>
      </c>
      <c r="V311" s="4">
        <v>177</v>
      </c>
    </row>
    <row r="312" spans="1:22" x14ac:dyDescent="0.25">
      <c r="A312" s="2" t="s">
        <v>643</v>
      </c>
      <c r="B312" s="2" t="s">
        <v>644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x14ac:dyDescent="0.25">
      <c r="A313" s="2" t="s">
        <v>645</v>
      </c>
      <c r="B313" s="2" t="s">
        <v>646</v>
      </c>
      <c r="C313" s="3"/>
      <c r="D313" s="3"/>
      <c r="E313" s="3"/>
      <c r="F313" s="3"/>
      <c r="G313" s="3"/>
      <c r="H313" s="3"/>
      <c r="I313" s="3"/>
      <c r="J313" s="3"/>
      <c r="K313" s="3"/>
      <c r="L313" s="4">
        <v>1</v>
      </c>
      <c r="M313" s="4">
        <v>742</v>
      </c>
      <c r="N313" s="4">
        <v>834</v>
      </c>
      <c r="O313" s="4">
        <v>754</v>
      </c>
      <c r="P313" s="4">
        <v>690</v>
      </c>
      <c r="Q313" s="4">
        <v>745</v>
      </c>
      <c r="R313" s="4">
        <v>724</v>
      </c>
      <c r="S313" s="4">
        <v>753</v>
      </c>
      <c r="T313" s="4">
        <v>812</v>
      </c>
      <c r="U313" s="4">
        <v>843</v>
      </c>
      <c r="V313" s="4">
        <v>266</v>
      </c>
    </row>
    <row r="314" spans="1:22" x14ac:dyDescent="0.25">
      <c r="A314" s="2" t="s">
        <v>647</v>
      </c>
      <c r="B314" s="2" t="s">
        <v>648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4">
        <v>169</v>
      </c>
      <c r="P314" s="4">
        <v>191</v>
      </c>
      <c r="Q314" s="4">
        <v>214</v>
      </c>
      <c r="R314" s="4">
        <v>153</v>
      </c>
      <c r="S314" s="4">
        <v>202</v>
      </c>
      <c r="T314" s="4">
        <v>170</v>
      </c>
      <c r="U314" s="4">
        <v>168</v>
      </c>
      <c r="V314" s="4">
        <v>40</v>
      </c>
    </row>
    <row r="315" spans="1:22" x14ac:dyDescent="0.25">
      <c r="A315" s="2" t="s">
        <v>649</v>
      </c>
      <c r="B315" s="2" t="s">
        <v>650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4">
        <v>318</v>
      </c>
      <c r="O315" s="4">
        <v>338</v>
      </c>
      <c r="P315" s="4">
        <v>350</v>
      </c>
      <c r="Q315" s="4">
        <v>4</v>
      </c>
      <c r="R315" s="4">
        <v>7</v>
      </c>
      <c r="S315" s="4">
        <v>8</v>
      </c>
      <c r="T315" s="4">
        <v>6</v>
      </c>
      <c r="U315" s="4">
        <v>21</v>
      </c>
      <c r="V315" s="4">
        <v>9</v>
      </c>
    </row>
    <row r="316" spans="1:22" x14ac:dyDescent="0.25">
      <c r="A316" s="2" t="s">
        <v>651</v>
      </c>
      <c r="B316" s="2" t="s">
        <v>652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x14ac:dyDescent="0.25">
      <c r="A317" s="2" t="s">
        <v>653</v>
      </c>
      <c r="B317" s="2" t="s">
        <v>654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>
        <v>8</v>
      </c>
      <c r="N317" s="4">
        <v>27</v>
      </c>
      <c r="O317" s="4">
        <v>59</v>
      </c>
      <c r="P317" s="4">
        <v>41</v>
      </c>
      <c r="Q317" s="4">
        <v>42</v>
      </c>
      <c r="R317" s="4">
        <v>36</v>
      </c>
      <c r="S317" s="4">
        <v>32</v>
      </c>
      <c r="T317" s="4">
        <v>42</v>
      </c>
      <c r="U317" s="4">
        <v>33</v>
      </c>
      <c r="V317" s="4">
        <v>15</v>
      </c>
    </row>
    <row r="318" spans="1:22" x14ac:dyDescent="0.25">
      <c r="A318" s="2" t="s">
        <v>655</v>
      </c>
      <c r="B318" s="2" t="s">
        <v>656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4">
        <v>10</v>
      </c>
      <c r="P318" s="3"/>
      <c r="Q318" s="3"/>
      <c r="R318" s="3"/>
      <c r="S318" s="3"/>
      <c r="T318" s="3"/>
      <c r="U318" s="3"/>
      <c r="V318" s="3"/>
    </row>
    <row r="319" spans="1:22" x14ac:dyDescent="0.25">
      <c r="A319" s="2" t="s">
        <v>657</v>
      </c>
      <c r="B319" s="2" t="s">
        <v>658</v>
      </c>
      <c r="C319" s="3"/>
      <c r="D319" s="3"/>
      <c r="E319" s="3"/>
      <c r="F319" s="3"/>
      <c r="G319" s="4">
        <v>1</v>
      </c>
      <c r="H319" s="3"/>
      <c r="I319" s="3"/>
      <c r="J319" s="3"/>
      <c r="K319" s="3"/>
      <c r="L319" s="3"/>
      <c r="M319" s="3"/>
      <c r="N319" s="3"/>
      <c r="O319" s="4">
        <v>141</v>
      </c>
      <c r="P319" s="4">
        <v>125</v>
      </c>
      <c r="Q319" s="4">
        <v>127</v>
      </c>
      <c r="R319" s="4">
        <v>116</v>
      </c>
      <c r="S319" s="4">
        <v>93</v>
      </c>
      <c r="T319" s="4">
        <v>100</v>
      </c>
      <c r="U319" s="4">
        <v>43</v>
      </c>
      <c r="V319" s="4">
        <v>33</v>
      </c>
    </row>
    <row r="320" spans="1:22" x14ac:dyDescent="0.25">
      <c r="A320" s="2" t="s">
        <v>659</v>
      </c>
      <c r="B320" s="2" t="s">
        <v>660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4">
        <v>99</v>
      </c>
      <c r="P320" s="4">
        <v>112</v>
      </c>
      <c r="Q320" s="4">
        <v>130</v>
      </c>
      <c r="R320" s="4">
        <v>104</v>
      </c>
      <c r="S320" s="4">
        <v>113</v>
      </c>
      <c r="T320" s="4">
        <v>115</v>
      </c>
      <c r="U320" s="4">
        <v>125</v>
      </c>
      <c r="V320" s="4">
        <v>45</v>
      </c>
    </row>
    <row r="321" spans="1:22" x14ac:dyDescent="0.25">
      <c r="A321" s="2" t="s">
        <v>661</v>
      </c>
      <c r="B321" s="2" t="s">
        <v>662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5" t="s">
        <v>344</v>
      </c>
      <c r="N321" s="3"/>
      <c r="O321" s="4">
        <v>4</v>
      </c>
      <c r="P321" s="3"/>
      <c r="Q321" s="4">
        <v>180</v>
      </c>
      <c r="R321" s="4">
        <v>239</v>
      </c>
      <c r="S321" s="4">
        <v>227</v>
      </c>
      <c r="T321" s="4">
        <v>277</v>
      </c>
      <c r="U321" s="4">
        <v>283</v>
      </c>
      <c r="V321" s="4">
        <v>96</v>
      </c>
    </row>
    <row r="322" spans="1:22" x14ac:dyDescent="0.25">
      <c r="A322" s="2" t="s">
        <v>663</v>
      </c>
      <c r="B322" s="2" t="s">
        <v>664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4">
        <v>12</v>
      </c>
      <c r="O322" s="4">
        <v>14</v>
      </c>
      <c r="P322" s="4">
        <v>14</v>
      </c>
      <c r="Q322" s="4">
        <v>13</v>
      </c>
      <c r="R322" s="4">
        <v>15</v>
      </c>
      <c r="S322" s="4">
        <v>8</v>
      </c>
      <c r="T322" s="4">
        <v>15</v>
      </c>
      <c r="U322" s="4">
        <v>6</v>
      </c>
      <c r="V322" s="3"/>
    </row>
    <row r="323" spans="1:22" x14ac:dyDescent="0.25">
      <c r="A323" s="2" t="s">
        <v>665</v>
      </c>
      <c r="B323" s="2" t="s">
        <v>666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4">
        <v>603</v>
      </c>
      <c r="P323" s="4">
        <v>474</v>
      </c>
      <c r="Q323" s="4">
        <v>572</v>
      </c>
      <c r="R323" s="4">
        <v>481</v>
      </c>
      <c r="S323" s="4">
        <v>514</v>
      </c>
      <c r="T323" s="4">
        <v>532</v>
      </c>
      <c r="U323" s="4">
        <v>553</v>
      </c>
      <c r="V323" s="4">
        <v>157</v>
      </c>
    </row>
    <row r="324" spans="1:22" x14ac:dyDescent="0.25">
      <c r="A324" s="2" t="s">
        <v>667</v>
      </c>
      <c r="B324" s="2" t="s">
        <v>668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4">
        <v>183</v>
      </c>
      <c r="P324" s="4">
        <v>180</v>
      </c>
      <c r="Q324" s="4">
        <v>173</v>
      </c>
      <c r="R324" s="4">
        <v>160</v>
      </c>
      <c r="S324" s="4">
        <v>170</v>
      </c>
      <c r="T324" s="4">
        <v>163</v>
      </c>
      <c r="U324" s="4">
        <v>168</v>
      </c>
      <c r="V324" s="4">
        <v>55</v>
      </c>
    </row>
    <row r="325" spans="1:22" x14ac:dyDescent="0.25">
      <c r="A325" s="2" t="s">
        <v>669</v>
      </c>
      <c r="B325" s="2" t="s">
        <v>670</v>
      </c>
      <c r="C325" s="3"/>
      <c r="D325" s="3"/>
      <c r="E325" s="3"/>
      <c r="F325" s="3"/>
      <c r="G325" s="4">
        <v>2</v>
      </c>
      <c r="H325" s="3"/>
      <c r="I325" s="3"/>
      <c r="J325" s="3"/>
      <c r="K325" s="3"/>
      <c r="L325" s="3"/>
      <c r="M325" s="3"/>
      <c r="N325" s="3"/>
      <c r="O325" s="4">
        <v>32</v>
      </c>
      <c r="P325" s="4">
        <v>89</v>
      </c>
      <c r="Q325" s="4">
        <v>120</v>
      </c>
      <c r="R325" s="4">
        <v>74</v>
      </c>
      <c r="S325" s="4">
        <v>113</v>
      </c>
      <c r="T325" s="4">
        <v>129</v>
      </c>
      <c r="U325" s="4">
        <v>103</v>
      </c>
      <c r="V325" s="4">
        <v>19</v>
      </c>
    </row>
    <row r="326" spans="1:22" x14ac:dyDescent="0.25">
      <c r="A326" s="2" t="s">
        <v>671</v>
      </c>
      <c r="B326" s="2" t="s">
        <v>672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4">
        <v>56</v>
      </c>
      <c r="O326" s="4">
        <v>59</v>
      </c>
      <c r="P326" s="4">
        <v>54</v>
      </c>
      <c r="Q326" s="4">
        <v>70</v>
      </c>
      <c r="R326" s="4">
        <v>59</v>
      </c>
      <c r="S326" s="4">
        <v>52</v>
      </c>
      <c r="T326" s="4">
        <v>54</v>
      </c>
      <c r="U326" s="4">
        <v>55</v>
      </c>
      <c r="V326" s="4">
        <v>18</v>
      </c>
    </row>
    <row r="327" spans="1:22" x14ac:dyDescent="0.25">
      <c r="A327" s="2" t="s">
        <v>673</v>
      </c>
      <c r="B327" s="2" t="s">
        <v>674</v>
      </c>
      <c r="C327" s="3"/>
      <c r="D327" s="3"/>
      <c r="E327" s="3"/>
      <c r="F327" s="3"/>
      <c r="G327" s="3"/>
      <c r="H327" s="3"/>
      <c r="I327" s="4">
        <v>151</v>
      </c>
      <c r="J327" s="4">
        <v>133</v>
      </c>
      <c r="K327" s="4">
        <v>161</v>
      </c>
      <c r="L327" s="4">
        <v>168</v>
      </c>
      <c r="M327" s="4">
        <v>146</v>
      </c>
      <c r="N327" s="4">
        <v>159</v>
      </c>
      <c r="O327" s="4">
        <v>154</v>
      </c>
      <c r="P327" s="4">
        <v>137</v>
      </c>
      <c r="Q327" s="4">
        <v>165</v>
      </c>
      <c r="R327" s="4">
        <v>135</v>
      </c>
      <c r="S327" s="4">
        <v>163</v>
      </c>
      <c r="T327" s="4">
        <v>141</v>
      </c>
      <c r="U327" s="4">
        <v>174</v>
      </c>
      <c r="V327" s="3"/>
    </row>
    <row r="328" spans="1:22" x14ac:dyDescent="0.25">
      <c r="A328" s="2" t="s">
        <v>675</v>
      </c>
      <c r="B328" s="2" t="s">
        <v>676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4">
        <v>29</v>
      </c>
      <c r="P328" s="4">
        <v>19</v>
      </c>
      <c r="Q328" s="4">
        <v>26</v>
      </c>
      <c r="R328" s="4">
        <v>27</v>
      </c>
      <c r="S328" s="4">
        <v>17</v>
      </c>
      <c r="T328" s="4">
        <v>24</v>
      </c>
      <c r="U328" s="4">
        <v>10</v>
      </c>
      <c r="V328" s="3"/>
    </row>
    <row r="329" spans="1:22" x14ac:dyDescent="0.25">
      <c r="A329" s="2" t="s">
        <v>677</v>
      </c>
      <c r="B329" s="2" t="s">
        <v>678</v>
      </c>
      <c r="C329" s="4">
        <v>3</v>
      </c>
      <c r="D329" s="4">
        <v>2</v>
      </c>
      <c r="E329" s="4">
        <v>4</v>
      </c>
      <c r="F329" s="4">
        <v>5</v>
      </c>
      <c r="G329" s="4">
        <v>1</v>
      </c>
      <c r="H329" s="4">
        <v>2</v>
      </c>
      <c r="I329" s="4">
        <v>2</v>
      </c>
      <c r="J329" s="4">
        <v>2</v>
      </c>
      <c r="K329" s="4">
        <v>7</v>
      </c>
      <c r="L329" s="4">
        <v>3</v>
      </c>
      <c r="M329" s="4">
        <v>2</v>
      </c>
      <c r="N329" s="4">
        <v>486</v>
      </c>
      <c r="O329" s="4">
        <v>489</v>
      </c>
      <c r="P329" s="4">
        <v>414</v>
      </c>
      <c r="Q329" s="4">
        <v>418</v>
      </c>
      <c r="R329" s="4">
        <v>424</v>
      </c>
      <c r="S329" s="4">
        <v>410</v>
      </c>
      <c r="T329" s="4">
        <v>412</v>
      </c>
      <c r="U329" s="4">
        <v>435</v>
      </c>
      <c r="V329" s="4">
        <v>133</v>
      </c>
    </row>
    <row r="330" spans="1:22" x14ac:dyDescent="0.25">
      <c r="A330" s="2" t="s">
        <v>679</v>
      </c>
      <c r="B330" s="2" t="s">
        <v>680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4">
        <v>843</v>
      </c>
      <c r="P330" s="4">
        <v>737</v>
      </c>
      <c r="Q330" s="4">
        <v>745</v>
      </c>
      <c r="R330" s="4">
        <v>720</v>
      </c>
      <c r="S330" s="4">
        <v>837</v>
      </c>
      <c r="T330" s="4">
        <v>776</v>
      </c>
      <c r="U330" s="4">
        <v>817</v>
      </c>
      <c r="V330" s="4">
        <v>236</v>
      </c>
    </row>
    <row r="331" spans="1:22" x14ac:dyDescent="0.25">
      <c r="A331" s="2" t="s">
        <v>681</v>
      </c>
      <c r="B331" s="2" t="s">
        <v>682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4">
        <v>92</v>
      </c>
      <c r="P331" s="4">
        <v>82</v>
      </c>
      <c r="Q331" s="4">
        <v>86</v>
      </c>
      <c r="R331" s="4">
        <v>65</v>
      </c>
      <c r="S331" s="4">
        <v>61</v>
      </c>
      <c r="T331" s="4">
        <v>77</v>
      </c>
      <c r="U331" s="4">
        <v>72</v>
      </c>
      <c r="V331" s="4">
        <v>3</v>
      </c>
    </row>
    <row r="332" spans="1:22" x14ac:dyDescent="0.25">
      <c r="A332" s="2" t="s">
        <v>683</v>
      </c>
      <c r="B332" s="2" t="s">
        <v>684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x14ac:dyDescent="0.25">
      <c r="A333" s="2" t="s">
        <v>685</v>
      </c>
      <c r="B333" s="2" t="s">
        <v>686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4">
        <v>115</v>
      </c>
      <c r="P333" s="4">
        <v>91</v>
      </c>
      <c r="Q333" s="4">
        <v>98</v>
      </c>
      <c r="R333" s="4">
        <v>91</v>
      </c>
      <c r="S333" s="4">
        <v>85</v>
      </c>
      <c r="T333" s="4">
        <v>103</v>
      </c>
      <c r="U333" s="4">
        <v>92</v>
      </c>
      <c r="V333" s="4">
        <v>23</v>
      </c>
    </row>
    <row r="334" spans="1:22" x14ac:dyDescent="0.25">
      <c r="A334" s="2" t="s">
        <v>687</v>
      </c>
      <c r="B334" s="2" t="s">
        <v>688</v>
      </c>
      <c r="C334" s="3"/>
      <c r="D334" s="4">
        <v>1</v>
      </c>
      <c r="E334" s="3"/>
      <c r="F334" s="4">
        <v>1</v>
      </c>
      <c r="G334" s="3"/>
      <c r="H334" s="4">
        <v>1</v>
      </c>
      <c r="I334" s="3"/>
      <c r="J334" s="4">
        <v>9</v>
      </c>
      <c r="K334" s="4">
        <v>21</v>
      </c>
      <c r="L334" s="4">
        <v>30</v>
      </c>
      <c r="M334" s="4">
        <v>22</v>
      </c>
      <c r="N334" s="4">
        <v>32</v>
      </c>
      <c r="O334" s="4">
        <v>3001</v>
      </c>
      <c r="P334" s="4">
        <v>2702</v>
      </c>
      <c r="Q334" s="4">
        <v>2921</v>
      </c>
      <c r="R334" s="4">
        <v>2883</v>
      </c>
      <c r="S334" s="4">
        <v>3239</v>
      </c>
      <c r="T334" s="4">
        <v>3105</v>
      </c>
      <c r="U334" s="4">
        <v>3164</v>
      </c>
      <c r="V334" s="4">
        <v>992</v>
      </c>
    </row>
    <row r="335" spans="1:22" x14ac:dyDescent="0.25">
      <c r="A335" s="2" t="s">
        <v>689</v>
      </c>
      <c r="B335" s="2" t="s">
        <v>690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4">
        <v>20</v>
      </c>
      <c r="P335" s="4">
        <v>7</v>
      </c>
      <c r="Q335" s="4">
        <v>5</v>
      </c>
      <c r="R335" s="4">
        <v>6</v>
      </c>
      <c r="S335" s="4">
        <v>3</v>
      </c>
      <c r="T335" s="4">
        <v>1</v>
      </c>
      <c r="U335" s="4">
        <v>1</v>
      </c>
      <c r="V335" s="3"/>
    </row>
    <row r="336" spans="1:22" x14ac:dyDescent="0.25">
      <c r="A336" s="2" t="s">
        <v>691</v>
      </c>
      <c r="B336" s="2" t="s">
        <v>692</v>
      </c>
      <c r="C336" s="3"/>
      <c r="D336" s="3"/>
      <c r="E336" s="3"/>
      <c r="F336" s="3"/>
      <c r="G336" s="3"/>
      <c r="H336" s="3"/>
      <c r="I336" s="3"/>
      <c r="J336" s="3"/>
      <c r="K336" s="3"/>
      <c r="L336" s="4">
        <v>3</v>
      </c>
      <c r="M336" s="3"/>
      <c r="N336" s="4">
        <v>205</v>
      </c>
      <c r="O336" s="4">
        <v>226</v>
      </c>
      <c r="P336" s="4">
        <v>206</v>
      </c>
      <c r="Q336" s="4">
        <v>228</v>
      </c>
      <c r="R336" s="4">
        <v>230</v>
      </c>
      <c r="S336" s="4">
        <v>247</v>
      </c>
      <c r="T336" s="4">
        <v>227</v>
      </c>
      <c r="U336" s="4">
        <v>238</v>
      </c>
      <c r="V336" s="4">
        <v>64</v>
      </c>
    </row>
    <row r="337" spans="1:22" x14ac:dyDescent="0.25">
      <c r="A337" s="2" t="s">
        <v>693</v>
      </c>
      <c r="B337" s="2" t="s">
        <v>694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>
        <v>8</v>
      </c>
      <c r="N337" s="4">
        <v>20</v>
      </c>
      <c r="O337" s="4">
        <v>132</v>
      </c>
      <c r="P337" s="4">
        <v>117</v>
      </c>
      <c r="Q337" s="4">
        <v>117</v>
      </c>
      <c r="R337" s="4">
        <v>121</v>
      </c>
      <c r="S337" s="4">
        <v>107</v>
      </c>
      <c r="T337" s="4">
        <v>125</v>
      </c>
      <c r="U337" s="4">
        <v>148</v>
      </c>
      <c r="V337" s="4">
        <v>30</v>
      </c>
    </row>
    <row r="338" spans="1:22" x14ac:dyDescent="0.25">
      <c r="A338" s="2" t="s">
        <v>695</v>
      </c>
      <c r="B338" s="2" t="s">
        <v>696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4">
        <v>127</v>
      </c>
      <c r="P338" s="4">
        <v>116</v>
      </c>
      <c r="Q338" s="4">
        <v>109</v>
      </c>
      <c r="R338" s="4">
        <v>92</v>
      </c>
      <c r="S338" s="4">
        <v>124</v>
      </c>
      <c r="T338" s="4">
        <v>83</v>
      </c>
      <c r="U338" s="4">
        <v>60</v>
      </c>
      <c r="V338" s="4">
        <v>28</v>
      </c>
    </row>
    <row r="339" spans="1:22" x14ac:dyDescent="0.25">
      <c r="A339" s="2" t="s">
        <v>697</v>
      </c>
      <c r="B339" s="2" t="s">
        <v>698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x14ac:dyDescent="0.25">
      <c r="A340" s="2" t="s">
        <v>699</v>
      </c>
      <c r="B340" s="2" t="s">
        <v>700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4">
        <v>163</v>
      </c>
      <c r="O340" s="4">
        <v>277</v>
      </c>
      <c r="P340" s="4">
        <v>235</v>
      </c>
      <c r="Q340" s="4">
        <v>245</v>
      </c>
      <c r="R340" s="4">
        <v>267</v>
      </c>
      <c r="S340" s="4">
        <v>229</v>
      </c>
      <c r="T340" s="4">
        <v>226</v>
      </c>
      <c r="U340" s="4">
        <v>257</v>
      </c>
      <c r="V340" s="4">
        <v>82</v>
      </c>
    </row>
    <row r="341" spans="1:22" x14ac:dyDescent="0.25">
      <c r="A341" s="2" t="s">
        <v>701</v>
      </c>
      <c r="B341" s="2" t="s">
        <v>702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4">
        <v>22</v>
      </c>
      <c r="P341" s="4">
        <v>16</v>
      </c>
      <c r="Q341" s="4">
        <v>23</v>
      </c>
      <c r="R341" s="4">
        <v>30</v>
      </c>
      <c r="S341" s="4">
        <v>21</v>
      </c>
      <c r="T341" s="4">
        <v>31</v>
      </c>
      <c r="U341" s="4">
        <v>34</v>
      </c>
      <c r="V341" s="4">
        <v>4</v>
      </c>
    </row>
    <row r="342" spans="1:22" x14ac:dyDescent="0.25">
      <c r="A342" s="2" t="s">
        <v>703</v>
      </c>
      <c r="B342" s="2" t="s">
        <v>704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x14ac:dyDescent="0.25">
      <c r="A343" s="2" t="s">
        <v>705</v>
      </c>
      <c r="B343" s="2" t="s">
        <v>706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4">
        <v>106</v>
      </c>
      <c r="O343" s="4">
        <v>79</v>
      </c>
      <c r="P343" s="4">
        <v>84</v>
      </c>
      <c r="Q343" s="4">
        <v>103</v>
      </c>
      <c r="R343" s="4">
        <v>90</v>
      </c>
      <c r="S343" s="4">
        <v>98</v>
      </c>
      <c r="T343" s="4">
        <v>104</v>
      </c>
      <c r="U343" s="4">
        <v>15</v>
      </c>
      <c r="V343" s="4">
        <v>1</v>
      </c>
    </row>
    <row r="344" spans="1:22" x14ac:dyDescent="0.25">
      <c r="A344" s="2" t="s">
        <v>707</v>
      </c>
      <c r="B344" s="2" t="s">
        <v>708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4">
        <v>281</v>
      </c>
      <c r="O344" s="4">
        <v>286</v>
      </c>
      <c r="P344" s="4">
        <v>266</v>
      </c>
      <c r="Q344" s="4">
        <v>252</v>
      </c>
      <c r="R344" s="4">
        <v>251</v>
      </c>
      <c r="S344" s="4">
        <v>248</v>
      </c>
      <c r="T344" s="4">
        <v>256</v>
      </c>
      <c r="U344" s="4">
        <v>211</v>
      </c>
      <c r="V344" s="4">
        <v>16</v>
      </c>
    </row>
    <row r="345" spans="1:22" x14ac:dyDescent="0.25">
      <c r="A345" s="2" t="s">
        <v>709</v>
      </c>
      <c r="B345" s="2" t="s">
        <v>710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4">
        <v>37</v>
      </c>
      <c r="P345" s="3"/>
      <c r="Q345" s="3"/>
      <c r="R345" s="3"/>
      <c r="S345" s="3"/>
      <c r="T345" s="3"/>
      <c r="U345" s="3"/>
      <c r="V345" s="3"/>
    </row>
    <row r="346" spans="1:22" x14ac:dyDescent="0.25">
      <c r="A346" s="2" t="s">
        <v>711</v>
      </c>
      <c r="B346" s="2" t="s">
        <v>712</v>
      </c>
      <c r="C346" s="3"/>
      <c r="D346" s="3"/>
      <c r="E346" s="3"/>
      <c r="F346" s="3"/>
      <c r="G346" s="3"/>
      <c r="H346" s="3"/>
      <c r="I346" s="3"/>
      <c r="J346" s="3"/>
      <c r="K346" s="4">
        <v>1</v>
      </c>
      <c r="L346" s="3"/>
      <c r="M346" s="4">
        <v>1</v>
      </c>
      <c r="N346" s="3"/>
      <c r="O346" s="4">
        <v>211</v>
      </c>
      <c r="P346" s="4">
        <v>191</v>
      </c>
      <c r="Q346" s="4">
        <v>230</v>
      </c>
      <c r="R346" s="4">
        <v>192</v>
      </c>
      <c r="S346" s="4">
        <v>219</v>
      </c>
      <c r="T346" s="4">
        <v>217</v>
      </c>
      <c r="U346" s="4">
        <v>244</v>
      </c>
      <c r="V346" s="4">
        <v>79</v>
      </c>
    </row>
    <row r="347" spans="1:22" x14ac:dyDescent="0.25">
      <c r="A347" s="2" t="s">
        <v>713</v>
      </c>
      <c r="B347" s="2" t="s">
        <v>714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4">
        <v>201</v>
      </c>
      <c r="P347" s="4">
        <v>163</v>
      </c>
      <c r="Q347" s="4">
        <v>176</v>
      </c>
      <c r="R347" s="4">
        <v>148</v>
      </c>
      <c r="S347" s="4">
        <v>187</v>
      </c>
      <c r="T347" s="4">
        <v>192</v>
      </c>
      <c r="U347" s="4">
        <v>116</v>
      </c>
      <c r="V347" s="4">
        <v>12</v>
      </c>
    </row>
    <row r="348" spans="1:22" x14ac:dyDescent="0.25">
      <c r="A348" s="2" t="s">
        <v>715</v>
      </c>
      <c r="B348" s="2" t="s">
        <v>716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>
        <v>1</v>
      </c>
      <c r="N348" s="4">
        <v>119</v>
      </c>
      <c r="O348" s="4">
        <v>144</v>
      </c>
      <c r="P348" s="4">
        <v>110</v>
      </c>
      <c r="Q348" s="4">
        <v>105</v>
      </c>
      <c r="R348" s="4">
        <v>117</v>
      </c>
      <c r="S348" s="4">
        <v>116</v>
      </c>
      <c r="T348" s="4">
        <v>127</v>
      </c>
      <c r="U348" s="4">
        <v>99</v>
      </c>
      <c r="V348" s="3"/>
    </row>
    <row r="349" spans="1:22" x14ac:dyDescent="0.25">
      <c r="A349" s="2" t="s">
        <v>717</v>
      </c>
      <c r="B349" s="2" t="s">
        <v>718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4">
        <v>4</v>
      </c>
      <c r="P349" s="3"/>
      <c r="Q349" s="4">
        <v>1</v>
      </c>
      <c r="R349" s="4">
        <v>1</v>
      </c>
      <c r="S349" s="4">
        <v>1</v>
      </c>
      <c r="T349" s="3"/>
      <c r="U349" s="4">
        <v>3</v>
      </c>
      <c r="V349" s="4">
        <v>7</v>
      </c>
    </row>
    <row r="350" spans="1:22" x14ac:dyDescent="0.25">
      <c r="A350" s="2" t="s">
        <v>719</v>
      </c>
      <c r="B350" s="2" t="s">
        <v>720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4">
        <v>100</v>
      </c>
      <c r="P350" s="4">
        <v>88</v>
      </c>
      <c r="Q350" s="4">
        <v>102</v>
      </c>
      <c r="R350" s="4">
        <v>81</v>
      </c>
      <c r="S350" s="4">
        <v>80</v>
      </c>
      <c r="T350" s="4">
        <v>91</v>
      </c>
      <c r="U350" s="4">
        <v>81</v>
      </c>
      <c r="V350" s="4">
        <v>24</v>
      </c>
    </row>
    <row r="351" spans="1:22" x14ac:dyDescent="0.25">
      <c r="A351" s="2" t="s">
        <v>721</v>
      </c>
      <c r="B351" s="2" t="s">
        <v>722</v>
      </c>
      <c r="C351" s="3"/>
      <c r="D351" s="3"/>
      <c r="E351" s="3"/>
      <c r="F351" s="3"/>
      <c r="G351" s="3"/>
      <c r="H351" s="3"/>
      <c r="I351" s="3"/>
      <c r="J351" s="3"/>
      <c r="K351" s="4">
        <v>4</v>
      </c>
      <c r="L351" s="4">
        <v>1</v>
      </c>
      <c r="M351" s="3"/>
      <c r="N351" s="4">
        <v>191</v>
      </c>
      <c r="O351" s="4">
        <v>207</v>
      </c>
      <c r="P351" s="4">
        <v>175</v>
      </c>
      <c r="Q351" s="4">
        <v>217</v>
      </c>
      <c r="R351" s="4">
        <v>234</v>
      </c>
      <c r="S351" s="4">
        <v>233</v>
      </c>
      <c r="T351" s="4">
        <v>219</v>
      </c>
      <c r="U351" s="4">
        <v>239</v>
      </c>
      <c r="V351" s="4">
        <v>68</v>
      </c>
    </row>
    <row r="352" spans="1:22" x14ac:dyDescent="0.25">
      <c r="A352" s="2" t="s">
        <v>723</v>
      </c>
      <c r="B352" s="2" t="s">
        <v>724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4">
        <v>14</v>
      </c>
      <c r="P352" s="4">
        <v>13</v>
      </c>
      <c r="Q352" s="4">
        <v>14</v>
      </c>
      <c r="R352" s="4">
        <v>11</v>
      </c>
      <c r="S352" s="4">
        <v>11</v>
      </c>
      <c r="T352" s="4">
        <v>16</v>
      </c>
      <c r="U352" s="4">
        <v>13</v>
      </c>
      <c r="V352" s="3"/>
    </row>
    <row r="353" spans="1:22" x14ac:dyDescent="0.25">
      <c r="A353" s="2" t="s">
        <v>725</v>
      </c>
      <c r="B353" s="2" t="s">
        <v>726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4">
        <v>181</v>
      </c>
      <c r="P353" s="4">
        <v>171</v>
      </c>
      <c r="Q353" s="4">
        <v>167</v>
      </c>
      <c r="R353" s="4">
        <v>159</v>
      </c>
      <c r="S353" s="4">
        <v>141</v>
      </c>
      <c r="T353" s="4">
        <v>161</v>
      </c>
      <c r="U353" s="4">
        <v>180</v>
      </c>
      <c r="V353" s="4">
        <v>34</v>
      </c>
    </row>
    <row r="354" spans="1:22" x14ac:dyDescent="0.25">
      <c r="A354" s="2" t="s">
        <v>727</v>
      </c>
      <c r="B354" s="2" t="s">
        <v>728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>
        <v>4</v>
      </c>
      <c r="N354" s="3"/>
      <c r="O354" s="4">
        <v>144</v>
      </c>
      <c r="P354" s="4">
        <v>145</v>
      </c>
      <c r="Q354" s="4">
        <v>121</v>
      </c>
      <c r="R354" s="4">
        <v>183</v>
      </c>
      <c r="S354" s="4">
        <v>137</v>
      </c>
      <c r="T354" s="4">
        <v>119</v>
      </c>
      <c r="U354" s="4">
        <v>97</v>
      </c>
      <c r="V354" s="4">
        <v>1</v>
      </c>
    </row>
    <row r="355" spans="1:22" x14ac:dyDescent="0.25">
      <c r="A355" s="2" t="s">
        <v>729</v>
      </c>
      <c r="B355" s="2" t="s">
        <v>730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4">
        <v>90</v>
      </c>
      <c r="P355" s="4">
        <v>46</v>
      </c>
      <c r="Q355" s="4">
        <v>59</v>
      </c>
      <c r="R355" s="4">
        <v>31</v>
      </c>
      <c r="S355" s="4">
        <v>23</v>
      </c>
      <c r="T355" s="4">
        <v>27</v>
      </c>
      <c r="U355" s="4">
        <v>29</v>
      </c>
      <c r="V355" s="3"/>
    </row>
    <row r="356" spans="1:22" x14ac:dyDescent="0.25">
      <c r="A356" s="2" t="s">
        <v>731</v>
      </c>
      <c r="B356" s="2" t="s">
        <v>732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4">
        <v>2</v>
      </c>
      <c r="O356" s="4">
        <v>58</v>
      </c>
      <c r="P356" s="4">
        <v>55</v>
      </c>
      <c r="Q356" s="4">
        <v>82</v>
      </c>
      <c r="R356" s="4">
        <v>72</v>
      </c>
      <c r="S356" s="4">
        <v>86</v>
      </c>
      <c r="T356" s="4">
        <v>75</v>
      </c>
      <c r="U356" s="4">
        <v>73</v>
      </c>
      <c r="V356" s="4">
        <v>22</v>
      </c>
    </row>
    <row r="357" spans="1:22" x14ac:dyDescent="0.25">
      <c r="A357" s="2" t="s">
        <v>733</v>
      </c>
      <c r="B357" s="2" t="s">
        <v>734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4">
        <v>7</v>
      </c>
      <c r="O357" s="4">
        <v>40</v>
      </c>
      <c r="P357" s="4">
        <v>31</v>
      </c>
      <c r="Q357" s="4">
        <v>13</v>
      </c>
      <c r="R357" s="4">
        <v>8</v>
      </c>
      <c r="S357" s="4">
        <v>6</v>
      </c>
      <c r="T357" s="4">
        <v>12</v>
      </c>
      <c r="U357" s="4">
        <v>25</v>
      </c>
      <c r="V357" s="4">
        <v>9</v>
      </c>
    </row>
    <row r="358" spans="1:22" x14ac:dyDescent="0.25">
      <c r="A358" s="2" t="s">
        <v>735</v>
      </c>
      <c r="B358" s="2" t="s">
        <v>736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>
        <v>323</v>
      </c>
      <c r="P358" s="4">
        <v>269</v>
      </c>
      <c r="Q358" s="4">
        <v>333</v>
      </c>
      <c r="R358" s="4">
        <v>297</v>
      </c>
      <c r="S358" s="4">
        <v>286</v>
      </c>
      <c r="T358" s="4">
        <v>288</v>
      </c>
      <c r="U358" s="4">
        <v>314</v>
      </c>
      <c r="V358" s="4">
        <v>65</v>
      </c>
    </row>
    <row r="359" spans="1:22" x14ac:dyDescent="0.25">
      <c r="A359" s="2" t="s">
        <v>737</v>
      </c>
      <c r="B359" s="2" t="s">
        <v>738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4">
        <v>28</v>
      </c>
      <c r="P359" s="4">
        <v>13</v>
      </c>
      <c r="Q359" s="4">
        <v>15</v>
      </c>
      <c r="R359" s="4">
        <v>20</v>
      </c>
      <c r="S359" s="4">
        <v>12</v>
      </c>
      <c r="T359" s="4">
        <v>10</v>
      </c>
      <c r="U359" s="4">
        <v>15</v>
      </c>
      <c r="V359" s="4">
        <v>4</v>
      </c>
    </row>
    <row r="360" spans="1:22" x14ac:dyDescent="0.25">
      <c r="A360" s="2" t="s">
        <v>739</v>
      </c>
      <c r="B360" s="2" t="s">
        <v>740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4">
        <v>71</v>
      </c>
      <c r="O360" s="4">
        <v>92</v>
      </c>
      <c r="P360" s="4">
        <v>55</v>
      </c>
      <c r="Q360" s="4">
        <v>68</v>
      </c>
      <c r="R360" s="4">
        <v>68</v>
      </c>
      <c r="S360" s="4">
        <v>286</v>
      </c>
      <c r="T360" s="4">
        <v>304</v>
      </c>
      <c r="U360" s="4">
        <v>317</v>
      </c>
      <c r="V360" s="4">
        <v>84</v>
      </c>
    </row>
    <row r="361" spans="1:22" x14ac:dyDescent="0.25">
      <c r="A361" s="2" t="s">
        <v>741</v>
      </c>
      <c r="B361" s="2" t="s">
        <v>742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4">
        <v>30</v>
      </c>
      <c r="O361" s="4">
        <v>36</v>
      </c>
      <c r="P361" s="4">
        <v>29</v>
      </c>
      <c r="Q361" s="4">
        <v>30</v>
      </c>
      <c r="R361" s="4">
        <v>10</v>
      </c>
      <c r="S361" s="4">
        <v>15</v>
      </c>
      <c r="T361" s="4">
        <v>17</v>
      </c>
      <c r="U361" s="3"/>
      <c r="V361" s="3"/>
    </row>
    <row r="362" spans="1:22" x14ac:dyDescent="0.25">
      <c r="A362" s="2" t="s">
        <v>743</v>
      </c>
      <c r="B362" s="2" t="s">
        <v>744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4">
        <v>57</v>
      </c>
      <c r="O362" s="4">
        <v>124</v>
      </c>
      <c r="P362" s="4">
        <v>106</v>
      </c>
      <c r="Q362" s="4">
        <v>114</v>
      </c>
      <c r="R362" s="4">
        <v>119</v>
      </c>
      <c r="S362" s="4">
        <v>122</v>
      </c>
      <c r="T362" s="4">
        <v>108</v>
      </c>
      <c r="U362" s="4">
        <v>119</v>
      </c>
      <c r="V362" s="4">
        <v>49</v>
      </c>
    </row>
    <row r="363" spans="1:22" x14ac:dyDescent="0.25">
      <c r="A363" s="2" t="s">
        <v>745</v>
      </c>
      <c r="B363" s="2" t="s">
        <v>746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4">
        <v>102</v>
      </c>
      <c r="P363" s="3"/>
      <c r="Q363" s="3"/>
      <c r="R363" s="3"/>
      <c r="S363" s="3"/>
      <c r="T363" s="3"/>
      <c r="U363" s="3"/>
      <c r="V363" s="3"/>
    </row>
    <row r="364" spans="1:22" x14ac:dyDescent="0.25">
      <c r="A364" s="2" t="s">
        <v>747</v>
      </c>
      <c r="B364" s="2" t="s">
        <v>748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4">
        <v>36</v>
      </c>
      <c r="O364" s="4">
        <v>101</v>
      </c>
      <c r="P364" s="4">
        <v>82</v>
      </c>
      <c r="Q364" s="4">
        <v>90</v>
      </c>
      <c r="R364" s="4">
        <v>90</v>
      </c>
      <c r="S364" s="4">
        <v>84</v>
      </c>
      <c r="T364" s="4">
        <v>66</v>
      </c>
      <c r="U364" s="4">
        <v>74</v>
      </c>
      <c r="V364" s="4">
        <v>31</v>
      </c>
    </row>
    <row r="365" spans="1:22" x14ac:dyDescent="0.25">
      <c r="A365" s="2" t="s">
        <v>749</v>
      </c>
      <c r="B365" s="2" t="s">
        <v>750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4">
        <v>18</v>
      </c>
      <c r="P365" s="4">
        <v>4</v>
      </c>
      <c r="Q365" s="3"/>
      <c r="R365" s="4">
        <v>2</v>
      </c>
      <c r="S365" s="3"/>
      <c r="T365" s="4">
        <v>1</v>
      </c>
      <c r="U365" s="3"/>
      <c r="V365" s="3"/>
    </row>
    <row r="366" spans="1:22" x14ac:dyDescent="0.25">
      <c r="A366" s="2" t="s">
        <v>751</v>
      </c>
      <c r="B366" s="2" t="s">
        <v>752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>
        <v>110</v>
      </c>
      <c r="P366" s="4">
        <v>96</v>
      </c>
      <c r="Q366" s="4">
        <v>110</v>
      </c>
      <c r="R366" s="4">
        <v>83</v>
      </c>
      <c r="S366" s="4">
        <v>88</v>
      </c>
      <c r="T366" s="4">
        <v>86</v>
      </c>
      <c r="U366" s="4">
        <v>111</v>
      </c>
      <c r="V366" s="4">
        <v>41</v>
      </c>
    </row>
    <row r="367" spans="1:22" x14ac:dyDescent="0.25">
      <c r="A367" s="2" t="s">
        <v>753</v>
      </c>
      <c r="B367" s="2" t="s">
        <v>754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x14ac:dyDescent="0.25">
      <c r="A368" s="2" t="s">
        <v>755</v>
      </c>
      <c r="B368" s="2" t="s">
        <v>756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x14ac:dyDescent="0.25">
      <c r="A369" s="2" t="s">
        <v>757</v>
      </c>
      <c r="B369" s="2" t="s">
        <v>758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4">
        <v>290</v>
      </c>
      <c r="P369" s="4">
        <v>285</v>
      </c>
      <c r="Q369" s="4">
        <v>267</v>
      </c>
      <c r="R369" s="4">
        <v>275</v>
      </c>
      <c r="S369" s="4">
        <v>296</v>
      </c>
      <c r="T369" s="4">
        <v>309</v>
      </c>
      <c r="U369" s="4">
        <v>309</v>
      </c>
      <c r="V369" s="4">
        <v>50</v>
      </c>
    </row>
    <row r="370" spans="1:22" x14ac:dyDescent="0.25">
      <c r="A370" s="2" t="s">
        <v>759</v>
      </c>
      <c r="B370" s="2" t="s">
        <v>760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>
        <v>61</v>
      </c>
      <c r="P370" s="4">
        <v>50</v>
      </c>
      <c r="Q370" s="4">
        <v>62</v>
      </c>
      <c r="R370" s="4">
        <v>68</v>
      </c>
      <c r="S370" s="4">
        <v>51</v>
      </c>
      <c r="T370" s="4">
        <v>60</v>
      </c>
      <c r="U370" s="4">
        <v>62</v>
      </c>
      <c r="V370" s="4">
        <v>20</v>
      </c>
    </row>
    <row r="371" spans="1:22" x14ac:dyDescent="0.25">
      <c r="A371" s="2" t="s">
        <v>761</v>
      </c>
      <c r="B371" s="2" t="s">
        <v>762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>
        <v>144</v>
      </c>
      <c r="N371" s="4">
        <v>163</v>
      </c>
      <c r="O371" s="4">
        <v>169</v>
      </c>
      <c r="P371" s="4">
        <v>129</v>
      </c>
      <c r="Q371" s="4">
        <v>145</v>
      </c>
      <c r="R371" s="4">
        <v>123</v>
      </c>
      <c r="S371" s="4">
        <v>148</v>
      </c>
      <c r="T371" s="4">
        <v>133</v>
      </c>
      <c r="U371" s="4">
        <v>96</v>
      </c>
      <c r="V371" s="4">
        <v>1</v>
      </c>
    </row>
    <row r="372" spans="1:22" x14ac:dyDescent="0.25">
      <c r="A372" s="2" t="s">
        <v>763</v>
      </c>
      <c r="B372" s="2" t="s">
        <v>764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4">
        <v>435</v>
      </c>
      <c r="P372" s="4">
        <v>368</v>
      </c>
      <c r="Q372" s="4">
        <v>407</v>
      </c>
      <c r="R372" s="4">
        <v>358</v>
      </c>
      <c r="S372" s="4">
        <v>410</v>
      </c>
      <c r="T372" s="4">
        <v>433</v>
      </c>
      <c r="U372" s="4">
        <v>365</v>
      </c>
      <c r="V372" s="4">
        <v>127</v>
      </c>
    </row>
    <row r="373" spans="1:22" x14ac:dyDescent="0.25">
      <c r="A373" s="2" t="s">
        <v>765</v>
      </c>
      <c r="B373" s="2" t="s">
        <v>766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4">
        <v>73</v>
      </c>
      <c r="O373" s="4">
        <v>79</v>
      </c>
      <c r="P373" s="4">
        <v>71</v>
      </c>
      <c r="Q373" s="4">
        <v>59</v>
      </c>
      <c r="R373" s="4">
        <v>54</v>
      </c>
      <c r="S373" s="4">
        <v>54</v>
      </c>
      <c r="T373" s="4">
        <v>29</v>
      </c>
      <c r="U373" s="3"/>
      <c r="V373" s="3"/>
    </row>
    <row r="374" spans="1:22" x14ac:dyDescent="0.25">
      <c r="A374" s="2" t="s">
        <v>767</v>
      </c>
      <c r="B374" s="2" t="s">
        <v>768</v>
      </c>
      <c r="C374" s="4">
        <v>7</v>
      </c>
      <c r="D374" s="4">
        <v>7</v>
      </c>
      <c r="E374" s="4">
        <v>9</v>
      </c>
      <c r="F374" s="4">
        <v>5</v>
      </c>
      <c r="G374" s="4">
        <v>5</v>
      </c>
      <c r="H374" s="4">
        <v>6</v>
      </c>
      <c r="I374" s="4">
        <v>3</v>
      </c>
      <c r="J374" s="3"/>
      <c r="K374" s="3"/>
      <c r="L374" s="4">
        <v>4</v>
      </c>
      <c r="M374" s="4">
        <v>458</v>
      </c>
      <c r="N374" s="4">
        <v>481</v>
      </c>
      <c r="O374" s="4">
        <v>520</v>
      </c>
      <c r="P374" s="4">
        <v>417</v>
      </c>
      <c r="Q374" s="4">
        <v>450</v>
      </c>
      <c r="R374" s="4">
        <v>407</v>
      </c>
      <c r="S374" s="4">
        <v>459</v>
      </c>
      <c r="T374" s="4">
        <v>469</v>
      </c>
      <c r="U374" s="4">
        <v>473</v>
      </c>
      <c r="V374" s="4">
        <v>126</v>
      </c>
    </row>
    <row r="375" spans="1:22" x14ac:dyDescent="0.25">
      <c r="A375" s="6" t="s">
        <v>769</v>
      </c>
      <c r="B375" s="6"/>
      <c r="C375" s="6">
        <v>39</v>
      </c>
      <c r="D375" s="6">
        <v>34</v>
      </c>
      <c r="E375" s="6">
        <v>36</v>
      </c>
      <c r="F375" s="6">
        <v>122</v>
      </c>
      <c r="G375" s="6">
        <v>358</v>
      </c>
      <c r="H375" s="6">
        <v>362</v>
      </c>
      <c r="I375" s="6">
        <v>3557</v>
      </c>
      <c r="J375" s="6">
        <v>3922</v>
      </c>
      <c r="K375" s="6">
        <v>5408</v>
      </c>
      <c r="L375" s="6">
        <v>6506</v>
      </c>
      <c r="M375" s="6">
        <v>14785</v>
      </c>
      <c r="N375" s="6">
        <v>39868</v>
      </c>
      <c r="O375" s="6">
        <v>97312</v>
      </c>
      <c r="P375" s="6">
        <v>90599</v>
      </c>
      <c r="Q375" s="6">
        <v>92148</v>
      </c>
      <c r="R375" s="6">
        <v>90470</v>
      </c>
      <c r="S375" s="6">
        <v>99726</v>
      </c>
      <c r="T375" s="6">
        <v>100330</v>
      </c>
      <c r="U375" s="6">
        <v>103285</v>
      </c>
      <c r="V375" s="6">
        <v>28336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14" customWidth="1"/>
    <col min="2" max="2" width="75" customWidth="1"/>
  </cols>
  <sheetData>
    <row r="1" spans="1:2" x14ac:dyDescent="0.25">
      <c r="A1" s="7" t="s">
        <v>770</v>
      </c>
      <c r="B1" s="7" t="s">
        <v>771</v>
      </c>
    </row>
    <row r="2" spans="1:2" x14ac:dyDescent="0.25">
      <c r="A2" t="s">
        <v>772</v>
      </c>
      <c r="B2" t="s">
        <v>773</v>
      </c>
    </row>
    <row r="3" spans="1:2" x14ac:dyDescent="0.25">
      <c r="A3" t="s">
        <v>344</v>
      </c>
      <c r="B3" t="s">
        <v>774</v>
      </c>
    </row>
    <row r="4" spans="1:2" x14ac:dyDescent="0.25">
      <c r="A4" t="s">
        <v>775</v>
      </c>
      <c r="B4" t="s">
        <v>776</v>
      </c>
    </row>
    <row r="5" spans="1:2" x14ac:dyDescent="0.25">
      <c r="A5" t="s">
        <v>777</v>
      </c>
      <c r="B5" t="s">
        <v>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5B06-F73D-4112-B0A9-BFB27047A1C8}">
  <dimension ref="A1:G375"/>
  <sheetViews>
    <sheetView tabSelected="1" workbookViewId="0">
      <pane xSplit="3" ySplit="1" topLeftCell="D67" activePane="bottomRight" state="frozen"/>
      <selection pane="topRight"/>
      <selection pane="bottomLeft"/>
      <selection pane="bottomRight" activeCell="A73" sqref="A73:G73"/>
    </sheetView>
  </sheetViews>
  <sheetFormatPr defaultRowHeight="15" x14ac:dyDescent="0.25"/>
  <cols>
    <col min="1" max="1" width="13.28515625" customWidth="1"/>
    <col min="2" max="2" width="14.140625" bestFit="1" customWidth="1"/>
    <col min="3" max="3" width="58" bestFit="1" customWidth="1"/>
    <col min="4" max="6" width="11" customWidth="1"/>
    <col min="7" max="7" width="10.42578125" bestFit="1" customWidth="1"/>
  </cols>
  <sheetData>
    <row r="1" spans="1:7" ht="30" x14ac:dyDescent="0.25">
      <c r="A1" s="1" t="s">
        <v>779</v>
      </c>
      <c r="B1" s="1" t="s">
        <v>0</v>
      </c>
      <c r="C1" s="1" t="s">
        <v>1</v>
      </c>
      <c r="D1" s="1" t="s">
        <v>19</v>
      </c>
      <c r="E1" s="1" t="s">
        <v>20</v>
      </c>
      <c r="F1" s="11" t="s">
        <v>795</v>
      </c>
      <c r="G1" s="11" t="s">
        <v>796</v>
      </c>
    </row>
    <row r="2" spans="1:7" x14ac:dyDescent="0.25">
      <c r="A2" t="s">
        <v>780</v>
      </c>
      <c r="B2" s="2" t="s">
        <v>22</v>
      </c>
      <c r="C2" s="2" t="s">
        <v>23</v>
      </c>
      <c r="D2" s="8">
        <v>223</v>
      </c>
      <c r="E2" s="8">
        <v>259</v>
      </c>
      <c r="F2" s="8">
        <f>SUM(D2:E2)</f>
        <v>482</v>
      </c>
      <c r="G2" s="13">
        <f>F2-'[1]Monthly Incident Counts'!F2</f>
        <v>0</v>
      </c>
    </row>
    <row r="3" spans="1:7" x14ac:dyDescent="0.25">
      <c r="A3" t="s">
        <v>780</v>
      </c>
      <c r="B3" s="2" t="s">
        <v>24</v>
      </c>
      <c r="C3" s="2" t="s">
        <v>25</v>
      </c>
      <c r="D3" s="8">
        <v>104</v>
      </c>
      <c r="E3" s="8">
        <v>82</v>
      </c>
      <c r="F3" s="8">
        <f t="shared" ref="F3:F66" si="0">SUM(D3:E3)</f>
        <v>186</v>
      </c>
      <c r="G3" s="13">
        <f>F3-'[1]Monthly Incident Counts'!F3</f>
        <v>0</v>
      </c>
    </row>
    <row r="4" spans="1:7" x14ac:dyDescent="0.25">
      <c r="A4" t="s">
        <v>780</v>
      </c>
      <c r="B4" s="2" t="s">
        <v>26</v>
      </c>
      <c r="C4" s="2" t="s">
        <v>27</v>
      </c>
      <c r="D4" s="8">
        <v>190</v>
      </c>
      <c r="E4" s="8">
        <v>211</v>
      </c>
      <c r="F4" s="8">
        <f t="shared" si="0"/>
        <v>401</v>
      </c>
      <c r="G4" s="13">
        <f>F4-'[1]Monthly Incident Counts'!F4</f>
        <v>0</v>
      </c>
    </row>
    <row r="5" spans="1:7" x14ac:dyDescent="0.25">
      <c r="A5" t="s">
        <v>780</v>
      </c>
      <c r="B5" s="2" t="s">
        <v>28</v>
      </c>
      <c r="C5" s="2" t="s">
        <v>29</v>
      </c>
      <c r="D5" s="8">
        <v>457</v>
      </c>
      <c r="E5" s="8">
        <v>563</v>
      </c>
      <c r="F5" s="8">
        <f t="shared" si="0"/>
        <v>1020</v>
      </c>
      <c r="G5" s="13">
        <f>F5-'[1]Monthly Incident Counts'!F5</f>
        <v>0</v>
      </c>
    </row>
    <row r="6" spans="1:7" x14ac:dyDescent="0.25">
      <c r="A6" t="s">
        <v>780</v>
      </c>
      <c r="B6" s="2" t="s">
        <v>30</v>
      </c>
      <c r="C6" s="2" t="s">
        <v>31</v>
      </c>
      <c r="D6" s="8">
        <v>863</v>
      </c>
      <c r="E6" s="8">
        <v>980</v>
      </c>
      <c r="F6" s="8">
        <f t="shared" si="0"/>
        <v>1843</v>
      </c>
      <c r="G6" s="13">
        <f>F6-'[1]Monthly Incident Counts'!F6</f>
        <v>0</v>
      </c>
    </row>
    <row r="7" spans="1:7" x14ac:dyDescent="0.25">
      <c r="A7" t="s">
        <v>780</v>
      </c>
      <c r="B7" s="2" t="s">
        <v>32</v>
      </c>
      <c r="C7" s="2" t="s">
        <v>33</v>
      </c>
      <c r="D7" s="8">
        <v>496</v>
      </c>
      <c r="E7" s="8">
        <v>522</v>
      </c>
      <c r="F7" s="8">
        <f t="shared" si="0"/>
        <v>1018</v>
      </c>
      <c r="G7" s="13">
        <f>F7-'[1]Monthly Incident Counts'!F7</f>
        <v>0</v>
      </c>
    </row>
    <row r="8" spans="1:7" x14ac:dyDescent="0.25">
      <c r="A8" t="s">
        <v>780</v>
      </c>
      <c r="B8" s="2" t="s">
        <v>34</v>
      </c>
      <c r="C8" s="2" t="s">
        <v>35</v>
      </c>
      <c r="D8" s="9"/>
      <c r="E8" s="9"/>
      <c r="F8" s="8">
        <f t="shared" si="0"/>
        <v>0</v>
      </c>
      <c r="G8" s="13">
        <f>F8-'[1]Monthly Incident Counts'!F8</f>
        <v>0</v>
      </c>
    </row>
    <row r="9" spans="1:7" x14ac:dyDescent="0.25">
      <c r="A9" t="s">
        <v>780</v>
      </c>
      <c r="B9" s="2" t="s">
        <v>36</v>
      </c>
      <c r="C9" s="2" t="s">
        <v>37</v>
      </c>
      <c r="D9" s="8">
        <v>79</v>
      </c>
      <c r="E9" s="8">
        <v>115</v>
      </c>
      <c r="F9" s="8">
        <f t="shared" si="0"/>
        <v>194</v>
      </c>
      <c r="G9" s="13">
        <f>F9-'[1]Monthly Incident Counts'!F9</f>
        <v>0</v>
      </c>
    </row>
    <row r="10" spans="1:7" x14ac:dyDescent="0.25">
      <c r="A10" t="s">
        <v>780</v>
      </c>
      <c r="B10" s="2" t="s">
        <v>38</v>
      </c>
      <c r="C10" s="2" t="s">
        <v>39</v>
      </c>
      <c r="D10" s="9"/>
      <c r="E10" s="9"/>
      <c r="F10" s="8">
        <f t="shared" si="0"/>
        <v>0</v>
      </c>
      <c r="G10" s="13">
        <f>F10-'[1]Monthly Incident Counts'!F10</f>
        <v>0</v>
      </c>
    </row>
    <row r="11" spans="1:7" x14ac:dyDescent="0.25">
      <c r="A11" t="s">
        <v>780</v>
      </c>
      <c r="B11" s="2" t="s">
        <v>40</v>
      </c>
      <c r="C11" s="2" t="s">
        <v>41</v>
      </c>
      <c r="D11" s="8">
        <v>53</v>
      </c>
      <c r="E11" s="8">
        <v>82</v>
      </c>
      <c r="F11" s="8">
        <f t="shared" si="0"/>
        <v>135</v>
      </c>
      <c r="G11" s="13">
        <f>F11-'[1]Monthly Incident Counts'!F11</f>
        <v>0</v>
      </c>
    </row>
    <row r="12" spans="1:7" x14ac:dyDescent="0.25">
      <c r="A12" t="s">
        <v>780</v>
      </c>
      <c r="B12" s="2" t="s">
        <v>42</v>
      </c>
      <c r="C12" s="2" t="s">
        <v>43</v>
      </c>
      <c r="D12" s="9"/>
      <c r="E12" s="9"/>
      <c r="F12" s="8">
        <f t="shared" si="0"/>
        <v>0</v>
      </c>
      <c r="G12" s="13">
        <f>F12-'[1]Monthly Incident Counts'!F12</f>
        <v>0</v>
      </c>
    </row>
    <row r="13" spans="1:7" x14ac:dyDescent="0.25">
      <c r="A13" t="s">
        <v>780</v>
      </c>
      <c r="B13" s="2" t="s">
        <v>44</v>
      </c>
      <c r="C13" s="2" t="s">
        <v>45</v>
      </c>
      <c r="D13" s="8">
        <v>443</v>
      </c>
      <c r="E13" s="8">
        <v>531</v>
      </c>
      <c r="F13" s="8">
        <f t="shared" si="0"/>
        <v>974</v>
      </c>
      <c r="G13" s="13">
        <f>F13-'[1]Monthly Incident Counts'!F13</f>
        <v>0</v>
      </c>
    </row>
    <row r="14" spans="1:7" x14ac:dyDescent="0.25">
      <c r="A14" t="s">
        <v>780</v>
      </c>
      <c r="B14" s="2" t="s">
        <v>46</v>
      </c>
      <c r="C14" s="2" t="s">
        <v>47</v>
      </c>
      <c r="D14" s="9"/>
      <c r="E14" s="9"/>
      <c r="F14" s="8">
        <f t="shared" si="0"/>
        <v>0</v>
      </c>
      <c r="G14" s="13">
        <f>F14-'[1]Monthly Incident Counts'!F14</f>
        <v>0</v>
      </c>
    </row>
    <row r="15" spans="1:7" x14ac:dyDescent="0.25">
      <c r="A15" t="s">
        <v>780</v>
      </c>
      <c r="B15" s="2" t="s">
        <v>48</v>
      </c>
      <c r="C15" s="2" t="s">
        <v>49</v>
      </c>
      <c r="D15" s="9"/>
      <c r="E15" s="9"/>
      <c r="F15" s="8">
        <f t="shared" si="0"/>
        <v>0</v>
      </c>
      <c r="G15" s="13">
        <f>F15-'[1]Monthly Incident Counts'!F15</f>
        <v>0</v>
      </c>
    </row>
    <row r="16" spans="1:7" x14ac:dyDescent="0.25">
      <c r="A16" t="s">
        <v>780</v>
      </c>
      <c r="B16" s="2" t="s">
        <v>50</v>
      </c>
      <c r="C16" s="2" t="s">
        <v>51</v>
      </c>
      <c r="D16" s="8">
        <v>347</v>
      </c>
      <c r="E16" s="8">
        <v>445</v>
      </c>
      <c r="F16" s="8">
        <f t="shared" si="0"/>
        <v>792</v>
      </c>
      <c r="G16" s="13">
        <f>F16-'[1]Monthly Incident Counts'!F16</f>
        <v>0</v>
      </c>
    </row>
    <row r="17" spans="1:7" x14ac:dyDescent="0.25">
      <c r="A17" t="s">
        <v>780</v>
      </c>
      <c r="B17" s="2" t="s">
        <v>52</v>
      </c>
      <c r="C17" s="2" t="s">
        <v>53</v>
      </c>
      <c r="D17" s="8">
        <v>235</v>
      </c>
      <c r="E17" s="8">
        <v>301</v>
      </c>
      <c r="F17" s="8">
        <f t="shared" si="0"/>
        <v>536</v>
      </c>
      <c r="G17" s="13">
        <f>F17-'[1]Monthly Incident Counts'!F17</f>
        <v>0</v>
      </c>
    </row>
    <row r="18" spans="1:7" x14ac:dyDescent="0.25">
      <c r="A18" t="s">
        <v>780</v>
      </c>
      <c r="B18" s="2" t="s">
        <v>54</v>
      </c>
      <c r="C18" s="2" t="s">
        <v>55</v>
      </c>
      <c r="D18" s="8">
        <v>474</v>
      </c>
      <c r="E18" s="8">
        <v>530</v>
      </c>
      <c r="F18" s="8">
        <f t="shared" si="0"/>
        <v>1004</v>
      </c>
      <c r="G18" s="13">
        <f>F18-'[1]Monthly Incident Counts'!F18</f>
        <v>0</v>
      </c>
    </row>
    <row r="19" spans="1:7" x14ac:dyDescent="0.25">
      <c r="A19" t="s">
        <v>780</v>
      </c>
      <c r="B19" s="2" t="s">
        <v>56</v>
      </c>
      <c r="C19" s="2" t="s">
        <v>57</v>
      </c>
      <c r="D19" s="9"/>
      <c r="E19" s="9"/>
      <c r="F19" s="8">
        <f t="shared" si="0"/>
        <v>0</v>
      </c>
      <c r="G19" s="13">
        <f>F19-'[1]Monthly Incident Counts'!F19</f>
        <v>0</v>
      </c>
    </row>
    <row r="20" spans="1:7" x14ac:dyDescent="0.25">
      <c r="A20" t="s">
        <v>780</v>
      </c>
      <c r="B20" s="2" t="s">
        <v>58</v>
      </c>
      <c r="C20" s="2" t="s">
        <v>59</v>
      </c>
      <c r="D20" s="8">
        <v>573</v>
      </c>
      <c r="E20" s="8">
        <v>665</v>
      </c>
      <c r="F20" s="8">
        <f t="shared" si="0"/>
        <v>1238</v>
      </c>
      <c r="G20" s="13">
        <f>F20-'[1]Monthly Incident Counts'!F20</f>
        <v>0</v>
      </c>
    </row>
    <row r="21" spans="1:7" x14ac:dyDescent="0.25">
      <c r="A21" t="s">
        <v>780</v>
      </c>
      <c r="B21" s="2" t="s">
        <v>60</v>
      </c>
      <c r="C21" s="2" t="s">
        <v>61</v>
      </c>
      <c r="D21" s="8">
        <v>641</v>
      </c>
      <c r="E21" s="8">
        <v>745</v>
      </c>
      <c r="F21" s="8">
        <f t="shared" si="0"/>
        <v>1386</v>
      </c>
      <c r="G21" s="13">
        <f>F21-'[1]Monthly Incident Counts'!F21</f>
        <v>0</v>
      </c>
    </row>
    <row r="22" spans="1:7" x14ac:dyDescent="0.25">
      <c r="A22" t="s">
        <v>780</v>
      </c>
      <c r="B22" s="2" t="s">
        <v>62</v>
      </c>
      <c r="C22" s="2" t="s">
        <v>63</v>
      </c>
      <c r="D22" s="8">
        <v>772</v>
      </c>
      <c r="E22" s="8">
        <v>852</v>
      </c>
      <c r="F22" s="8">
        <f t="shared" si="0"/>
        <v>1624</v>
      </c>
      <c r="G22" s="13">
        <f>F22-'[1]Monthly Incident Counts'!F22</f>
        <v>0</v>
      </c>
    </row>
    <row r="23" spans="1:7" x14ac:dyDescent="0.25">
      <c r="A23" t="s">
        <v>781</v>
      </c>
      <c r="B23" s="2" t="s">
        <v>64</v>
      </c>
      <c r="C23" s="2" t="s">
        <v>65</v>
      </c>
      <c r="D23" s="8">
        <v>103</v>
      </c>
      <c r="E23" s="8">
        <v>111</v>
      </c>
      <c r="F23" s="8">
        <f t="shared" si="0"/>
        <v>214</v>
      </c>
      <c r="G23" s="13">
        <f>F23-'[1]Monthly Incident Counts'!F23</f>
        <v>0</v>
      </c>
    </row>
    <row r="24" spans="1:7" x14ac:dyDescent="0.25">
      <c r="A24" t="s">
        <v>781</v>
      </c>
      <c r="B24" s="2" t="s">
        <v>66</v>
      </c>
      <c r="C24" s="2" t="s">
        <v>67</v>
      </c>
      <c r="D24" s="8">
        <v>654</v>
      </c>
      <c r="E24" s="8">
        <v>657</v>
      </c>
      <c r="F24" s="8">
        <f t="shared" si="0"/>
        <v>1311</v>
      </c>
      <c r="G24" s="13">
        <f>F24-'[1]Monthly Incident Counts'!F24</f>
        <v>0</v>
      </c>
    </row>
    <row r="25" spans="1:7" x14ac:dyDescent="0.25">
      <c r="A25" t="s">
        <v>781</v>
      </c>
      <c r="B25" s="2" t="s">
        <v>68</v>
      </c>
      <c r="C25" s="2" t="s">
        <v>69</v>
      </c>
      <c r="D25" s="9"/>
      <c r="E25" s="9"/>
      <c r="F25" s="8">
        <f t="shared" si="0"/>
        <v>0</v>
      </c>
      <c r="G25" s="13">
        <f>F25-'[1]Monthly Incident Counts'!F25</f>
        <v>0</v>
      </c>
    </row>
    <row r="26" spans="1:7" x14ac:dyDescent="0.25">
      <c r="A26" t="s">
        <v>781</v>
      </c>
      <c r="B26" s="2" t="s">
        <v>70</v>
      </c>
      <c r="C26" s="2" t="s">
        <v>71</v>
      </c>
      <c r="D26" s="8">
        <v>34</v>
      </c>
      <c r="E26" s="8">
        <v>13</v>
      </c>
      <c r="F26" s="8">
        <f t="shared" si="0"/>
        <v>47</v>
      </c>
      <c r="G26" s="13">
        <f>F26-'[1]Monthly Incident Counts'!F26</f>
        <v>0</v>
      </c>
    </row>
    <row r="27" spans="1:7" x14ac:dyDescent="0.25">
      <c r="A27" t="s">
        <v>781</v>
      </c>
      <c r="B27" s="2" t="s">
        <v>72</v>
      </c>
      <c r="C27" s="2" t="s">
        <v>73</v>
      </c>
      <c r="D27" s="9"/>
      <c r="E27" s="9"/>
      <c r="F27" s="8">
        <f t="shared" si="0"/>
        <v>0</v>
      </c>
      <c r="G27" s="13">
        <f>F27-'[1]Monthly Incident Counts'!F27</f>
        <v>0</v>
      </c>
    </row>
    <row r="28" spans="1:7" x14ac:dyDescent="0.25">
      <c r="A28" t="s">
        <v>781</v>
      </c>
      <c r="B28" s="2" t="s">
        <v>74</v>
      </c>
      <c r="C28" s="2" t="s">
        <v>75</v>
      </c>
      <c r="D28" s="8">
        <v>32</v>
      </c>
      <c r="E28" s="8">
        <v>31</v>
      </c>
      <c r="F28" s="8">
        <f t="shared" si="0"/>
        <v>63</v>
      </c>
      <c r="G28" s="13">
        <f>F28-'[1]Monthly Incident Counts'!F28</f>
        <v>0</v>
      </c>
    </row>
    <row r="29" spans="1:7" x14ac:dyDescent="0.25">
      <c r="A29" t="s">
        <v>781</v>
      </c>
      <c r="B29" s="2" t="s">
        <v>76</v>
      </c>
      <c r="C29" s="2" t="s">
        <v>77</v>
      </c>
      <c r="D29" s="9"/>
      <c r="E29" s="9"/>
      <c r="F29" s="8">
        <f t="shared" si="0"/>
        <v>0</v>
      </c>
      <c r="G29" s="13">
        <f>F29-'[1]Monthly Incident Counts'!F29</f>
        <v>0</v>
      </c>
    </row>
    <row r="30" spans="1:7" x14ac:dyDescent="0.25">
      <c r="A30" t="s">
        <v>781</v>
      </c>
      <c r="B30" s="2" t="s">
        <v>78</v>
      </c>
      <c r="C30" s="2" t="s">
        <v>79</v>
      </c>
      <c r="D30" s="8">
        <v>18</v>
      </c>
      <c r="E30" s="8">
        <v>7</v>
      </c>
      <c r="F30" s="8">
        <f t="shared" si="0"/>
        <v>25</v>
      </c>
      <c r="G30" s="13">
        <f>F30-'[1]Monthly Incident Counts'!F30</f>
        <v>0</v>
      </c>
    </row>
    <row r="31" spans="1:7" x14ac:dyDescent="0.25">
      <c r="A31" t="s">
        <v>781</v>
      </c>
      <c r="B31" s="2" t="s">
        <v>80</v>
      </c>
      <c r="C31" s="2" t="s">
        <v>81</v>
      </c>
      <c r="D31" s="9"/>
      <c r="E31" s="9"/>
      <c r="F31" s="8">
        <f t="shared" si="0"/>
        <v>0</v>
      </c>
      <c r="G31" s="13">
        <f>F31-'[1]Monthly Incident Counts'!F31</f>
        <v>0</v>
      </c>
    </row>
    <row r="32" spans="1:7" x14ac:dyDescent="0.25">
      <c r="A32" t="s">
        <v>781</v>
      </c>
      <c r="B32" s="2" t="s">
        <v>82</v>
      </c>
      <c r="C32" s="2" t="s">
        <v>83</v>
      </c>
      <c r="D32" s="8">
        <v>175</v>
      </c>
      <c r="E32" s="8">
        <v>186</v>
      </c>
      <c r="F32" s="8">
        <f t="shared" si="0"/>
        <v>361</v>
      </c>
      <c r="G32" s="13">
        <f>F32-'[1]Monthly Incident Counts'!F32</f>
        <v>0</v>
      </c>
    </row>
    <row r="33" spans="1:7" x14ac:dyDescent="0.25">
      <c r="A33" t="s">
        <v>781</v>
      </c>
      <c r="B33" s="2" t="s">
        <v>84</v>
      </c>
      <c r="C33" s="2" t="s">
        <v>85</v>
      </c>
      <c r="D33" s="9"/>
      <c r="E33" s="9"/>
      <c r="F33" s="8">
        <f t="shared" si="0"/>
        <v>0</v>
      </c>
      <c r="G33" s="13">
        <f>F33-'[1]Monthly Incident Counts'!F33</f>
        <v>0</v>
      </c>
    </row>
    <row r="34" spans="1:7" x14ac:dyDescent="0.25">
      <c r="A34" t="s">
        <v>781</v>
      </c>
      <c r="B34" s="2" t="s">
        <v>86</v>
      </c>
      <c r="C34" s="2" t="s">
        <v>87</v>
      </c>
      <c r="D34" s="8">
        <v>29</v>
      </c>
      <c r="E34" s="8">
        <v>3</v>
      </c>
      <c r="F34" s="8">
        <f t="shared" si="0"/>
        <v>32</v>
      </c>
      <c r="G34" s="13">
        <f>F34-'[1]Monthly Incident Counts'!F34</f>
        <v>0</v>
      </c>
    </row>
    <row r="35" spans="1:7" x14ac:dyDescent="0.25">
      <c r="A35" t="s">
        <v>781</v>
      </c>
      <c r="B35" s="2" t="s">
        <v>88</v>
      </c>
      <c r="C35" s="2" t="s">
        <v>89</v>
      </c>
      <c r="D35" s="8">
        <v>1</v>
      </c>
      <c r="E35" s="8">
        <v>1</v>
      </c>
      <c r="F35" s="8">
        <f t="shared" si="0"/>
        <v>2</v>
      </c>
      <c r="G35" s="13">
        <f>F35-'[1]Monthly Incident Counts'!F35</f>
        <v>0</v>
      </c>
    </row>
    <row r="36" spans="1:7" x14ac:dyDescent="0.25">
      <c r="A36" t="s">
        <v>781</v>
      </c>
      <c r="B36" s="2" t="s">
        <v>90</v>
      </c>
      <c r="C36" s="2" t="s">
        <v>91</v>
      </c>
      <c r="D36" s="8">
        <v>3</v>
      </c>
      <c r="E36" s="8">
        <v>8</v>
      </c>
      <c r="F36" s="8">
        <f t="shared" si="0"/>
        <v>11</v>
      </c>
      <c r="G36" s="13">
        <f>F36-'[1]Monthly Incident Counts'!F36</f>
        <v>0</v>
      </c>
    </row>
    <row r="37" spans="1:7" x14ac:dyDescent="0.25">
      <c r="A37" t="s">
        <v>781</v>
      </c>
      <c r="B37" s="2" t="s">
        <v>92</v>
      </c>
      <c r="C37" s="2" t="s">
        <v>93</v>
      </c>
      <c r="D37" s="8">
        <v>47</v>
      </c>
      <c r="E37" s="8">
        <v>4</v>
      </c>
      <c r="F37" s="8">
        <f t="shared" si="0"/>
        <v>51</v>
      </c>
      <c r="G37" s="13">
        <f>F37-'[1]Monthly Incident Counts'!F37</f>
        <v>0</v>
      </c>
    </row>
    <row r="38" spans="1:7" x14ac:dyDescent="0.25">
      <c r="A38" t="s">
        <v>781</v>
      </c>
      <c r="B38" s="2" t="s">
        <v>94</v>
      </c>
      <c r="C38" s="2" t="s">
        <v>95</v>
      </c>
      <c r="D38" s="8">
        <v>14</v>
      </c>
      <c r="E38" s="8">
        <v>24</v>
      </c>
      <c r="F38" s="8">
        <f t="shared" si="0"/>
        <v>38</v>
      </c>
      <c r="G38" s="13">
        <f>F38-'[1]Monthly Incident Counts'!F38</f>
        <v>0</v>
      </c>
    </row>
    <row r="39" spans="1:7" x14ac:dyDescent="0.25">
      <c r="A39" t="s">
        <v>781</v>
      </c>
      <c r="B39" s="2" t="s">
        <v>96</v>
      </c>
      <c r="C39" s="2" t="s">
        <v>97</v>
      </c>
      <c r="D39" s="9"/>
      <c r="E39" s="9"/>
      <c r="F39" s="8">
        <f t="shared" si="0"/>
        <v>0</v>
      </c>
      <c r="G39" s="13">
        <f>F39-'[1]Monthly Incident Counts'!F39</f>
        <v>0</v>
      </c>
    </row>
    <row r="40" spans="1:7" x14ac:dyDescent="0.25">
      <c r="A40" t="s">
        <v>781</v>
      </c>
      <c r="B40" s="2" t="s">
        <v>98</v>
      </c>
      <c r="C40" s="2" t="s">
        <v>99</v>
      </c>
      <c r="D40" s="8">
        <v>1</v>
      </c>
      <c r="E40" s="9"/>
      <c r="F40" s="8">
        <f t="shared" si="0"/>
        <v>1</v>
      </c>
      <c r="G40" s="13">
        <f>F40-'[1]Monthly Incident Counts'!F40</f>
        <v>0</v>
      </c>
    </row>
    <row r="41" spans="1:7" x14ac:dyDescent="0.25">
      <c r="A41" t="s">
        <v>781</v>
      </c>
      <c r="B41" s="2" t="s">
        <v>100</v>
      </c>
      <c r="C41" s="2" t="s">
        <v>101</v>
      </c>
      <c r="D41" s="9"/>
      <c r="E41" s="9"/>
      <c r="F41" s="8">
        <f t="shared" si="0"/>
        <v>0</v>
      </c>
      <c r="G41" s="13">
        <f>F41-'[1]Monthly Incident Counts'!F41</f>
        <v>0</v>
      </c>
    </row>
    <row r="42" spans="1:7" x14ac:dyDescent="0.25">
      <c r="A42" t="s">
        <v>781</v>
      </c>
      <c r="B42" s="2" t="s">
        <v>102</v>
      </c>
      <c r="C42" s="2" t="s">
        <v>103</v>
      </c>
      <c r="D42" s="8">
        <v>47</v>
      </c>
      <c r="E42" s="8">
        <v>29</v>
      </c>
      <c r="F42" s="8">
        <f t="shared" si="0"/>
        <v>76</v>
      </c>
      <c r="G42" s="13">
        <f>F42-'[1]Monthly Incident Counts'!F42</f>
        <v>0</v>
      </c>
    </row>
    <row r="43" spans="1:7" x14ac:dyDescent="0.25">
      <c r="A43" t="s">
        <v>781</v>
      </c>
      <c r="B43" s="2" t="s">
        <v>104</v>
      </c>
      <c r="C43" s="2" t="s">
        <v>105</v>
      </c>
      <c r="D43" s="9"/>
      <c r="E43" s="8">
        <v>1</v>
      </c>
      <c r="F43" s="8">
        <f t="shared" si="0"/>
        <v>1</v>
      </c>
      <c r="G43" s="13">
        <f>F43-'[1]Monthly Incident Counts'!F43</f>
        <v>0</v>
      </c>
    </row>
    <row r="44" spans="1:7" x14ac:dyDescent="0.25">
      <c r="A44" t="s">
        <v>781</v>
      </c>
      <c r="B44" s="2" t="s">
        <v>106</v>
      </c>
      <c r="C44" s="2" t="s">
        <v>107</v>
      </c>
      <c r="D44" s="8">
        <v>64</v>
      </c>
      <c r="E44" s="8">
        <v>79</v>
      </c>
      <c r="F44" s="8">
        <f t="shared" si="0"/>
        <v>143</v>
      </c>
      <c r="G44" s="13">
        <f>F44-'[1]Monthly Incident Counts'!F44</f>
        <v>0</v>
      </c>
    </row>
    <row r="45" spans="1:7" x14ac:dyDescent="0.25">
      <c r="A45" t="s">
        <v>781</v>
      </c>
      <c r="B45" s="2" t="s">
        <v>108</v>
      </c>
      <c r="C45" s="2" t="s">
        <v>109</v>
      </c>
      <c r="D45" s="8">
        <v>13</v>
      </c>
      <c r="E45" s="8">
        <v>5</v>
      </c>
      <c r="F45" s="8">
        <f t="shared" si="0"/>
        <v>18</v>
      </c>
      <c r="G45" s="13">
        <f>F45-'[1]Monthly Incident Counts'!F45</f>
        <v>0</v>
      </c>
    </row>
    <row r="46" spans="1:7" x14ac:dyDescent="0.25">
      <c r="A46" t="s">
        <v>781</v>
      </c>
      <c r="B46" s="2" t="s">
        <v>110</v>
      </c>
      <c r="C46" s="2" t="s">
        <v>111</v>
      </c>
      <c r="D46" s="8">
        <v>18</v>
      </c>
      <c r="E46" s="8">
        <v>18</v>
      </c>
      <c r="F46" s="8">
        <f t="shared" si="0"/>
        <v>36</v>
      </c>
      <c r="G46" s="13">
        <f>F46-'[1]Monthly Incident Counts'!F46</f>
        <v>0</v>
      </c>
    </row>
    <row r="47" spans="1:7" x14ac:dyDescent="0.25">
      <c r="A47" t="s">
        <v>781</v>
      </c>
      <c r="B47" s="2" t="s">
        <v>112</v>
      </c>
      <c r="C47" s="2" t="s">
        <v>113</v>
      </c>
      <c r="D47" s="9"/>
      <c r="E47" s="9"/>
      <c r="F47" s="8">
        <f t="shared" si="0"/>
        <v>0</v>
      </c>
      <c r="G47" s="13">
        <f>F47-'[1]Monthly Incident Counts'!F47</f>
        <v>0</v>
      </c>
    </row>
    <row r="48" spans="1:7" x14ac:dyDescent="0.25">
      <c r="A48" t="s">
        <v>781</v>
      </c>
      <c r="B48" s="2" t="s">
        <v>114</v>
      </c>
      <c r="C48" s="2" t="s">
        <v>115</v>
      </c>
      <c r="D48" s="9"/>
      <c r="E48" s="9"/>
      <c r="F48" s="8">
        <f t="shared" si="0"/>
        <v>0</v>
      </c>
      <c r="G48" s="13">
        <f>F48-'[1]Monthly Incident Counts'!F48</f>
        <v>0</v>
      </c>
    </row>
    <row r="49" spans="1:7" x14ac:dyDescent="0.25">
      <c r="A49" t="s">
        <v>781</v>
      </c>
      <c r="B49" s="2" t="s">
        <v>116</v>
      </c>
      <c r="C49" s="2" t="s">
        <v>117</v>
      </c>
      <c r="D49" s="9"/>
      <c r="E49" s="9"/>
      <c r="F49" s="8">
        <f t="shared" si="0"/>
        <v>0</v>
      </c>
      <c r="G49" s="13">
        <f>F49-'[1]Monthly Incident Counts'!F49</f>
        <v>0</v>
      </c>
    </row>
    <row r="50" spans="1:7" x14ac:dyDescent="0.25">
      <c r="A50" t="s">
        <v>781</v>
      </c>
      <c r="B50" s="2" t="s">
        <v>118</v>
      </c>
      <c r="C50" s="2" t="s">
        <v>119</v>
      </c>
      <c r="D50" s="8">
        <v>20</v>
      </c>
      <c r="E50" s="8">
        <v>25</v>
      </c>
      <c r="F50" s="8">
        <f t="shared" si="0"/>
        <v>45</v>
      </c>
      <c r="G50" s="13">
        <f>F50-'[1]Monthly Incident Counts'!F50</f>
        <v>0</v>
      </c>
    </row>
    <row r="51" spans="1:7" x14ac:dyDescent="0.25">
      <c r="A51" t="s">
        <v>781</v>
      </c>
      <c r="B51" s="2" t="s">
        <v>120</v>
      </c>
      <c r="C51" s="2" t="s">
        <v>121</v>
      </c>
      <c r="D51" s="9"/>
      <c r="E51" s="9"/>
      <c r="F51" s="8">
        <f t="shared" si="0"/>
        <v>0</v>
      </c>
      <c r="G51" s="13">
        <f>F51-'[1]Monthly Incident Counts'!F51</f>
        <v>0</v>
      </c>
    </row>
    <row r="52" spans="1:7" x14ac:dyDescent="0.25">
      <c r="A52" t="s">
        <v>781</v>
      </c>
      <c r="B52" s="2" t="s">
        <v>122</v>
      </c>
      <c r="C52" s="2" t="s">
        <v>123</v>
      </c>
      <c r="D52" s="8">
        <v>210</v>
      </c>
      <c r="E52" s="8">
        <v>194</v>
      </c>
      <c r="F52" s="8">
        <f t="shared" si="0"/>
        <v>404</v>
      </c>
      <c r="G52" s="13">
        <f>F52-'[1]Monthly Incident Counts'!F52</f>
        <v>0</v>
      </c>
    </row>
    <row r="53" spans="1:7" x14ac:dyDescent="0.25">
      <c r="A53" t="s">
        <v>781</v>
      </c>
      <c r="B53" s="2" t="s">
        <v>124</v>
      </c>
      <c r="C53" s="2" t="s">
        <v>125</v>
      </c>
      <c r="D53" s="8">
        <v>108</v>
      </c>
      <c r="E53" s="8">
        <v>108</v>
      </c>
      <c r="F53" s="8">
        <f t="shared" si="0"/>
        <v>216</v>
      </c>
      <c r="G53" s="13">
        <f>F53-'[1]Monthly Incident Counts'!F53</f>
        <v>0</v>
      </c>
    </row>
    <row r="54" spans="1:7" x14ac:dyDescent="0.25">
      <c r="A54" t="s">
        <v>782</v>
      </c>
      <c r="B54" s="2" t="s">
        <v>126</v>
      </c>
      <c r="C54" s="2" t="s">
        <v>127</v>
      </c>
      <c r="D54" s="8">
        <v>65</v>
      </c>
      <c r="E54" s="8">
        <v>68</v>
      </c>
      <c r="F54" s="8">
        <f t="shared" si="0"/>
        <v>133</v>
      </c>
      <c r="G54" s="13">
        <f>F54-'[1]Monthly Incident Counts'!F54</f>
        <v>0</v>
      </c>
    </row>
    <row r="55" spans="1:7" x14ac:dyDescent="0.25">
      <c r="A55" t="s">
        <v>782</v>
      </c>
      <c r="B55" s="2" t="s">
        <v>128</v>
      </c>
      <c r="C55" s="2" t="s">
        <v>129</v>
      </c>
      <c r="D55" s="9"/>
      <c r="E55" s="9"/>
      <c r="F55" s="8">
        <f t="shared" si="0"/>
        <v>0</v>
      </c>
      <c r="G55" s="13">
        <f>F55-'[1]Monthly Incident Counts'!F55</f>
        <v>0</v>
      </c>
    </row>
    <row r="56" spans="1:7" x14ac:dyDescent="0.25">
      <c r="A56" t="s">
        <v>782</v>
      </c>
      <c r="B56" s="2" t="s">
        <v>130</v>
      </c>
      <c r="C56" s="2" t="s">
        <v>131</v>
      </c>
      <c r="D56" s="8">
        <v>1153</v>
      </c>
      <c r="E56" s="8">
        <v>1245</v>
      </c>
      <c r="F56" s="8">
        <f t="shared" si="0"/>
        <v>2398</v>
      </c>
      <c r="G56" s="13">
        <f>F56-'[1]Monthly Incident Counts'!F56</f>
        <v>0</v>
      </c>
    </row>
    <row r="57" spans="1:7" x14ac:dyDescent="0.25">
      <c r="A57" t="s">
        <v>782</v>
      </c>
      <c r="B57" s="2" t="s">
        <v>132</v>
      </c>
      <c r="C57" s="2" t="s">
        <v>133</v>
      </c>
      <c r="D57" s="8">
        <v>60</v>
      </c>
      <c r="E57" s="8">
        <v>56</v>
      </c>
      <c r="F57" s="8">
        <f t="shared" si="0"/>
        <v>116</v>
      </c>
      <c r="G57" s="13">
        <f>F57-'[1]Monthly Incident Counts'!F57</f>
        <v>0</v>
      </c>
    </row>
    <row r="58" spans="1:7" x14ac:dyDescent="0.25">
      <c r="A58" t="s">
        <v>782</v>
      </c>
      <c r="B58" s="2" t="s">
        <v>134</v>
      </c>
      <c r="C58" s="2" t="s">
        <v>135</v>
      </c>
      <c r="D58" s="8">
        <v>331</v>
      </c>
      <c r="E58" s="8">
        <v>285</v>
      </c>
      <c r="F58" s="8">
        <f t="shared" si="0"/>
        <v>616</v>
      </c>
      <c r="G58" s="13">
        <f>F58-'[1]Monthly Incident Counts'!F58</f>
        <v>0</v>
      </c>
    </row>
    <row r="59" spans="1:7" x14ac:dyDescent="0.25">
      <c r="A59" t="s">
        <v>782</v>
      </c>
      <c r="B59" s="2" t="s">
        <v>136</v>
      </c>
      <c r="C59" s="2" t="s">
        <v>137</v>
      </c>
      <c r="D59" s="8">
        <v>312</v>
      </c>
      <c r="E59" s="8">
        <v>334</v>
      </c>
      <c r="F59" s="8">
        <f t="shared" si="0"/>
        <v>646</v>
      </c>
      <c r="G59" s="13">
        <f>F59-'[1]Monthly Incident Counts'!F59</f>
        <v>0</v>
      </c>
    </row>
    <row r="60" spans="1:7" x14ac:dyDescent="0.25">
      <c r="A60" t="s">
        <v>782</v>
      </c>
      <c r="B60" s="2" t="s">
        <v>138</v>
      </c>
      <c r="C60" s="2" t="s">
        <v>139</v>
      </c>
      <c r="D60" s="8">
        <v>21</v>
      </c>
      <c r="E60" s="8">
        <v>29</v>
      </c>
      <c r="F60" s="8">
        <f t="shared" si="0"/>
        <v>50</v>
      </c>
      <c r="G60" s="13">
        <f>F60-'[1]Monthly Incident Counts'!F60</f>
        <v>0</v>
      </c>
    </row>
    <row r="61" spans="1:7" x14ac:dyDescent="0.25">
      <c r="A61" t="s">
        <v>782</v>
      </c>
      <c r="B61" s="2" t="s">
        <v>140</v>
      </c>
      <c r="C61" s="2" t="s">
        <v>141</v>
      </c>
      <c r="D61" s="8">
        <v>378</v>
      </c>
      <c r="E61" s="8">
        <v>372</v>
      </c>
      <c r="F61" s="8">
        <f t="shared" si="0"/>
        <v>750</v>
      </c>
      <c r="G61" s="13">
        <f>F61-'[1]Monthly Incident Counts'!F61</f>
        <v>0</v>
      </c>
    </row>
    <row r="62" spans="1:7" x14ac:dyDescent="0.25">
      <c r="A62" t="s">
        <v>782</v>
      </c>
      <c r="B62" s="2" t="s">
        <v>142</v>
      </c>
      <c r="C62" s="2" t="s">
        <v>143</v>
      </c>
      <c r="D62" s="8">
        <v>353</v>
      </c>
      <c r="E62" s="8">
        <v>334</v>
      </c>
      <c r="F62" s="8">
        <f t="shared" si="0"/>
        <v>687</v>
      </c>
      <c r="G62" s="13">
        <f>F62-'[1]Monthly Incident Counts'!F62</f>
        <v>0</v>
      </c>
    </row>
    <row r="63" spans="1:7" x14ac:dyDescent="0.25">
      <c r="A63" t="s">
        <v>782</v>
      </c>
      <c r="B63" s="2" t="s">
        <v>144</v>
      </c>
      <c r="C63" s="2" t="s">
        <v>145</v>
      </c>
      <c r="D63" s="8">
        <v>421</v>
      </c>
      <c r="E63" s="8">
        <v>477</v>
      </c>
      <c r="F63" s="8">
        <f t="shared" si="0"/>
        <v>898</v>
      </c>
      <c r="G63" s="13">
        <f>F63-'[1]Monthly Incident Counts'!F63</f>
        <v>0</v>
      </c>
    </row>
    <row r="64" spans="1:7" x14ac:dyDescent="0.25">
      <c r="A64" t="s">
        <v>782</v>
      </c>
      <c r="B64" s="2" t="s">
        <v>146</v>
      </c>
      <c r="C64" s="2" t="s">
        <v>147</v>
      </c>
      <c r="D64" s="8">
        <v>517</v>
      </c>
      <c r="E64" s="8">
        <v>537</v>
      </c>
      <c r="F64" s="8">
        <f t="shared" si="0"/>
        <v>1054</v>
      </c>
      <c r="G64" s="13">
        <f>F64-'[1]Monthly Incident Counts'!F64</f>
        <v>0</v>
      </c>
    </row>
    <row r="65" spans="1:7" x14ac:dyDescent="0.25">
      <c r="A65" t="s">
        <v>782</v>
      </c>
      <c r="B65" s="2" t="s">
        <v>148</v>
      </c>
      <c r="C65" s="2" t="s">
        <v>149</v>
      </c>
      <c r="D65" s="8">
        <v>364</v>
      </c>
      <c r="E65" s="8">
        <v>355</v>
      </c>
      <c r="F65" s="8">
        <f t="shared" si="0"/>
        <v>719</v>
      </c>
      <c r="G65" s="13">
        <f>F65-'[1]Monthly Incident Counts'!F65</f>
        <v>0</v>
      </c>
    </row>
    <row r="66" spans="1:7" x14ac:dyDescent="0.25">
      <c r="A66" t="s">
        <v>782</v>
      </c>
      <c r="B66" s="2" t="s">
        <v>150</v>
      </c>
      <c r="C66" s="2" t="s">
        <v>151</v>
      </c>
      <c r="D66" s="8">
        <v>28</v>
      </c>
      <c r="E66" s="9"/>
      <c r="F66" s="8">
        <f t="shared" si="0"/>
        <v>28</v>
      </c>
      <c r="G66" s="13">
        <f>F66-'[1]Monthly Incident Counts'!F66</f>
        <v>0</v>
      </c>
    </row>
    <row r="67" spans="1:7" x14ac:dyDescent="0.25">
      <c r="A67" t="s">
        <v>782</v>
      </c>
      <c r="B67" s="2" t="s">
        <v>152</v>
      </c>
      <c r="C67" s="2" t="s">
        <v>153</v>
      </c>
      <c r="D67" s="8">
        <v>112</v>
      </c>
      <c r="E67" s="8">
        <v>95</v>
      </c>
      <c r="F67" s="8">
        <f t="shared" ref="F67:F130" si="1">SUM(D67:E67)</f>
        <v>207</v>
      </c>
      <c r="G67" s="13">
        <f>F67-'[1]Monthly Incident Counts'!F67</f>
        <v>0</v>
      </c>
    </row>
    <row r="68" spans="1:7" x14ac:dyDescent="0.25">
      <c r="A68" t="s">
        <v>782</v>
      </c>
      <c r="B68" s="2" t="s">
        <v>154</v>
      </c>
      <c r="C68" s="2" t="s">
        <v>155</v>
      </c>
      <c r="D68" s="8">
        <v>155</v>
      </c>
      <c r="E68" s="8">
        <v>163</v>
      </c>
      <c r="F68" s="8">
        <f t="shared" si="1"/>
        <v>318</v>
      </c>
      <c r="G68" s="13">
        <f>F68-'[1]Monthly Incident Counts'!F68</f>
        <v>0</v>
      </c>
    </row>
    <row r="69" spans="1:7" x14ac:dyDescent="0.25">
      <c r="A69" t="s">
        <v>782</v>
      </c>
      <c r="B69" s="2" t="s">
        <v>156</v>
      </c>
      <c r="C69" s="2" t="s">
        <v>157</v>
      </c>
      <c r="D69" s="8">
        <v>798</v>
      </c>
      <c r="E69" s="8">
        <v>867</v>
      </c>
      <c r="F69" s="8">
        <f t="shared" si="1"/>
        <v>1665</v>
      </c>
      <c r="G69" s="13">
        <f>F69-'[1]Monthly Incident Counts'!F69</f>
        <v>0</v>
      </c>
    </row>
    <row r="70" spans="1:7" x14ac:dyDescent="0.25">
      <c r="A70" t="s">
        <v>782</v>
      </c>
      <c r="B70" s="2" t="s">
        <v>158</v>
      </c>
      <c r="C70" s="2" t="s">
        <v>159</v>
      </c>
      <c r="D70" s="8">
        <v>114</v>
      </c>
      <c r="E70" s="8">
        <v>83</v>
      </c>
      <c r="F70" s="8">
        <f t="shared" si="1"/>
        <v>197</v>
      </c>
      <c r="G70" s="13">
        <f>F70-'[1]Monthly Incident Counts'!F70</f>
        <v>0</v>
      </c>
    </row>
    <row r="71" spans="1:7" x14ac:dyDescent="0.25">
      <c r="A71" t="s">
        <v>782</v>
      </c>
      <c r="B71" s="2" t="s">
        <v>160</v>
      </c>
      <c r="C71" s="2" t="s">
        <v>161</v>
      </c>
      <c r="D71" s="8">
        <v>146</v>
      </c>
      <c r="E71" s="8">
        <v>148</v>
      </c>
      <c r="F71" s="8">
        <f t="shared" si="1"/>
        <v>294</v>
      </c>
      <c r="G71" s="13">
        <f>F71-'[1]Monthly Incident Counts'!F71</f>
        <v>0</v>
      </c>
    </row>
    <row r="72" spans="1:7" x14ac:dyDescent="0.25">
      <c r="A72" t="s">
        <v>782</v>
      </c>
      <c r="B72" s="2" t="s">
        <v>162</v>
      </c>
      <c r="C72" s="2" t="s">
        <v>163</v>
      </c>
      <c r="D72" s="8">
        <v>944</v>
      </c>
      <c r="E72" s="8">
        <v>812</v>
      </c>
      <c r="F72" s="8">
        <f t="shared" si="1"/>
        <v>1756</v>
      </c>
      <c r="G72" s="13">
        <f>F72-'[1]Monthly Incident Counts'!F72</f>
        <v>0</v>
      </c>
    </row>
    <row r="73" spans="1:7" x14ac:dyDescent="0.25">
      <c r="A73" s="14" t="s">
        <v>782</v>
      </c>
      <c r="B73" s="15" t="s">
        <v>164</v>
      </c>
      <c r="C73" s="15" t="s">
        <v>165</v>
      </c>
      <c r="D73" s="16">
        <v>621</v>
      </c>
      <c r="E73" s="16">
        <v>660</v>
      </c>
      <c r="F73" s="16">
        <f t="shared" si="1"/>
        <v>1281</v>
      </c>
      <c r="G73" s="17">
        <f>F73-'[1]Monthly Incident Counts'!F73</f>
        <v>3</v>
      </c>
    </row>
    <row r="74" spans="1:7" x14ac:dyDescent="0.25">
      <c r="A74" t="s">
        <v>782</v>
      </c>
      <c r="B74" s="2" t="s">
        <v>166</v>
      </c>
      <c r="C74" s="2" t="s">
        <v>167</v>
      </c>
      <c r="D74" s="8">
        <v>111</v>
      </c>
      <c r="E74" s="8">
        <v>132</v>
      </c>
      <c r="F74" s="8">
        <f t="shared" si="1"/>
        <v>243</v>
      </c>
      <c r="G74" s="13">
        <f>F74-'[1]Monthly Incident Counts'!F74</f>
        <v>0</v>
      </c>
    </row>
    <row r="75" spans="1:7" x14ac:dyDescent="0.25">
      <c r="A75" t="s">
        <v>782</v>
      </c>
      <c r="B75" s="2" t="s">
        <v>168</v>
      </c>
      <c r="C75" s="2" t="s">
        <v>169</v>
      </c>
      <c r="D75" s="8">
        <v>372</v>
      </c>
      <c r="E75" s="8">
        <v>426</v>
      </c>
      <c r="F75" s="8">
        <f t="shared" si="1"/>
        <v>798</v>
      </c>
      <c r="G75" s="13">
        <f>F75-'[1]Monthly Incident Counts'!F75</f>
        <v>0</v>
      </c>
    </row>
    <row r="76" spans="1:7" x14ac:dyDescent="0.25">
      <c r="A76" t="s">
        <v>783</v>
      </c>
      <c r="B76" s="2" t="s">
        <v>170</v>
      </c>
      <c r="C76" s="2" t="s">
        <v>171</v>
      </c>
      <c r="D76" s="8">
        <v>87</v>
      </c>
      <c r="E76" s="8">
        <v>99</v>
      </c>
      <c r="F76" s="8">
        <f t="shared" si="1"/>
        <v>186</v>
      </c>
      <c r="G76" s="13">
        <f>F76-'[1]Monthly Incident Counts'!F76</f>
        <v>0</v>
      </c>
    </row>
    <row r="77" spans="1:7" x14ac:dyDescent="0.25">
      <c r="A77" t="s">
        <v>783</v>
      </c>
      <c r="B77" s="2" t="s">
        <v>172</v>
      </c>
      <c r="C77" s="2" t="s">
        <v>173</v>
      </c>
      <c r="D77" s="8">
        <v>172</v>
      </c>
      <c r="E77" s="8">
        <v>264</v>
      </c>
      <c r="F77" s="8">
        <f t="shared" si="1"/>
        <v>436</v>
      </c>
      <c r="G77" s="13">
        <f>F77-'[1]Monthly Incident Counts'!F77</f>
        <v>0</v>
      </c>
    </row>
    <row r="78" spans="1:7" x14ac:dyDescent="0.25">
      <c r="A78" t="s">
        <v>783</v>
      </c>
      <c r="B78" s="2" t="s">
        <v>174</v>
      </c>
      <c r="C78" s="2" t="s">
        <v>175</v>
      </c>
      <c r="D78" s="8">
        <v>171</v>
      </c>
      <c r="E78" s="8">
        <v>284</v>
      </c>
      <c r="F78" s="8">
        <f t="shared" si="1"/>
        <v>455</v>
      </c>
      <c r="G78" s="13">
        <f>F78-'[1]Monthly Incident Counts'!F78</f>
        <v>0</v>
      </c>
    </row>
    <row r="79" spans="1:7" x14ac:dyDescent="0.25">
      <c r="A79" t="s">
        <v>783</v>
      </c>
      <c r="B79" s="2" t="s">
        <v>176</v>
      </c>
      <c r="C79" s="2" t="s">
        <v>177</v>
      </c>
      <c r="D79" s="9"/>
      <c r="E79" s="9"/>
      <c r="F79" s="8">
        <f t="shared" si="1"/>
        <v>0</v>
      </c>
      <c r="G79" s="13">
        <f>F79-'[1]Monthly Incident Counts'!F79</f>
        <v>0</v>
      </c>
    </row>
    <row r="80" spans="1:7" x14ac:dyDescent="0.25">
      <c r="A80" t="s">
        <v>783</v>
      </c>
      <c r="B80" s="2" t="s">
        <v>178</v>
      </c>
      <c r="C80" s="2" t="s">
        <v>179</v>
      </c>
      <c r="D80" s="9"/>
      <c r="E80" s="9"/>
      <c r="F80" s="8">
        <f t="shared" si="1"/>
        <v>0</v>
      </c>
      <c r="G80" s="13">
        <f>F80-'[1]Monthly Incident Counts'!F80</f>
        <v>0</v>
      </c>
    </row>
    <row r="81" spans="1:7" x14ac:dyDescent="0.25">
      <c r="A81" t="s">
        <v>783</v>
      </c>
      <c r="B81" s="2" t="s">
        <v>180</v>
      </c>
      <c r="C81" s="2" t="s">
        <v>181</v>
      </c>
      <c r="D81" s="8">
        <v>25</v>
      </c>
      <c r="E81" s="8">
        <v>32</v>
      </c>
      <c r="F81" s="8">
        <f t="shared" si="1"/>
        <v>57</v>
      </c>
      <c r="G81" s="13">
        <f>F81-'[1]Monthly Incident Counts'!F81</f>
        <v>0</v>
      </c>
    </row>
    <row r="82" spans="1:7" x14ac:dyDescent="0.25">
      <c r="A82" t="s">
        <v>783</v>
      </c>
      <c r="B82" s="2" t="s">
        <v>182</v>
      </c>
      <c r="C82" s="2" t="s">
        <v>183</v>
      </c>
      <c r="D82" s="8">
        <v>22</v>
      </c>
      <c r="E82" s="8">
        <v>48</v>
      </c>
      <c r="F82" s="8">
        <f t="shared" si="1"/>
        <v>70</v>
      </c>
      <c r="G82" s="13">
        <f>F82-'[1]Monthly Incident Counts'!F82</f>
        <v>0</v>
      </c>
    </row>
    <row r="83" spans="1:7" x14ac:dyDescent="0.25">
      <c r="A83" t="s">
        <v>784</v>
      </c>
      <c r="B83" s="2" t="s">
        <v>184</v>
      </c>
      <c r="C83" s="2" t="s">
        <v>185</v>
      </c>
      <c r="D83" s="8">
        <v>1334</v>
      </c>
      <c r="E83" s="8">
        <v>1371</v>
      </c>
      <c r="F83" s="8">
        <f t="shared" si="1"/>
        <v>2705</v>
      </c>
      <c r="G83" s="13">
        <f>F83-'[1]Monthly Incident Counts'!F83</f>
        <v>0</v>
      </c>
    </row>
    <row r="84" spans="1:7" x14ac:dyDescent="0.25">
      <c r="A84" t="s">
        <v>784</v>
      </c>
      <c r="B84" s="2" t="s">
        <v>186</v>
      </c>
      <c r="C84" s="2" t="s">
        <v>187</v>
      </c>
      <c r="D84" s="8">
        <v>350</v>
      </c>
      <c r="E84" s="8">
        <v>367</v>
      </c>
      <c r="F84" s="8">
        <f t="shared" si="1"/>
        <v>717</v>
      </c>
      <c r="G84" s="13">
        <f>F84-'[1]Monthly Incident Counts'!F84</f>
        <v>0</v>
      </c>
    </row>
    <row r="85" spans="1:7" x14ac:dyDescent="0.25">
      <c r="A85" t="s">
        <v>784</v>
      </c>
      <c r="B85" s="2" t="s">
        <v>188</v>
      </c>
      <c r="C85" s="2" t="s">
        <v>189</v>
      </c>
      <c r="D85" s="8">
        <v>77</v>
      </c>
      <c r="E85" s="8">
        <v>48</v>
      </c>
      <c r="F85" s="8">
        <f t="shared" si="1"/>
        <v>125</v>
      </c>
      <c r="G85" s="13">
        <f>F85-'[1]Monthly Incident Counts'!F85</f>
        <v>0</v>
      </c>
    </row>
    <row r="86" spans="1:7" x14ac:dyDescent="0.25">
      <c r="A86" t="s">
        <v>784</v>
      </c>
      <c r="B86" s="2" t="s">
        <v>190</v>
      </c>
      <c r="C86" s="2" t="s">
        <v>191</v>
      </c>
      <c r="D86" s="8">
        <v>91</v>
      </c>
      <c r="E86" s="8">
        <v>118</v>
      </c>
      <c r="F86" s="8">
        <f t="shared" si="1"/>
        <v>209</v>
      </c>
      <c r="G86" s="13">
        <f>F86-'[1]Monthly Incident Counts'!F86</f>
        <v>0</v>
      </c>
    </row>
    <row r="87" spans="1:7" x14ac:dyDescent="0.25">
      <c r="A87" t="s">
        <v>784</v>
      </c>
      <c r="B87" s="2" t="s">
        <v>192</v>
      </c>
      <c r="C87" s="2" t="s">
        <v>193</v>
      </c>
      <c r="D87" s="8">
        <v>328</v>
      </c>
      <c r="E87" s="8">
        <v>294</v>
      </c>
      <c r="F87" s="8">
        <f t="shared" si="1"/>
        <v>622</v>
      </c>
      <c r="G87" s="13">
        <f>F87-'[1]Monthly Incident Counts'!F87</f>
        <v>0</v>
      </c>
    </row>
    <row r="88" spans="1:7" x14ac:dyDescent="0.25">
      <c r="A88" t="s">
        <v>784</v>
      </c>
      <c r="B88" s="2" t="s">
        <v>194</v>
      </c>
      <c r="C88" s="2" t="s">
        <v>195</v>
      </c>
      <c r="D88" s="8">
        <v>576</v>
      </c>
      <c r="E88" s="8">
        <v>623</v>
      </c>
      <c r="F88" s="8">
        <f t="shared" si="1"/>
        <v>1199</v>
      </c>
      <c r="G88" s="13">
        <f>F88-'[1]Monthly Incident Counts'!F88</f>
        <v>0</v>
      </c>
    </row>
    <row r="89" spans="1:7" x14ac:dyDescent="0.25">
      <c r="A89" t="s">
        <v>784</v>
      </c>
      <c r="B89" s="2" t="s">
        <v>196</v>
      </c>
      <c r="C89" s="2" t="s">
        <v>197</v>
      </c>
      <c r="D89" s="8">
        <v>74</v>
      </c>
      <c r="E89" s="8">
        <v>88</v>
      </c>
      <c r="F89" s="8">
        <f t="shared" si="1"/>
        <v>162</v>
      </c>
      <c r="G89" s="13">
        <f>F89-'[1]Monthly Incident Counts'!F89</f>
        <v>0</v>
      </c>
    </row>
    <row r="90" spans="1:7" x14ac:dyDescent="0.25">
      <c r="A90" t="s">
        <v>784</v>
      </c>
      <c r="B90" s="2" t="s">
        <v>198</v>
      </c>
      <c r="C90" s="2" t="s">
        <v>199</v>
      </c>
      <c r="D90" s="8">
        <v>59</v>
      </c>
      <c r="E90" s="8">
        <v>52</v>
      </c>
      <c r="F90" s="8">
        <f t="shared" si="1"/>
        <v>111</v>
      </c>
      <c r="G90" s="13">
        <f>F90-'[1]Monthly Incident Counts'!F90</f>
        <v>0</v>
      </c>
    </row>
    <row r="91" spans="1:7" x14ac:dyDescent="0.25">
      <c r="A91" t="s">
        <v>784</v>
      </c>
      <c r="B91" s="2" t="s">
        <v>200</v>
      </c>
      <c r="C91" s="2" t="s">
        <v>201</v>
      </c>
      <c r="D91" s="8">
        <v>512</v>
      </c>
      <c r="E91" s="8">
        <v>514</v>
      </c>
      <c r="F91" s="8">
        <f t="shared" si="1"/>
        <v>1026</v>
      </c>
      <c r="G91" s="13">
        <f>F91-'[1]Monthly Incident Counts'!F91</f>
        <v>0</v>
      </c>
    </row>
    <row r="92" spans="1:7" x14ac:dyDescent="0.25">
      <c r="A92" t="s">
        <v>784</v>
      </c>
      <c r="B92" s="2" t="s">
        <v>202</v>
      </c>
      <c r="C92" s="2" t="s">
        <v>203</v>
      </c>
      <c r="D92" s="8">
        <v>237</v>
      </c>
      <c r="E92" s="8">
        <v>229</v>
      </c>
      <c r="F92" s="8">
        <f t="shared" si="1"/>
        <v>466</v>
      </c>
      <c r="G92" s="13">
        <f>F92-'[1]Monthly Incident Counts'!F92</f>
        <v>0</v>
      </c>
    </row>
    <row r="93" spans="1:7" x14ac:dyDescent="0.25">
      <c r="A93" t="s">
        <v>784</v>
      </c>
      <c r="B93" s="2" t="s">
        <v>204</v>
      </c>
      <c r="C93" s="2" t="s">
        <v>205</v>
      </c>
      <c r="D93" s="8">
        <v>427</v>
      </c>
      <c r="E93" s="8">
        <v>489</v>
      </c>
      <c r="F93" s="8">
        <f t="shared" si="1"/>
        <v>916</v>
      </c>
      <c r="G93" s="13">
        <f>F93-'[1]Monthly Incident Counts'!F93</f>
        <v>0</v>
      </c>
    </row>
    <row r="94" spans="1:7" x14ac:dyDescent="0.25">
      <c r="A94" t="s">
        <v>784</v>
      </c>
      <c r="B94" s="2" t="s">
        <v>206</v>
      </c>
      <c r="C94" s="2" t="s">
        <v>207</v>
      </c>
      <c r="D94" s="8">
        <v>96</v>
      </c>
      <c r="E94" s="8">
        <v>106</v>
      </c>
      <c r="F94" s="8">
        <f t="shared" si="1"/>
        <v>202</v>
      </c>
      <c r="G94" s="13">
        <f>F94-'[1]Monthly Incident Counts'!F94</f>
        <v>0</v>
      </c>
    </row>
    <row r="95" spans="1:7" x14ac:dyDescent="0.25">
      <c r="A95" t="s">
        <v>784</v>
      </c>
      <c r="B95" s="2" t="s">
        <v>208</v>
      </c>
      <c r="C95" s="2" t="s">
        <v>209</v>
      </c>
      <c r="D95" s="8">
        <v>210</v>
      </c>
      <c r="E95" s="8">
        <v>237</v>
      </c>
      <c r="F95" s="8">
        <f t="shared" si="1"/>
        <v>447</v>
      </c>
      <c r="G95" s="13">
        <f>F95-'[1]Monthly Incident Counts'!F95</f>
        <v>0</v>
      </c>
    </row>
    <row r="96" spans="1:7" x14ac:dyDescent="0.25">
      <c r="A96" t="s">
        <v>784</v>
      </c>
      <c r="B96" s="2" t="s">
        <v>210</v>
      </c>
      <c r="C96" s="2" t="s">
        <v>211</v>
      </c>
      <c r="D96" s="8">
        <v>794</v>
      </c>
      <c r="E96" s="8">
        <v>749</v>
      </c>
      <c r="F96" s="8">
        <f t="shared" si="1"/>
        <v>1543</v>
      </c>
      <c r="G96" s="13">
        <f>F96-'[1]Monthly Incident Counts'!F96</f>
        <v>0</v>
      </c>
    </row>
    <row r="97" spans="1:7" x14ac:dyDescent="0.25">
      <c r="A97" t="s">
        <v>784</v>
      </c>
      <c r="B97" s="2" t="s">
        <v>212</v>
      </c>
      <c r="C97" s="2" t="s">
        <v>213</v>
      </c>
      <c r="D97" s="8">
        <v>125</v>
      </c>
      <c r="E97" s="8">
        <v>51</v>
      </c>
      <c r="F97" s="8">
        <f t="shared" si="1"/>
        <v>176</v>
      </c>
      <c r="G97" s="13">
        <f>F97-'[1]Monthly Incident Counts'!F97</f>
        <v>0</v>
      </c>
    </row>
    <row r="98" spans="1:7" x14ac:dyDescent="0.25">
      <c r="A98" t="s">
        <v>784</v>
      </c>
      <c r="B98" s="2" t="s">
        <v>214</v>
      </c>
      <c r="C98" s="2" t="s">
        <v>215</v>
      </c>
      <c r="D98" s="9"/>
      <c r="E98" s="9"/>
      <c r="F98" s="8">
        <f t="shared" si="1"/>
        <v>0</v>
      </c>
      <c r="G98" s="13">
        <f>F98-'[1]Monthly Incident Counts'!F98</f>
        <v>0</v>
      </c>
    </row>
    <row r="99" spans="1:7" x14ac:dyDescent="0.25">
      <c r="A99" t="s">
        <v>784</v>
      </c>
      <c r="B99" s="2" t="s">
        <v>216</v>
      </c>
      <c r="C99" s="2" t="s">
        <v>217</v>
      </c>
      <c r="D99" s="9"/>
      <c r="E99" s="8">
        <v>2</v>
      </c>
      <c r="F99" s="8">
        <f t="shared" si="1"/>
        <v>2</v>
      </c>
      <c r="G99" s="13">
        <f>F99-'[1]Monthly Incident Counts'!F99</f>
        <v>0</v>
      </c>
    </row>
    <row r="100" spans="1:7" x14ac:dyDescent="0.25">
      <c r="A100" t="s">
        <v>784</v>
      </c>
      <c r="B100" s="2" t="s">
        <v>218</v>
      </c>
      <c r="C100" s="2" t="s">
        <v>219</v>
      </c>
      <c r="D100" s="8">
        <v>482</v>
      </c>
      <c r="E100" s="8">
        <v>499</v>
      </c>
      <c r="F100" s="8">
        <f t="shared" si="1"/>
        <v>981</v>
      </c>
      <c r="G100" s="13">
        <f>F100-'[1]Monthly Incident Counts'!F100</f>
        <v>0</v>
      </c>
    </row>
    <row r="101" spans="1:7" x14ac:dyDescent="0.25">
      <c r="A101" t="s">
        <v>784</v>
      </c>
      <c r="B101" s="2" t="s">
        <v>220</v>
      </c>
      <c r="C101" s="2" t="s">
        <v>221</v>
      </c>
      <c r="D101" s="9"/>
      <c r="E101" s="8">
        <v>2</v>
      </c>
      <c r="F101" s="8">
        <f t="shared" si="1"/>
        <v>2</v>
      </c>
      <c r="G101" s="13">
        <f>F101-'[1]Monthly Incident Counts'!F101</f>
        <v>0</v>
      </c>
    </row>
    <row r="102" spans="1:7" x14ac:dyDescent="0.25">
      <c r="A102" t="s">
        <v>784</v>
      </c>
      <c r="B102" s="2" t="s">
        <v>222</v>
      </c>
      <c r="C102" s="2" t="s">
        <v>223</v>
      </c>
      <c r="D102" s="8">
        <v>80</v>
      </c>
      <c r="E102" s="8">
        <v>86</v>
      </c>
      <c r="F102" s="8">
        <f t="shared" si="1"/>
        <v>166</v>
      </c>
      <c r="G102" s="13">
        <f>F102-'[1]Monthly Incident Counts'!F102</f>
        <v>0</v>
      </c>
    </row>
    <row r="103" spans="1:7" x14ac:dyDescent="0.25">
      <c r="A103" t="s">
        <v>784</v>
      </c>
      <c r="B103" s="2" t="s">
        <v>224</v>
      </c>
      <c r="C103" s="2" t="s">
        <v>225</v>
      </c>
      <c r="D103" s="8">
        <v>98</v>
      </c>
      <c r="E103" s="8">
        <v>85</v>
      </c>
      <c r="F103" s="8">
        <f t="shared" si="1"/>
        <v>183</v>
      </c>
      <c r="G103" s="13">
        <f>F103-'[1]Monthly Incident Counts'!F103</f>
        <v>0</v>
      </c>
    </row>
    <row r="104" spans="1:7" x14ac:dyDescent="0.25">
      <c r="A104" t="s">
        <v>784</v>
      </c>
      <c r="B104" s="2" t="s">
        <v>226</v>
      </c>
      <c r="C104" s="2" t="s">
        <v>227</v>
      </c>
      <c r="D104" s="8">
        <v>868</v>
      </c>
      <c r="E104" s="8">
        <v>919</v>
      </c>
      <c r="F104" s="8">
        <f t="shared" si="1"/>
        <v>1787</v>
      </c>
      <c r="G104" s="13">
        <f>F104-'[1]Monthly Incident Counts'!F104</f>
        <v>0</v>
      </c>
    </row>
    <row r="105" spans="1:7" x14ac:dyDescent="0.25">
      <c r="A105" t="s">
        <v>784</v>
      </c>
      <c r="B105" s="2" t="s">
        <v>228</v>
      </c>
      <c r="C105" s="2" t="s">
        <v>229</v>
      </c>
      <c r="D105" s="8">
        <v>500</v>
      </c>
      <c r="E105" s="8">
        <v>554</v>
      </c>
      <c r="F105" s="8">
        <f t="shared" si="1"/>
        <v>1054</v>
      </c>
      <c r="G105" s="13">
        <f>F105-'[1]Monthly Incident Counts'!F105</f>
        <v>0</v>
      </c>
    </row>
    <row r="106" spans="1:7" x14ac:dyDescent="0.25">
      <c r="A106" t="s">
        <v>784</v>
      </c>
      <c r="B106" s="2" t="s">
        <v>230</v>
      </c>
      <c r="C106" s="2" t="s">
        <v>231</v>
      </c>
      <c r="D106" s="8">
        <v>304</v>
      </c>
      <c r="E106" s="8">
        <v>337</v>
      </c>
      <c r="F106" s="8">
        <f t="shared" si="1"/>
        <v>641</v>
      </c>
      <c r="G106" s="13">
        <f>F106-'[1]Monthly Incident Counts'!F106</f>
        <v>0</v>
      </c>
    </row>
    <row r="107" spans="1:7" x14ac:dyDescent="0.25">
      <c r="A107" t="s">
        <v>784</v>
      </c>
      <c r="B107" s="2" t="s">
        <v>232</v>
      </c>
      <c r="C107" s="2" t="s">
        <v>233</v>
      </c>
      <c r="D107" s="8">
        <v>173</v>
      </c>
      <c r="E107" s="8">
        <v>191</v>
      </c>
      <c r="F107" s="8">
        <f t="shared" si="1"/>
        <v>364</v>
      </c>
      <c r="G107" s="13">
        <f>F107-'[1]Monthly Incident Counts'!F107</f>
        <v>0</v>
      </c>
    </row>
    <row r="108" spans="1:7" x14ac:dyDescent="0.25">
      <c r="A108" t="s">
        <v>784</v>
      </c>
      <c r="B108" s="2" t="s">
        <v>234</v>
      </c>
      <c r="C108" s="2" t="s">
        <v>235</v>
      </c>
      <c r="D108" s="8">
        <v>855</v>
      </c>
      <c r="E108" s="8">
        <v>807</v>
      </c>
      <c r="F108" s="8">
        <f t="shared" si="1"/>
        <v>1662</v>
      </c>
      <c r="G108" s="13">
        <f>F108-'[1]Monthly Incident Counts'!F108</f>
        <v>0</v>
      </c>
    </row>
    <row r="109" spans="1:7" x14ac:dyDescent="0.25">
      <c r="A109" t="s">
        <v>784</v>
      </c>
      <c r="B109" s="2" t="s">
        <v>236</v>
      </c>
      <c r="C109" s="2" t="s">
        <v>237</v>
      </c>
      <c r="D109" s="8">
        <v>328</v>
      </c>
      <c r="E109" s="8">
        <v>389</v>
      </c>
      <c r="F109" s="8">
        <f t="shared" si="1"/>
        <v>717</v>
      </c>
      <c r="G109" s="13">
        <f>F109-'[1]Monthly Incident Counts'!F109</f>
        <v>0</v>
      </c>
    </row>
    <row r="110" spans="1:7" x14ac:dyDescent="0.25">
      <c r="A110" t="s">
        <v>784</v>
      </c>
      <c r="B110" s="2" t="s">
        <v>238</v>
      </c>
      <c r="C110" s="2" t="s">
        <v>239</v>
      </c>
      <c r="D110" s="9"/>
      <c r="E110" s="9"/>
      <c r="F110" s="8">
        <f t="shared" si="1"/>
        <v>0</v>
      </c>
      <c r="G110" s="13">
        <f>F110-'[1]Monthly Incident Counts'!F110</f>
        <v>0</v>
      </c>
    </row>
    <row r="111" spans="1:7" x14ac:dyDescent="0.25">
      <c r="A111" t="s">
        <v>784</v>
      </c>
      <c r="B111" s="2" t="s">
        <v>240</v>
      </c>
      <c r="C111" s="2" t="s">
        <v>241</v>
      </c>
      <c r="D111" s="8">
        <v>112</v>
      </c>
      <c r="E111" s="8">
        <v>150</v>
      </c>
      <c r="F111" s="8">
        <f t="shared" si="1"/>
        <v>262</v>
      </c>
      <c r="G111" s="13">
        <f>F111-'[1]Monthly Incident Counts'!F111</f>
        <v>0</v>
      </c>
    </row>
    <row r="112" spans="1:7" x14ac:dyDescent="0.25">
      <c r="A112" t="s">
        <v>784</v>
      </c>
      <c r="B112" s="2" t="s">
        <v>242</v>
      </c>
      <c r="C112" s="2" t="s">
        <v>243</v>
      </c>
      <c r="D112" s="8">
        <v>197</v>
      </c>
      <c r="E112" s="8">
        <v>186</v>
      </c>
      <c r="F112" s="8">
        <f t="shared" si="1"/>
        <v>383</v>
      </c>
      <c r="G112" s="13">
        <f>F112-'[1]Monthly Incident Counts'!F112</f>
        <v>0</v>
      </c>
    </row>
    <row r="113" spans="1:7" x14ac:dyDescent="0.25">
      <c r="A113" t="s">
        <v>784</v>
      </c>
      <c r="B113" s="2" t="s">
        <v>244</v>
      </c>
      <c r="C113" s="2" t="s">
        <v>245</v>
      </c>
      <c r="D113" s="9"/>
      <c r="E113" s="9"/>
      <c r="F113" s="8">
        <f t="shared" si="1"/>
        <v>0</v>
      </c>
      <c r="G113" s="13">
        <f>F113-'[1]Monthly Incident Counts'!F113</f>
        <v>0</v>
      </c>
    </row>
    <row r="114" spans="1:7" x14ac:dyDescent="0.25">
      <c r="A114" t="s">
        <v>784</v>
      </c>
      <c r="B114" s="2" t="s">
        <v>246</v>
      </c>
      <c r="C114" s="2" t="s">
        <v>247</v>
      </c>
      <c r="D114" s="8">
        <v>195</v>
      </c>
      <c r="E114" s="8">
        <v>184</v>
      </c>
      <c r="F114" s="8">
        <f t="shared" si="1"/>
        <v>379</v>
      </c>
      <c r="G114" s="13">
        <f>F114-'[1]Monthly Incident Counts'!F114</f>
        <v>0</v>
      </c>
    </row>
    <row r="115" spans="1:7" x14ac:dyDescent="0.25">
      <c r="A115" t="s">
        <v>784</v>
      </c>
      <c r="B115" s="2" t="s">
        <v>248</v>
      </c>
      <c r="C115" s="2" t="s">
        <v>249</v>
      </c>
      <c r="D115" s="8">
        <v>769</v>
      </c>
      <c r="E115" s="8">
        <v>762</v>
      </c>
      <c r="F115" s="8">
        <f t="shared" si="1"/>
        <v>1531</v>
      </c>
      <c r="G115" s="13">
        <f>F115-'[1]Monthly Incident Counts'!F115</f>
        <v>0</v>
      </c>
    </row>
    <row r="116" spans="1:7" x14ac:dyDescent="0.25">
      <c r="A116" t="s">
        <v>784</v>
      </c>
      <c r="B116" s="2" t="s">
        <v>250</v>
      </c>
      <c r="C116" s="2" t="s">
        <v>251</v>
      </c>
      <c r="D116" s="8">
        <v>732</v>
      </c>
      <c r="E116" s="8">
        <v>652</v>
      </c>
      <c r="F116" s="8">
        <f t="shared" si="1"/>
        <v>1384</v>
      </c>
      <c r="G116" s="13">
        <f>F116-'[1]Monthly Incident Counts'!F116</f>
        <v>0</v>
      </c>
    </row>
    <row r="117" spans="1:7" x14ac:dyDescent="0.25">
      <c r="A117" t="s">
        <v>785</v>
      </c>
      <c r="B117" s="2" t="s">
        <v>252</v>
      </c>
      <c r="C117" s="2" t="s">
        <v>253</v>
      </c>
      <c r="D117" s="8">
        <v>20</v>
      </c>
      <c r="E117" s="8">
        <v>25</v>
      </c>
      <c r="F117" s="8">
        <f t="shared" si="1"/>
        <v>45</v>
      </c>
      <c r="G117" s="13">
        <f>F117-'[1]Monthly Incident Counts'!F117</f>
        <v>0</v>
      </c>
    </row>
    <row r="118" spans="1:7" x14ac:dyDescent="0.25">
      <c r="A118" t="s">
        <v>785</v>
      </c>
      <c r="B118" s="2" t="s">
        <v>254</v>
      </c>
      <c r="C118" s="2" t="s">
        <v>255</v>
      </c>
      <c r="D118" s="8">
        <v>4</v>
      </c>
      <c r="E118" s="8">
        <v>4</v>
      </c>
      <c r="F118" s="8">
        <f t="shared" si="1"/>
        <v>8</v>
      </c>
      <c r="G118" s="13">
        <f>F118-'[1]Monthly Incident Counts'!F118</f>
        <v>0</v>
      </c>
    </row>
    <row r="119" spans="1:7" x14ac:dyDescent="0.25">
      <c r="A119" t="s">
        <v>785</v>
      </c>
      <c r="B119" s="2" t="s">
        <v>256</v>
      </c>
      <c r="C119" s="2" t="s">
        <v>257</v>
      </c>
      <c r="D119" s="9"/>
      <c r="E119" s="9"/>
      <c r="F119" s="8">
        <f t="shared" si="1"/>
        <v>0</v>
      </c>
      <c r="G119" s="13">
        <f>F119-'[1]Monthly Incident Counts'!F119</f>
        <v>0</v>
      </c>
    </row>
    <row r="120" spans="1:7" x14ac:dyDescent="0.25">
      <c r="A120" t="s">
        <v>785</v>
      </c>
      <c r="B120" s="2" t="s">
        <v>258</v>
      </c>
      <c r="C120" s="2" t="s">
        <v>259</v>
      </c>
      <c r="D120" s="8">
        <v>24</v>
      </c>
      <c r="E120" s="8">
        <v>13</v>
      </c>
      <c r="F120" s="8">
        <f t="shared" si="1"/>
        <v>37</v>
      </c>
      <c r="G120" s="13">
        <f>F120-'[1]Monthly Incident Counts'!F120</f>
        <v>0</v>
      </c>
    </row>
    <row r="121" spans="1:7" x14ac:dyDescent="0.25">
      <c r="A121" t="s">
        <v>785</v>
      </c>
      <c r="B121" s="2" t="s">
        <v>260</v>
      </c>
      <c r="C121" s="2" t="s">
        <v>261</v>
      </c>
      <c r="D121" s="8">
        <v>332</v>
      </c>
      <c r="E121" s="8">
        <v>317</v>
      </c>
      <c r="F121" s="8">
        <f t="shared" si="1"/>
        <v>649</v>
      </c>
      <c r="G121" s="13">
        <f>F121-'[1]Monthly Incident Counts'!F121</f>
        <v>0</v>
      </c>
    </row>
    <row r="122" spans="1:7" x14ac:dyDescent="0.25">
      <c r="A122" t="s">
        <v>785</v>
      </c>
      <c r="B122" s="2" t="s">
        <v>262</v>
      </c>
      <c r="C122" s="2" t="s">
        <v>263</v>
      </c>
      <c r="D122" s="9"/>
      <c r="E122" s="9"/>
      <c r="F122" s="8">
        <f t="shared" si="1"/>
        <v>0</v>
      </c>
      <c r="G122" s="13">
        <f>F122-'[1]Monthly Incident Counts'!F122</f>
        <v>0</v>
      </c>
    </row>
    <row r="123" spans="1:7" x14ac:dyDescent="0.25">
      <c r="A123" t="s">
        <v>785</v>
      </c>
      <c r="B123" s="2" t="s">
        <v>264</v>
      </c>
      <c r="C123" s="2" t="s">
        <v>265</v>
      </c>
      <c r="D123" s="9"/>
      <c r="E123" s="9"/>
      <c r="F123" s="8">
        <f t="shared" si="1"/>
        <v>0</v>
      </c>
      <c r="G123" s="13">
        <f>F123-'[1]Monthly Incident Counts'!F123</f>
        <v>0</v>
      </c>
    </row>
    <row r="124" spans="1:7" x14ac:dyDescent="0.25">
      <c r="A124" t="s">
        <v>785</v>
      </c>
      <c r="B124" s="2" t="s">
        <v>266</v>
      </c>
      <c r="C124" s="2" t="s">
        <v>267</v>
      </c>
      <c r="D124" s="8">
        <v>31</v>
      </c>
      <c r="E124" s="8">
        <v>31</v>
      </c>
      <c r="F124" s="8">
        <f t="shared" si="1"/>
        <v>62</v>
      </c>
      <c r="G124" s="13">
        <f>F124-'[1]Monthly Incident Counts'!F124</f>
        <v>0</v>
      </c>
    </row>
    <row r="125" spans="1:7" x14ac:dyDescent="0.25">
      <c r="A125" t="s">
        <v>785</v>
      </c>
      <c r="B125" s="2" t="s">
        <v>268</v>
      </c>
      <c r="C125" s="2" t="s">
        <v>269</v>
      </c>
      <c r="D125" s="9"/>
      <c r="E125" s="9"/>
      <c r="F125" s="8">
        <f t="shared" si="1"/>
        <v>0</v>
      </c>
      <c r="G125" s="13">
        <f>F125-'[1]Monthly Incident Counts'!F125</f>
        <v>0</v>
      </c>
    </row>
    <row r="126" spans="1:7" x14ac:dyDescent="0.25">
      <c r="A126" t="s">
        <v>785</v>
      </c>
      <c r="B126" s="2" t="s">
        <v>270</v>
      </c>
      <c r="C126" s="2" t="s">
        <v>271</v>
      </c>
      <c r="D126" s="8">
        <v>7</v>
      </c>
      <c r="E126" s="9"/>
      <c r="F126" s="8">
        <f t="shared" si="1"/>
        <v>7</v>
      </c>
      <c r="G126" s="13">
        <f>F126-'[1]Monthly Incident Counts'!F126</f>
        <v>0</v>
      </c>
    </row>
    <row r="127" spans="1:7" x14ac:dyDescent="0.25">
      <c r="A127" t="s">
        <v>785</v>
      </c>
      <c r="B127" s="2" t="s">
        <v>272</v>
      </c>
      <c r="C127" s="2" t="s">
        <v>273</v>
      </c>
      <c r="D127" s="8">
        <v>21</v>
      </c>
      <c r="E127" s="8">
        <v>26</v>
      </c>
      <c r="F127" s="8">
        <f t="shared" si="1"/>
        <v>47</v>
      </c>
      <c r="G127" s="13">
        <f>F127-'[1]Monthly Incident Counts'!F127</f>
        <v>0</v>
      </c>
    </row>
    <row r="128" spans="1:7" x14ac:dyDescent="0.25">
      <c r="A128" t="s">
        <v>785</v>
      </c>
      <c r="B128" s="2" t="s">
        <v>274</v>
      </c>
      <c r="C128" s="2" t="s">
        <v>275</v>
      </c>
      <c r="D128" s="9"/>
      <c r="E128" s="9"/>
      <c r="F128" s="8">
        <f t="shared" si="1"/>
        <v>0</v>
      </c>
      <c r="G128" s="13">
        <f>F128-'[1]Monthly Incident Counts'!F128</f>
        <v>0</v>
      </c>
    </row>
    <row r="129" spans="1:7" x14ac:dyDescent="0.25">
      <c r="A129" t="s">
        <v>785</v>
      </c>
      <c r="B129" s="2" t="s">
        <v>276</v>
      </c>
      <c r="C129" s="2" t="s">
        <v>277</v>
      </c>
      <c r="D129" s="8">
        <v>34</v>
      </c>
      <c r="E129" s="8">
        <v>44</v>
      </c>
      <c r="F129" s="8">
        <f t="shared" si="1"/>
        <v>78</v>
      </c>
      <c r="G129" s="13">
        <f>F129-'[1]Monthly Incident Counts'!F129</f>
        <v>0</v>
      </c>
    </row>
    <row r="130" spans="1:7" x14ac:dyDescent="0.25">
      <c r="A130" t="s">
        <v>785</v>
      </c>
      <c r="B130" s="2" t="s">
        <v>278</v>
      </c>
      <c r="C130" s="2" t="s">
        <v>279</v>
      </c>
      <c r="D130" s="9"/>
      <c r="E130" s="9"/>
      <c r="F130" s="8">
        <f t="shared" si="1"/>
        <v>0</v>
      </c>
      <c r="G130" s="13">
        <f>F130-'[1]Monthly Incident Counts'!F130</f>
        <v>0</v>
      </c>
    </row>
    <row r="131" spans="1:7" x14ac:dyDescent="0.25">
      <c r="A131" t="s">
        <v>785</v>
      </c>
      <c r="B131" s="2" t="s">
        <v>280</v>
      </c>
      <c r="C131" s="2" t="s">
        <v>281</v>
      </c>
      <c r="D131" s="9"/>
      <c r="E131" s="9"/>
      <c r="F131" s="8">
        <f t="shared" ref="F131:F194" si="2">SUM(D131:E131)</f>
        <v>0</v>
      </c>
      <c r="G131" s="13">
        <f>F131-'[1]Monthly Incident Counts'!F131</f>
        <v>0</v>
      </c>
    </row>
    <row r="132" spans="1:7" x14ac:dyDescent="0.25">
      <c r="A132" t="s">
        <v>785</v>
      </c>
      <c r="B132" s="2" t="s">
        <v>282</v>
      </c>
      <c r="C132" s="2" t="s">
        <v>283</v>
      </c>
      <c r="D132" s="9"/>
      <c r="E132" s="9"/>
      <c r="F132" s="8">
        <f t="shared" si="2"/>
        <v>0</v>
      </c>
      <c r="G132" s="13">
        <f>F132-'[1]Monthly Incident Counts'!F132</f>
        <v>0</v>
      </c>
    </row>
    <row r="133" spans="1:7" x14ac:dyDescent="0.25">
      <c r="A133" t="s">
        <v>785</v>
      </c>
      <c r="B133" s="2" t="s">
        <v>284</v>
      </c>
      <c r="C133" s="2" t="s">
        <v>285</v>
      </c>
      <c r="D133" s="8">
        <v>38</v>
      </c>
      <c r="E133" s="8">
        <v>44</v>
      </c>
      <c r="F133" s="8">
        <f t="shared" si="2"/>
        <v>82</v>
      </c>
      <c r="G133" s="13">
        <f>F133-'[1]Monthly Incident Counts'!F133</f>
        <v>0</v>
      </c>
    </row>
    <row r="134" spans="1:7" x14ac:dyDescent="0.25">
      <c r="A134" t="s">
        <v>785</v>
      </c>
      <c r="B134" s="2" t="s">
        <v>286</v>
      </c>
      <c r="C134" s="2" t="s">
        <v>287</v>
      </c>
      <c r="D134" s="8">
        <v>89</v>
      </c>
      <c r="E134" s="8">
        <v>147</v>
      </c>
      <c r="F134" s="8">
        <f t="shared" si="2"/>
        <v>236</v>
      </c>
      <c r="G134" s="13">
        <f>F134-'[1]Monthly Incident Counts'!F134</f>
        <v>0</v>
      </c>
    </row>
    <row r="135" spans="1:7" x14ac:dyDescent="0.25">
      <c r="A135" t="s">
        <v>785</v>
      </c>
      <c r="B135" s="2" t="s">
        <v>288</v>
      </c>
      <c r="C135" s="2" t="s">
        <v>289</v>
      </c>
      <c r="D135" s="8">
        <v>46</v>
      </c>
      <c r="E135" s="8">
        <v>57</v>
      </c>
      <c r="F135" s="8">
        <f t="shared" si="2"/>
        <v>103</v>
      </c>
      <c r="G135" s="13">
        <f>F135-'[1]Monthly Incident Counts'!F135</f>
        <v>0</v>
      </c>
    </row>
    <row r="136" spans="1:7" x14ac:dyDescent="0.25">
      <c r="A136" t="s">
        <v>785</v>
      </c>
      <c r="B136" s="2" t="s">
        <v>290</v>
      </c>
      <c r="C136" s="2" t="s">
        <v>291</v>
      </c>
      <c r="D136" s="8">
        <v>3</v>
      </c>
      <c r="E136" s="8">
        <v>13</v>
      </c>
      <c r="F136" s="8">
        <f t="shared" si="2"/>
        <v>16</v>
      </c>
      <c r="G136" s="13">
        <f>F136-'[1]Monthly Incident Counts'!F136</f>
        <v>0</v>
      </c>
    </row>
    <row r="137" spans="1:7" x14ac:dyDescent="0.25">
      <c r="A137" t="s">
        <v>785</v>
      </c>
      <c r="B137" s="2" t="s">
        <v>292</v>
      </c>
      <c r="C137" s="2" t="s">
        <v>293</v>
      </c>
      <c r="D137" s="9"/>
      <c r="E137" s="9"/>
      <c r="F137" s="8">
        <f t="shared" si="2"/>
        <v>0</v>
      </c>
      <c r="G137" s="13">
        <f>F137-'[1]Monthly Incident Counts'!F137</f>
        <v>0</v>
      </c>
    </row>
    <row r="138" spans="1:7" x14ac:dyDescent="0.25">
      <c r="A138" t="s">
        <v>785</v>
      </c>
      <c r="B138" s="2" t="s">
        <v>294</v>
      </c>
      <c r="C138" s="2" t="s">
        <v>295</v>
      </c>
      <c r="D138" s="8">
        <v>30</v>
      </c>
      <c r="E138" s="8">
        <v>22</v>
      </c>
      <c r="F138" s="8">
        <f t="shared" si="2"/>
        <v>52</v>
      </c>
      <c r="G138" s="13">
        <f>F138-'[1]Monthly Incident Counts'!F138</f>
        <v>0</v>
      </c>
    </row>
    <row r="139" spans="1:7" x14ac:dyDescent="0.25">
      <c r="A139" t="s">
        <v>785</v>
      </c>
      <c r="B139" s="2" t="s">
        <v>296</v>
      </c>
      <c r="C139" s="2" t="s">
        <v>297</v>
      </c>
      <c r="D139" s="9"/>
      <c r="E139" s="9"/>
      <c r="F139" s="8">
        <f t="shared" si="2"/>
        <v>0</v>
      </c>
      <c r="G139" s="13">
        <f>F139-'[1]Monthly Incident Counts'!F139</f>
        <v>0</v>
      </c>
    </row>
    <row r="140" spans="1:7" x14ac:dyDescent="0.25">
      <c r="A140" t="s">
        <v>785</v>
      </c>
      <c r="B140" s="2" t="s">
        <v>298</v>
      </c>
      <c r="C140" s="2" t="s">
        <v>299</v>
      </c>
      <c r="D140" s="8">
        <v>7</v>
      </c>
      <c r="E140" s="8">
        <v>10</v>
      </c>
      <c r="F140" s="8">
        <f t="shared" si="2"/>
        <v>17</v>
      </c>
      <c r="G140" s="13">
        <f>F140-'[1]Monthly Incident Counts'!F140</f>
        <v>0</v>
      </c>
    </row>
    <row r="141" spans="1:7" x14ac:dyDescent="0.25">
      <c r="A141" t="s">
        <v>785</v>
      </c>
      <c r="B141" s="2" t="s">
        <v>300</v>
      </c>
      <c r="C141" s="2" t="s">
        <v>301</v>
      </c>
      <c r="D141" s="8">
        <v>219</v>
      </c>
      <c r="E141" s="8">
        <v>255</v>
      </c>
      <c r="F141" s="8">
        <f t="shared" si="2"/>
        <v>474</v>
      </c>
      <c r="G141" s="13">
        <f>F141-'[1]Monthly Incident Counts'!F141</f>
        <v>0</v>
      </c>
    </row>
    <row r="142" spans="1:7" x14ac:dyDescent="0.25">
      <c r="A142" t="s">
        <v>785</v>
      </c>
      <c r="B142" s="2" t="s">
        <v>302</v>
      </c>
      <c r="C142" s="2" t="s">
        <v>303</v>
      </c>
      <c r="D142" s="8">
        <v>17</v>
      </c>
      <c r="E142" s="8">
        <v>10</v>
      </c>
      <c r="F142" s="8">
        <f t="shared" si="2"/>
        <v>27</v>
      </c>
      <c r="G142" s="13">
        <f>F142-'[1]Monthly Incident Counts'!F142</f>
        <v>0</v>
      </c>
    </row>
    <row r="143" spans="1:7" x14ac:dyDescent="0.25">
      <c r="A143" t="s">
        <v>785</v>
      </c>
      <c r="B143" s="2" t="s">
        <v>304</v>
      </c>
      <c r="C143" s="2" t="s">
        <v>305</v>
      </c>
      <c r="D143" s="9"/>
      <c r="E143" s="9"/>
      <c r="F143" s="8">
        <f t="shared" si="2"/>
        <v>0</v>
      </c>
      <c r="G143" s="13">
        <f>F143-'[1]Monthly Incident Counts'!F143</f>
        <v>0</v>
      </c>
    </row>
    <row r="144" spans="1:7" x14ac:dyDescent="0.25">
      <c r="A144" t="s">
        <v>785</v>
      </c>
      <c r="B144" s="2" t="s">
        <v>306</v>
      </c>
      <c r="C144" s="2" t="s">
        <v>307</v>
      </c>
      <c r="D144" s="8">
        <v>9</v>
      </c>
      <c r="E144" s="8">
        <v>16</v>
      </c>
      <c r="F144" s="8">
        <f t="shared" si="2"/>
        <v>25</v>
      </c>
      <c r="G144" s="13">
        <f>F144-'[1]Monthly Incident Counts'!F144</f>
        <v>0</v>
      </c>
    </row>
    <row r="145" spans="1:7" x14ac:dyDescent="0.25">
      <c r="A145" t="s">
        <v>785</v>
      </c>
      <c r="B145" s="2" t="s">
        <v>308</v>
      </c>
      <c r="C145" s="2" t="s">
        <v>309</v>
      </c>
      <c r="D145" s="9"/>
      <c r="E145" s="9"/>
      <c r="F145" s="8">
        <f t="shared" si="2"/>
        <v>0</v>
      </c>
      <c r="G145" s="13">
        <f>F145-'[1]Monthly Incident Counts'!F145</f>
        <v>0</v>
      </c>
    </row>
    <row r="146" spans="1:7" x14ac:dyDescent="0.25">
      <c r="A146" t="s">
        <v>786</v>
      </c>
      <c r="B146" s="2" t="s">
        <v>310</v>
      </c>
      <c r="C146" s="2" t="s">
        <v>311</v>
      </c>
      <c r="D146" s="9"/>
      <c r="E146" s="9"/>
      <c r="F146" s="8">
        <f t="shared" si="2"/>
        <v>0</v>
      </c>
      <c r="G146" s="13">
        <f>F146-'[1]Monthly Incident Counts'!F146</f>
        <v>0</v>
      </c>
    </row>
    <row r="147" spans="1:7" x14ac:dyDescent="0.25">
      <c r="A147" t="s">
        <v>786</v>
      </c>
      <c r="B147" s="2" t="s">
        <v>312</v>
      </c>
      <c r="C147" s="2" t="s">
        <v>313</v>
      </c>
      <c r="D147" s="9"/>
      <c r="E147" s="9"/>
      <c r="F147" s="8">
        <f t="shared" si="2"/>
        <v>0</v>
      </c>
      <c r="G147" s="13">
        <f>F147-'[1]Monthly Incident Counts'!F147</f>
        <v>0</v>
      </c>
    </row>
    <row r="148" spans="1:7" x14ac:dyDescent="0.25">
      <c r="A148" t="s">
        <v>786</v>
      </c>
      <c r="B148" s="2" t="s">
        <v>314</v>
      </c>
      <c r="C148" s="2" t="s">
        <v>315</v>
      </c>
      <c r="D148" s="9"/>
      <c r="E148" s="9"/>
      <c r="F148" s="8">
        <f t="shared" si="2"/>
        <v>0</v>
      </c>
      <c r="G148" s="13">
        <f>F148-'[1]Monthly Incident Counts'!F148</f>
        <v>0</v>
      </c>
    </row>
    <row r="149" spans="1:7" x14ac:dyDescent="0.25">
      <c r="A149" t="s">
        <v>786</v>
      </c>
      <c r="B149" s="2" t="s">
        <v>316</v>
      </c>
      <c r="C149" s="2" t="s">
        <v>317</v>
      </c>
      <c r="D149" s="8">
        <v>308</v>
      </c>
      <c r="E149" s="8">
        <v>292</v>
      </c>
      <c r="F149" s="8">
        <f t="shared" si="2"/>
        <v>600</v>
      </c>
      <c r="G149" s="13">
        <f>F149-'[1]Monthly Incident Counts'!F149</f>
        <v>0</v>
      </c>
    </row>
    <row r="150" spans="1:7" x14ac:dyDescent="0.25">
      <c r="A150" t="s">
        <v>786</v>
      </c>
      <c r="B150" s="2" t="s">
        <v>318</v>
      </c>
      <c r="C150" s="2" t="s">
        <v>319</v>
      </c>
      <c r="D150" s="9"/>
      <c r="E150" s="9"/>
      <c r="F150" s="8">
        <f t="shared" si="2"/>
        <v>0</v>
      </c>
      <c r="G150" s="13">
        <f>F150-'[1]Monthly Incident Counts'!F150</f>
        <v>0</v>
      </c>
    </row>
    <row r="151" spans="1:7" x14ac:dyDescent="0.25">
      <c r="A151" t="s">
        <v>786</v>
      </c>
      <c r="B151" s="2" t="s">
        <v>320</v>
      </c>
      <c r="C151" s="2" t="s">
        <v>321</v>
      </c>
      <c r="D151" s="8">
        <v>22</v>
      </c>
      <c r="E151" s="8">
        <v>13</v>
      </c>
      <c r="F151" s="8">
        <f t="shared" si="2"/>
        <v>35</v>
      </c>
      <c r="G151" s="13">
        <f>F151-'[1]Monthly Incident Counts'!F151</f>
        <v>0</v>
      </c>
    </row>
    <row r="152" spans="1:7" x14ac:dyDescent="0.25">
      <c r="A152" t="s">
        <v>786</v>
      </c>
      <c r="B152" s="2" t="s">
        <v>322</v>
      </c>
      <c r="C152" s="2" t="s">
        <v>323</v>
      </c>
      <c r="D152" s="8">
        <v>672</v>
      </c>
      <c r="E152" s="8">
        <v>705</v>
      </c>
      <c r="F152" s="8">
        <f t="shared" si="2"/>
        <v>1377</v>
      </c>
      <c r="G152" s="13">
        <f>F152-'[1]Monthly Incident Counts'!F152</f>
        <v>0</v>
      </c>
    </row>
    <row r="153" spans="1:7" x14ac:dyDescent="0.25">
      <c r="A153" t="s">
        <v>786</v>
      </c>
      <c r="B153" s="2" t="s">
        <v>324</v>
      </c>
      <c r="C153" s="2" t="s">
        <v>325</v>
      </c>
      <c r="D153" s="8">
        <v>13</v>
      </c>
      <c r="E153" s="9"/>
      <c r="F153" s="8">
        <f t="shared" si="2"/>
        <v>13</v>
      </c>
      <c r="G153" s="13">
        <f>F153-'[1]Monthly Incident Counts'!F153</f>
        <v>0</v>
      </c>
    </row>
    <row r="154" spans="1:7" x14ac:dyDescent="0.25">
      <c r="A154" t="s">
        <v>786</v>
      </c>
      <c r="B154" s="2" t="s">
        <v>326</v>
      </c>
      <c r="C154" s="2" t="s">
        <v>327</v>
      </c>
      <c r="D154" s="9"/>
      <c r="E154" s="9"/>
      <c r="F154" s="8">
        <f t="shared" si="2"/>
        <v>0</v>
      </c>
      <c r="G154" s="13">
        <f>F154-'[1]Monthly Incident Counts'!F154</f>
        <v>0</v>
      </c>
    </row>
    <row r="155" spans="1:7" x14ac:dyDescent="0.25">
      <c r="A155" t="s">
        <v>786</v>
      </c>
      <c r="B155" s="2" t="s">
        <v>328</v>
      </c>
      <c r="C155" s="2" t="s">
        <v>329</v>
      </c>
      <c r="D155" s="8">
        <v>1196</v>
      </c>
      <c r="E155" s="8">
        <v>1282</v>
      </c>
      <c r="F155" s="8">
        <f t="shared" si="2"/>
        <v>2478</v>
      </c>
      <c r="G155" s="13">
        <f>F155-'[1]Monthly Incident Counts'!F155</f>
        <v>0</v>
      </c>
    </row>
    <row r="156" spans="1:7" x14ac:dyDescent="0.25">
      <c r="A156" t="s">
        <v>786</v>
      </c>
      <c r="B156" s="2" t="s">
        <v>330</v>
      </c>
      <c r="C156" s="2" t="s">
        <v>331</v>
      </c>
      <c r="D156" s="8">
        <v>41</v>
      </c>
      <c r="E156" s="8">
        <v>48</v>
      </c>
      <c r="F156" s="8">
        <f t="shared" si="2"/>
        <v>89</v>
      </c>
      <c r="G156" s="13">
        <f>F156-'[1]Monthly Incident Counts'!F156</f>
        <v>0</v>
      </c>
    </row>
    <row r="157" spans="1:7" x14ac:dyDescent="0.25">
      <c r="A157" t="s">
        <v>786</v>
      </c>
      <c r="B157" s="2" t="s">
        <v>332</v>
      </c>
      <c r="C157" s="2" t="s">
        <v>333</v>
      </c>
      <c r="D157" s="8">
        <v>766</v>
      </c>
      <c r="E157" s="8">
        <v>785</v>
      </c>
      <c r="F157" s="8">
        <f t="shared" si="2"/>
        <v>1551</v>
      </c>
      <c r="G157" s="13">
        <f>F157-'[1]Monthly Incident Counts'!F157</f>
        <v>0</v>
      </c>
    </row>
    <row r="158" spans="1:7" x14ac:dyDescent="0.25">
      <c r="A158" t="s">
        <v>786</v>
      </c>
      <c r="B158" s="2" t="s">
        <v>334</v>
      </c>
      <c r="C158" s="2" t="s">
        <v>335</v>
      </c>
      <c r="D158" s="9"/>
      <c r="E158" s="9"/>
      <c r="F158" s="8">
        <f t="shared" si="2"/>
        <v>0</v>
      </c>
      <c r="G158" s="13">
        <f>F158-'[1]Monthly Incident Counts'!F158</f>
        <v>0</v>
      </c>
    </row>
    <row r="159" spans="1:7" x14ac:dyDescent="0.25">
      <c r="A159" t="s">
        <v>786</v>
      </c>
      <c r="B159" s="2" t="s">
        <v>336</v>
      </c>
      <c r="C159" s="2" t="s">
        <v>337</v>
      </c>
      <c r="D159" s="8">
        <v>18</v>
      </c>
      <c r="E159" s="8">
        <v>26</v>
      </c>
      <c r="F159" s="8">
        <f t="shared" si="2"/>
        <v>44</v>
      </c>
      <c r="G159" s="13">
        <f>F159-'[1]Monthly Incident Counts'!F159</f>
        <v>0</v>
      </c>
    </row>
    <row r="160" spans="1:7" x14ac:dyDescent="0.25">
      <c r="A160" t="s">
        <v>786</v>
      </c>
      <c r="B160" s="2" t="s">
        <v>338</v>
      </c>
      <c r="C160" s="2" t="s">
        <v>339</v>
      </c>
      <c r="D160" s="8">
        <v>409</v>
      </c>
      <c r="E160" s="8">
        <v>434</v>
      </c>
      <c r="F160" s="8">
        <f t="shared" si="2"/>
        <v>843</v>
      </c>
      <c r="G160" s="13">
        <f>F160-'[1]Monthly Incident Counts'!F160</f>
        <v>0</v>
      </c>
    </row>
    <row r="161" spans="1:7" x14ac:dyDescent="0.25">
      <c r="A161" t="s">
        <v>786</v>
      </c>
      <c r="B161" s="2" t="s">
        <v>340</v>
      </c>
      <c r="C161" s="2" t="s">
        <v>341</v>
      </c>
      <c r="D161" s="8">
        <v>362</v>
      </c>
      <c r="E161" s="8">
        <v>437</v>
      </c>
      <c r="F161" s="8">
        <f t="shared" si="2"/>
        <v>799</v>
      </c>
      <c r="G161" s="13">
        <f>F161-'[1]Monthly Incident Counts'!F161</f>
        <v>0</v>
      </c>
    </row>
    <row r="162" spans="1:7" x14ac:dyDescent="0.25">
      <c r="A162" t="s">
        <v>786</v>
      </c>
      <c r="B162" s="2" t="s">
        <v>342</v>
      </c>
      <c r="C162" s="2" t="s">
        <v>343</v>
      </c>
      <c r="D162" s="9"/>
      <c r="E162" s="9"/>
      <c r="F162" s="8">
        <f t="shared" si="2"/>
        <v>0</v>
      </c>
      <c r="G162" s="13">
        <f>F162-'[1]Monthly Incident Counts'!F162</f>
        <v>0</v>
      </c>
    </row>
    <row r="163" spans="1:7" x14ac:dyDescent="0.25">
      <c r="A163" t="s">
        <v>786</v>
      </c>
      <c r="B163" s="2" t="s">
        <v>345</v>
      </c>
      <c r="C163" s="2" t="s">
        <v>346</v>
      </c>
      <c r="D163" s="9"/>
      <c r="E163" s="9"/>
      <c r="F163" s="8">
        <f t="shared" si="2"/>
        <v>0</v>
      </c>
      <c r="G163" s="13">
        <f>F163-'[1]Monthly Incident Counts'!F163</f>
        <v>0</v>
      </c>
    </row>
    <row r="164" spans="1:7" x14ac:dyDescent="0.25">
      <c r="A164" t="s">
        <v>786</v>
      </c>
      <c r="B164" s="2" t="s">
        <v>347</v>
      </c>
      <c r="C164" s="2" t="s">
        <v>348</v>
      </c>
      <c r="D164" s="8">
        <v>632</v>
      </c>
      <c r="E164" s="8">
        <v>582</v>
      </c>
      <c r="F164" s="8">
        <f t="shared" si="2"/>
        <v>1214</v>
      </c>
      <c r="G164" s="13">
        <f>F164-'[1]Monthly Incident Counts'!F164</f>
        <v>0</v>
      </c>
    </row>
    <row r="165" spans="1:7" x14ac:dyDescent="0.25">
      <c r="A165" t="s">
        <v>786</v>
      </c>
      <c r="B165" s="2" t="s">
        <v>349</v>
      </c>
      <c r="C165" s="2" t="s">
        <v>350</v>
      </c>
      <c r="D165" s="9"/>
      <c r="E165" s="9"/>
      <c r="F165" s="8">
        <f t="shared" si="2"/>
        <v>0</v>
      </c>
      <c r="G165" s="13">
        <f>F165-'[1]Monthly Incident Counts'!F165</f>
        <v>0</v>
      </c>
    </row>
    <row r="166" spans="1:7" x14ac:dyDescent="0.25">
      <c r="A166" t="s">
        <v>786</v>
      </c>
      <c r="B166" s="2" t="s">
        <v>351</v>
      </c>
      <c r="C166" s="2" t="s">
        <v>352</v>
      </c>
      <c r="D166" s="8">
        <v>24</v>
      </c>
      <c r="E166" s="8">
        <v>6</v>
      </c>
      <c r="F166" s="8">
        <f t="shared" si="2"/>
        <v>30</v>
      </c>
      <c r="G166" s="13">
        <f>F166-'[1]Monthly Incident Counts'!F166</f>
        <v>0</v>
      </c>
    </row>
    <row r="167" spans="1:7" x14ac:dyDescent="0.25">
      <c r="A167" t="s">
        <v>786</v>
      </c>
      <c r="B167" s="2" t="s">
        <v>353</v>
      </c>
      <c r="C167" s="2" t="s">
        <v>354</v>
      </c>
      <c r="D167" s="8">
        <v>2369</v>
      </c>
      <c r="E167" s="8">
        <v>2361</v>
      </c>
      <c r="F167" s="8">
        <f t="shared" si="2"/>
        <v>4730</v>
      </c>
      <c r="G167" s="13">
        <f>F167-'[1]Monthly Incident Counts'!F167</f>
        <v>0</v>
      </c>
    </row>
    <row r="168" spans="1:7" x14ac:dyDescent="0.25">
      <c r="A168" t="s">
        <v>786</v>
      </c>
      <c r="B168" s="2" t="s">
        <v>355</v>
      </c>
      <c r="C168" s="2" t="s">
        <v>356</v>
      </c>
      <c r="D168" s="8">
        <v>193</v>
      </c>
      <c r="E168" s="8">
        <v>196</v>
      </c>
      <c r="F168" s="8">
        <f t="shared" si="2"/>
        <v>389</v>
      </c>
      <c r="G168" s="13">
        <f>F168-'[1]Monthly Incident Counts'!F168</f>
        <v>0</v>
      </c>
    </row>
    <row r="169" spans="1:7" x14ac:dyDescent="0.25">
      <c r="A169" t="s">
        <v>786</v>
      </c>
      <c r="B169" s="2" t="s">
        <v>357</v>
      </c>
      <c r="C169" s="2" t="s">
        <v>358</v>
      </c>
      <c r="D169" s="8">
        <v>298</v>
      </c>
      <c r="E169" s="8">
        <v>285</v>
      </c>
      <c r="F169" s="8">
        <f t="shared" si="2"/>
        <v>583</v>
      </c>
      <c r="G169" s="13">
        <f>F169-'[1]Monthly Incident Counts'!F169</f>
        <v>0</v>
      </c>
    </row>
    <row r="170" spans="1:7" x14ac:dyDescent="0.25">
      <c r="A170" t="s">
        <v>786</v>
      </c>
      <c r="B170" s="2" t="s">
        <v>359</v>
      </c>
      <c r="C170" s="2" t="s">
        <v>360</v>
      </c>
      <c r="D170" s="8">
        <v>24</v>
      </c>
      <c r="E170" s="8">
        <v>31</v>
      </c>
      <c r="F170" s="8">
        <f t="shared" si="2"/>
        <v>55</v>
      </c>
      <c r="G170" s="13">
        <f>F170-'[1]Monthly Incident Counts'!F170</f>
        <v>0</v>
      </c>
    </row>
    <row r="171" spans="1:7" x14ac:dyDescent="0.25">
      <c r="A171" t="s">
        <v>786</v>
      </c>
      <c r="B171" s="2" t="s">
        <v>361</v>
      </c>
      <c r="C171" s="2" t="s">
        <v>362</v>
      </c>
      <c r="D171" s="9"/>
      <c r="E171" s="8">
        <v>4</v>
      </c>
      <c r="F171" s="8">
        <f t="shared" si="2"/>
        <v>4</v>
      </c>
      <c r="G171" s="13">
        <f>F171-'[1]Monthly Incident Counts'!F171</f>
        <v>0</v>
      </c>
    </row>
    <row r="172" spans="1:7" x14ac:dyDescent="0.25">
      <c r="A172" t="s">
        <v>786</v>
      </c>
      <c r="B172" s="2" t="s">
        <v>363</v>
      </c>
      <c r="C172" s="2" t="s">
        <v>364</v>
      </c>
      <c r="D172" s="8">
        <v>487</v>
      </c>
      <c r="E172" s="8">
        <v>576</v>
      </c>
      <c r="F172" s="8">
        <f t="shared" si="2"/>
        <v>1063</v>
      </c>
      <c r="G172" s="13">
        <f>F172-'[1]Monthly Incident Counts'!F172</f>
        <v>0</v>
      </c>
    </row>
    <row r="173" spans="1:7" x14ac:dyDescent="0.25">
      <c r="A173" t="s">
        <v>786</v>
      </c>
      <c r="B173" s="2" t="s">
        <v>365</v>
      </c>
      <c r="C173" s="2" t="s">
        <v>366</v>
      </c>
      <c r="D173" s="9"/>
      <c r="E173" s="8">
        <v>1</v>
      </c>
      <c r="F173" s="8">
        <f t="shared" si="2"/>
        <v>1</v>
      </c>
      <c r="G173" s="13">
        <f>F173-'[1]Monthly Incident Counts'!F173</f>
        <v>0</v>
      </c>
    </row>
    <row r="174" spans="1:7" x14ac:dyDescent="0.25">
      <c r="A174" t="s">
        <v>786</v>
      </c>
      <c r="B174" s="2" t="s">
        <v>367</v>
      </c>
      <c r="C174" s="2" t="s">
        <v>368</v>
      </c>
      <c r="D174" s="8">
        <v>8</v>
      </c>
      <c r="E174" s="8">
        <v>26</v>
      </c>
      <c r="F174" s="8">
        <f t="shared" si="2"/>
        <v>34</v>
      </c>
      <c r="G174" s="13">
        <f>F174-'[1]Monthly Incident Counts'!F174</f>
        <v>0</v>
      </c>
    </row>
    <row r="175" spans="1:7" x14ac:dyDescent="0.25">
      <c r="A175" t="s">
        <v>787</v>
      </c>
      <c r="B175" s="2" t="s">
        <v>369</v>
      </c>
      <c r="C175" s="2" t="s">
        <v>370</v>
      </c>
      <c r="D175" s="8">
        <v>743</v>
      </c>
      <c r="E175" s="8">
        <v>846</v>
      </c>
      <c r="F175" s="8">
        <f t="shared" si="2"/>
        <v>1589</v>
      </c>
      <c r="G175" s="13">
        <f>F175-'[1]Monthly Incident Counts'!F175</f>
        <v>0</v>
      </c>
    </row>
    <row r="176" spans="1:7" x14ac:dyDescent="0.25">
      <c r="A176" t="s">
        <v>787</v>
      </c>
      <c r="B176" s="2" t="s">
        <v>371</v>
      </c>
      <c r="C176" s="2" t="s">
        <v>372</v>
      </c>
      <c r="D176" s="8">
        <v>169</v>
      </c>
      <c r="E176" s="8">
        <v>3</v>
      </c>
      <c r="F176" s="8">
        <f t="shared" si="2"/>
        <v>172</v>
      </c>
      <c r="G176" s="13">
        <f>F176-'[1]Monthly Incident Counts'!F176</f>
        <v>0</v>
      </c>
    </row>
    <row r="177" spans="1:7" x14ac:dyDescent="0.25">
      <c r="A177" t="s">
        <v>787</v>
      </c>
      <c r="B177" s="2" t="s">
        <v>373</v>
      </c>
      <c r="C177" s="2" t="s">
        <v>374</v>
      </c>
      <c r="D177" s="9"/>
      <c r="E177" s="9"/>
      <c r="F177" s="8">
        <f t="shared" si="2"/>
        <v>0</v>
      </c>
      <c r="G177" s="13">
        <f>F177-'[1]Monthly Incident Counts'!F177</f>
        <v>0</v>
      </c>
    </row>
    <row r="178" spans="1:7" x14ac:dyDescent="0.25">
      <c r="A178" t="s">
        <v>787</v>
      </c>
      <c r="B178" s="2" t="s">
        <v>375</v>
      </c>
      <c r="C178" s="2" t="s">
        <v>376</v>
      </c>
      <c r="D178" s="8">
        <v>4</v>
      </c>
      <c r="E178" s="9"/>
      <c r="F178" s="8">
        <f t="shared" si="2"/>
        <v>4</v>
      </c>
      <c r="G178" s="13">
        <f>F178-'[1]Monthly Incident Counts'!F178</f>
        <v>0</v>
      </c>
    </row>
    <row r="179" spans="1:7" x14ac:dyDescent="0.25">
      <c r="A179" t="s">
        <v>787</v>
      </c>
      <c r="B179" s="2" t="s">
        <v>377</v>
      </c>
      <c r="C179" s="2" t="s">
        <v>378</v>
      </c>
      <c r="D179" s="8">
        <v>17</v>
      </c>
      <c r="E179" s="8">
        <v>18</v>
      </c>
      <c r="F179" s="8">
        <f t="shared" si="2"/>
        <v>35</v>
      </c>
      <c r="G179" s="13">
        <f>F179-'[1]Monthly Incident Counts'!F179</f>
        <v>0</v>
      </c>
    </row>
    <row r="180" spans="1:7" x14ac:dyDescent="0.25">
      <c r="A180" t="s">
        <v>787</v>
      </c>
      <c r="B180" s="2" t="s">
        <v>379</v>
      </c>
      <c r="C180" s="2" t="s">
        <v>380</v>
      </c>
      <c r="D180" s="8">
        <v>16</v>
      </c>
      <c r="E180" s="9"/>
      <c r="F180" s="8">
        <f t="shared" si="2"/>
        <v>16</v>
      </c>
      <c r="G180" s="13">
        <f>F180-'[1]Monthly Incident Counts'!F180</f>
        <v>0</v>
      </c>
    </row>
    <row r="181" spans="1:7" x14ac:dyDescent="0.25">
      <c r="A181" t="s">
        <v>787</v>
      </c>
      <c r="B181" s="2" t="s">
        <v>381</v>
      </c>
      <c r="C181" s="2" t="s">
        <v>382</v>
      </c>
      <c r="D181" s="9"/>
      <c r="E181" s="9"/>
      <c r="F181" s="8">
        <f t="shared" si="2"/>
        <v>0</v>
      </c>
      <c r="G181" s="13">
        <f>F181-'[1]Monthly Incident Counts'!F181</f>
        <v>0</v>
      </c>
    </row>
    <row r="182" spans="1:7" x14ac:dyDescent="0.25">
      <c r="A182" t="s">
        <v>787</v>
      </c>
      <c r="B182" s="2" t="s">
        <v>383</v>
      </c>
      <c r="C182" s="2" t="s">
        <v>384</v>
      </c>
      <c r="D182" s="8">
        <v>23</v>
      </c>
      <c r="E182" s="8">
        <v>1</v>
      </c>
      <c r="F182" s="8">
        <f t="shared" si="2"/>
        <v>24</v>
      </c>
      <c r="G182" s="13">
        <f>F182-'[1]Monthly Incident Counts'!F182</f>
        <v>0</v>
      </c>
    </row>
    <row r="183" spans="1:7" x14ac:dyDescent="0.25">
      <c r="A183" t="s">
        <v>787</v>
      </c>
      <c r="B183" s="2" t="s">
        <v>385</v>
      </c>
      <c r="C183" s="2" t="s">
        <v>386</v>
      </c>
      <c r="D183" s="9"/>
      <c r="E183" s="9"/>
      <c r="F183" s="8">
        <f t="shared" si="2"/>
        <v>0</v>
      </c>
      <c r="G183" s="13">
        <f>F183-'[1]Monthly Incident Counts'!F183</f>
        <v>0</v>
      </c>
    </row>
    <row r="184" spans="1:7" x14ac:dyDescent="0.25">
      <c r="A184" t="s">
        <v>787</v>
      </c>
      <c r="B184" s="2" t="s">
        <v>387</v>
      </c>
      <c r="C184" s="2" t="s">
        <v>388</v>
      </c>
      <c r="D184" s="8">
        <v>313</v>
      </c>
      <c r="E184" s="8">
        <v>331</v>
      </c>
      <c r="F184" s="8">
        <f t="shared" si="2"/>
        <v>644</v>
      </c>
      <c r="G184" s="13">
        <f>F184-'[1]Monthly Incident Counts'!F184</f>
        <v>0</v>
      </c>
    </row>
    <row r="185" spans="1:7" x14ac:dyDescent="0.25">
      <c r="A185" t="s">
        <v>787</v>
      </c>
      <c r="B185" s="2" t="s">
        <v>389</v>
      </c>
      <c r="C185" s="2" t="s">
        <v>390</v>
      </c>
      <c r="D185" s="9"/>
      <c r="E185" s="9"/>
      <c r="F185" s="8">
        <f t="shared" si="2"/>
        <v>0</v>
      </c>
      <c r="G185" s="13">
        <f>F185-'[1]Monthly Incident Counts'!F185</f>
        <v>0</v>
      </c>
    </row>
    <row r="186" spans="1:7" x14ac:dyDescent="0.25">
      <c r="A186" t="s">
        <v>787</v>
      </c>
      <c r="B186" s="2" t="s">
        <v>391</v>
      </c>
      <c r="C186" s="2" t="s">
        <v>392</v>
      </c>
      <c r="D186" s="8">
        <v>91</v>
      </c>
      <c r="E186" s="8">
        <v>95</v>
      </c>
      <c r="F186" s="8">
        <f t="shared" si="2"/>
        <v>186</v>
      </c>
      <c r="G186" s="13">
        <f>F186-'[1]Monthly Incident Counts'!F186</f>
        <v>0</v>
      </c>
    </row>
    <row r="187" spans="1:7" x14ac:dyDescent="0.25">
      <c r="A187" t="s">
        <v>787</v>
      </c>
      <c r="B187" s="2" t="s">
        <v>393</v>
      </c>
      <c r="C187" s="2" t="s">
        <v>394</v>
      </c>
      <c r="D187" s="8">
        <v>250</v>
      </c>
      <c r="E187" s="8">
        <v>251</v>
      </c>
      <c r="F187" s="8">
        <f t="shared" si="2"/>
        <v>501</v>
      </c>
      <c r="G187" s="13">
        <f>F187-'[1]Monthly Incident Counts'!F187</f>
        <v>0</v>
      </c>
    </row>
    <row r="188" spans="1:7" x14ac:dyDescent="0.25">
      <c r="A188" t="s">
        <v>787</v>
      </c>
      <c r="B188" s="2" t="s">
        <v>395</v>
      </c>
      <c r="C188" s="2" t="s">
        <v>396</v>
      </c>
      <c r="D188" s="8">
        <v>208</v>
      </c>
      <c r="E188" s="8">
        <v>246</v>
      </c>
      <c r="F188" s="8">
        <f t="shared" si="2"/>
        <v>454</v>
      </c>
      <c r="G188" s="13">
        <f>F188-'[1]Monthly Incident Counts'!F188</f>
        <v>0</v>
      </c>
    </row>
    <row r="189" spans="1:7" x14ac:dyDescent="0.25">
      <c r="A189" t="s">
        <v>787</v>
      </c>
      <c r="B189" s="2" t="s">
        <v>397</v>
      </c>
      <c r="C189" s="2" t="s">
        <v>398</v>
      </c>
      <c r="D189" s="8">
        <v>1</v>
      </c>
      <c r="E189" s="9"/>
      <c r="F189" s="8">
        <f t="shared" si="2"/>
        <v>1</v>
      </c>
      <c r="G189" s="13">
        <f>F189-'[1]Monthly Incident Counts'!F189</f>
        <v>0</v>
      </c>
    </row>
    <row r="190" spans="1:7" x14ac:dyDescent="0.25">
      <c r="A190" t="s">
        <v>787</v>
      </c>
      <c r="B190" s="2" t="s">
        <v>399</v>
      </c>
      <c r="C190" s="2" t="s">
        <v>400</v>
      </c>
      <c r="D190" s="8">
        <v>87</v>
      </c>
      <c r="E190" s="8">
        <v>84</v>
      </c>
      <c r="F190" s="8">
        <f t="shared" si="2"/>
        <v>171</v>
      </c>
      <c r="G190" s="13">
        <f>F190-'[1]Monthly Incident Counts'!F190</f>
        <v>0</v>
      </c>
    </row>
    <row r="191" spans="1:7" x14ac:dyDescent="0.25">
      <c r="A191" t="s">
        <v>787</v>
      </c>
      <c r="B191" s="2" t="s">
        <v>401</v>
      </c>
      <c r="C191" s="2" t="s">
        <v>402</v>
      </c>
      <c r="D191" s="8">
        <v>158</v>
      </c>
      <c r="E191" s="8">
        <v>151</v>
      </c>
      <c r="F191" s="8">
        <f t="shared" si="2"/>
        <v>309</v>
      </c>
      <c r="G191" s="13">
        <f>F191-'[1]Monthly Incident Counts'!F191</f>
        <v>0</v>
      </c>
    </row>
    <row r="192" spans="1:7" x14ac:dyDescent="0.25">
      <c r="A192" t="s">
        <v>787</v>
      </c>
      <c r="B192" s="2" t="s">
        <v>403</v>
      </c>
      <c r="C192" s="2" t="s">
        <v>404</v>
      </c>
      <c r="D192" s="8">
        <v>17</v>
      </c>
      <c r="E192" s="8">
        <v>14</v>
      </c>
      <c r="F192" s="8">
        <f t="shared" si="2"/>
        <v>31</v>
      </c>
      <c r="G192" s="13">
        <f>F192-'[1]Monthly Incident Counts'!F192</f>
        <v>0</v>
      </c>
    </row>
    <row r="193" spans="1:7" x14ac:dyDescent="0.25">
      <c r="A193" t="s">
        <v>787</v>
      </c>
      <c r="B193" s="2" t="s">
        <v>405</v>
      </c>
      <c r="C193" s="2" t="s">
        <v>406</v>
      </c>
      <c r="D193" s="8">
        <v>215</v>
      </c>
      <c r="E193" s="8">
        <v>263</v>
      </c>
      <c r="F193" s="8">
        <f t="shared" si="2"/>
        <v>478</v>
      </c>
      <c r="G193" s="13">
        <f>F193-'[1]Monthly Incident Counts'!F193</f>
        <v>0</v>
      </c>
    </row>
    <row r="194" spans="1:7" x14ac:dyDescent="0.25">
      <c r="A194" t="s">
        <v>787</v>
      </c>
      <c r="B194" s="2" t="s">
        <v>407</v>
      </c>
      <c r="C194" s="2" t="s">
        <v>408</v>
      </c>
      <c r="D194" s="8">
        <v>36</v>
      </c>
      <c r="E194" s="8">
        <v>30</v>
      </c>
      <c r="F194" s="8">
        <f t="shared" si="2"/>
        <v>66</v>
      </c>
      <c r="G194" s="13">
        <f>F194-'[1]Monthly Incident Counts'!F194</f>
        <v>0</v>
      </c>
    </row>
    <row r="195" spans="1:7" x14ac:dyDescent="0.25">
      <c r="A195" t="s">
        <v>787</v>
      </c>
      <c r="B195" s="2" t="s">
        <v>409</v>
      </c>
      <c r="C195" s="2" t="s">
        <v>410</v>
      </c>
      <c r="D195" s="9"/>
      <c r="E195" s="9"/>
      <c r="F195" s="8">
        <f t="shared" ref="F195:F258" si="3">SUM(D195:E195)</f>
        <v>0</v>
      </c>
      <c r="G195" s="13">
        <f>F195-'[1]Monthly Incident Counts'!F195</f>
        <v>0</v>
      </c>
    </row>
    <row r="196" spans="1:7" x14ac:dyDescent="0.25">
      <c r="A196" t="s">
        <v>788</v>
      </c>
      <c r="B196" s="2" t="s">
        <v>411</v>
      </c>
      <c r="C196" s="2" t="s">
        <v>412</v>
      </c>
      <c r="D196" s="8">
        <v>291</v>
      </c>
      <c r="E196" s="8">
        <v>296</v>
      </c>
      <c r="F196" s="8">
        <f t="shared" si="3"/>
        <v>587</v>
      </c>
      <c r="G196" s="13">
        <f>F196-'[1]Monthly Incident Counts'!F196</f>
        <v>0</v>
      </c>
    </row>
    <row r="197" spans="1:7" x14ac:dyDescent="0.25">
      <c r="A197" t="s">
        <v>788</v>
      </c>
      <c r="B197" s="2" t="s">
        <v>413</v>
      </c>
      <c r="C197" s="2" t="s">
        <v>414</v>
      </c>
      <c r="D197" s="8">
        <v>351</v>
      </c>
      <c r="E197" s="8">
        <v>342</v>
      </c>
      <c r="F197" s="8">
        <f t="shared" si="3"/>
        <v>693</v>
      </c>
      <c r="G197" s="13">
        <f>F197-'[1]Monthly Incident Counts'!F197</f>
        <v>0</v>
      </c>
    </row>
    <row r="198" spans="1:7" x14ac:dyDescent="0.25">
      <c r="A198" t="s">
        <v>788</v>
      </c>
      <c r="B198" s="2" t="s">
        <v>415</v>
      </c>
      <c r="C198" s="2" t="s">
        <v>416</v>
      </c>
      <c r="D198" s="8">
        <v>407</v>
      </c>
      <c r="E198" s="8">
        <v>470</v>
      </c>
      <c r="F198" s="8">
        <f t="shared" si="3"/>
        <v>877</v>
      </c>
      <c r="G198" s="13">
        <f>F198-'[1]Monthly Incident Counts'!F198</f>
        <v>0</v>
      </c>
    </row>
    <row r="199" spans="1:7" x14ac:dyDescent="0.25">
      <c r="A199" t="s">
        <v>788</v>
      </c>
      <c r="B199" s="2" t="s">
        <v>417</v>
      </c>
      <c r="C199" s="2" t="s">
        <v>418</v>
      </c>
      <c r="D199" s="8">
        <v>817</v>
      </c>
      <c r="E199" s="8">
        <v>803</v>
      </c>
      <c r="F199" s="8">
        <f t="shared" si="3"/>
        <v>1620</v>
      </c>
      <c r="G199" s="13">
        <f>F199-'[1]Monthly Incident Counts'!F199</f>
        <v>0</v>
      </c>
    </row>
    <row r="200" spans="1:7" x14ac:dyDescent="0.25">
      <c r="A200" t="s">
        <v>788</v>
      </c>
      <c r="B200" s="2" t="s">
        <v>419</v>
      </c>
      <c r="C200" s="2" t="s">
        <v>420</v>
      </c>
      <c r="D200" s="8">
        <v>349</v>
      </c>
      <c r="E200" s="8">
        <v>380</v>
      </c>
      <c r="F200" s="8">
        <f t="shared" si="3"/>
        <v>729</v>
      </c>
      <c r="G200" s="13">
        <f>F200-'[1]Monthly Incident Counts'!F200</f>
        <v>0</v>
      </c>
    </row>
    <row r="201" spans="1:7" x14ac:dyDescent="0.25">
      <c r="A201" t="s">
        <v>788</v>
      </c>
      <c r="B201" s="2" t="s">
        <v>421</v>
      </c>
      <c r="C201" s="2" t="s">
        <v>422</v>
      </c>
      <c r="D201" s="8">
        <v>325</v>
      </c>
      <c r="E201" s="8">
        <v>298</v>
      </c>
      <c r="F201" s="8">
        <f t="shared" si="3"/>
        <v>623</v>
      </c>
      <c r="G201" s="13">
        <f>F201-'[1]Monthly Incident Counts'!F201</f>
        <v>0</v>
      </c>
    </row>
    <row r="202" spans="1:7" x14ac:dyDescent="0.25">
      <c r="A202" t="s">
        <v>788</v>
      </c>
      <c r="B202" s="2" t="s">
        <v>423</v>
      </c>
      <c r="C202" s="2" t="s">
        <v>424</v>
      </c>
      <c r="D202" s="8">
        <v>252</v>
      </c>
      <c r="E202" s="8">
        <v>225</v>
      </c>
      <c r="F202" s="8">
        <f t="shared" si="3"/>
        <v>477</v>
      </c>
      <c r="G202" s="13">
        <f>F202-'[1]Monthly Incident Counts'!F202</f>
        <v>0</v>
      </c>
    </row>
    <row r="203" spans="1:7" x14ac:dyDescent="0.25">
      <c r="A203" t="s">
        <v>788</v>
      </c>
      <c r="B203" s="2" t="s">
        <v>425</v>
      </c>
      <c r="C203" s="2" t="s">
        <v>426</v>
      </c>
      <c r="D203" s="8">
        <v>38</v>
      </c>
      <c r="E203" s="8">
        <v>35</v>
      </c>
      <c r="F203" s="8">
        <f t="shared" si="3"/>
        <v>73</v>
      </c>
      <c r="G203" s="13">
        <f>F203-'[1]Monthly Incident Counts'!F203</f>
        <v>0</v>
      </c>
    </row>
    <row r="204" spans="1:7" x14ac:dyDescent="0.25">
      <c r="A204" t="s">
        <v>788</v>
      </c>
      <c r="B204" s="2" t="s">
        <v>427</v>
      </c>
      <c r="C204" s="2" t="s">
        <v>428</v>
      </c>
      <c r="D204" s="8">
        <v>524</v>
      </c>
      <c r="E204" s="8">
        <v>578</v>
      </c>
      <c r="F204" s="8">
        <f t="shared" si="3"/>
        <v>1102</v>
      </c>
      <c r="G204" s="13">
        <f>F204-'[1]Monthly Incident Counts'!F204</f>
        <v>0</v>
      </c>
    </row>
    <row r="205" spans="1:7" x14ac:dyDescent="0.25">
      <c r="A205" t="s">
        <v>788</v>
      </c>
      <c r="B205" s="2" t="s">
        <v>429</v>
      </c>
      <c r="C205" s="2" t="s">
        <v>430</v>
      </c>
      <c r="D205" s="8">
        <v>373</v>
      </c>
      <c r="E205" s="8">
        <v>294</v>
      </c>
      <c r="F205" s="8">
        <f t="shared" si="3"/>
        <v>667</v>
      </c>
      <c r="G205" s="13">
        <f>F205-'[1]Monthly Incident Counts'!F205</f>
        <v>0</v>
      </c>
    </row>
    <row r="206" spans="1:7" x14ac:dyDescent="0.25">
      <c r="A206" t="s">
        <v>788</v>
      </c>
      <c r="B206" s="2" t="s">
        <v>431</v>
      </c>
      <c r="C206" s="2" t="s">
        <v>432</v>
      </c>
      <c r="D206" s="8">
        <v>740</v>
      </c>
      <c r="E206" s="8">
        <v>827</v>
      </c>
      <c r="F206" s="8">
        <f t="shared" si="3"/>
        <v>1567</v>
      </c>
      <c r="G206" s="13">
        <f>F206-'[1]Monthly Incident Counts'!F206</f>
        <v>0</v>
      </c>
    </row>
    <row r="207" spans="1:7" x14ac:dyDescent="0.25">
      <c r="A207" t="s">
        <v>788</v>
      </c>
      <c r="B207" s="2" t="s">
        <v>433</v>
      </c>
      <c r="C207" s="2" t="s">
        <v>434</v>
      </c>
      <c r="D207" s="8">
        <v>328</v>
      </c>
      <c r="E207" s="8">
        <v>279</v>
      </c>
      <c r="F207" s="8">
        <f t="shared" si="3"/>
        <v>607</v>
      </c>
      <c r="G207" s="13">
        <f>F207-'[1]Monthly Incident Counts'!F207</f>
        <v>0</v>
      </c>
    </row>
    <row r="208" spans="1:7" x14ac:dyDescent="0.25">
      <c r="A208" t="s">
        <v>788</v>
      </c>
      <c r="B208" s="2" t="s">
        <v>435</v>
      </c>
      <c r="C208" s="2" t="s">
        <v>436</v>
      </c>
      <c r="D208" s="8">
        <v>59</v>
      </c>
      <c r="E208" s="8">
        <v>55</v>
      </c>
      <c r="F208" s="8">
        <f t="shared" si="3"/>
        <v>114</v>
      </c>
      <c r="G208" s="13">
        <f>F208-'[1]Monthly Incident Counts'!F208</f>
        <v>0</v>
      </c>
    </row>
    <row r="209" spans="1:7" x14ac:dyDescent="0.25">
      <c r="A209" t="s">
        <v>788</v>
      </c>
      <c r="B209" s="2" t="s">
        <v>437</v>
      </c>
      <c r="C209" s="2" t="s">
        <v>438</v>
      </c>
      <c r="D209" s="8">
        <v>453</v>
      </c>
      <c r="E209" s="8">
        <v>481</v>
      </c>
      <c r="F209" s="8">
        <f t="shared" si="3"/>
        <v>934</v>
      </c>
      <c r="G209" s="13">
        <f>F209-'[1]Monthly Incident Counts'!F209</f>
        <v>0</v>
      </c>
    </row>
    <row r="210" spans="1:7" x14ac:dyDescent="0.25">
      <c r="A210" t="s">
        <v>788</v>
      </c>
      <c r="B210" s="2" t="s">
        <v>439</v>
      </c>
      <c r="C210" s="2" t="s">
        <v>440</v>
      </c>
      <c r="D210" s="8">
        <v>185</v>
      </c>
      <c r="E210" s="8">
        <v>190</v>
      </c>
      <c r="F210" s="8">
        <f t="shared" si="3"/>
        <v>375</v>
      </c>
      <c r="G210" s="13">
        <f>F210-'[1]Monthly Incident Counts'!F210</f>
        <v>0</v>
      </c>
    </row>
    <row r="211" spans="1:7" x14ac:dyDescent="0.25">
      <c r="A211" t="s">
        <v>788</v>
      </c>
      <c r="B211" s="2" t="s">
        <v>441</v>
      </c>
      <c r="C211" s="2" t="s">
        <v>442</v>
      </c>
      <c r="D211" s="8">
        <v>226</v>
      </c>
      <c r="E211" s="8">
        <v>198</v>
      </c>
      <c r="F211" s="8">
        <f t="shared" si="3"/>
        <v>424</v>
      </c>
      <c r="G211" s="13">
        <f>F211-'[1]Monthly Incident Counts'!F211</f>
        <v>0</v>
      </c>
    </row>
    <row r="212" spans="1:7" x14ac:dyDescent="0.25">
      <c r="A212" t="s">
        <v>788</v>
      </c>
      <c r="B212" s="2" t="s">
        <v>443</v>
      </c>
      <c r="C212" s="2" t="s">
        <v>444</v>
      </c>
      <c r="D212" s="8">
        <v>174</v>
      </c>
      <c r="E212" s="8">
        <v>144</v>
      </c>
      <c r="F212" s="8">
        <f t="shared" si="3"/>
        <v>318</v>
      </c>
      <c r="G212" s="13">
        <f>F212-'[1]Monthly Incident Counts'!F212</f>
        <v>0</v>
      </c>
    </row>
    <row r="213" spans="1:7" x14ac:dyDescent="0.25">
      <c r="A213" t="s">
        <v>788</v>
      </c>
      <c r="B213" s="2" t="s">
        <v>445</v>
      </c>
      <c r="C213" s="2" t="s">
        <v>446</v>
      </c>
      <c r="D213" s="8">
        <v>977</v>
      </c>
      <c r="E213" s="8">
        <v>1059</v>
      </c>
      <c r="F213" s="8">
        <f t="shared" si="3"/>
        <v>2036</v>
      </c>
      <c r="G213" s="13">
        <f>F213-'[1]Monthly Incident Counts'!F213</f>
        <v>0</v>
      </c>
    </row>
    <row r="214" spans="1:7" x14ac:dyDescent="0.25">
      <c r="A214" t="s">
        <v>788</v>
      </c>
      <c r="B214" s="2" t="s">
        <v>447</v>
      </c>
      <c r="C214" s="2" t="s">
        <v>448</v>
      </c>
      <c r="D214" s="9"/>
      <c r="E214" s="9"/>
      <c r="F214" s="8">
        <f t="shared" si="3"/>
        <v>0</v>
      </c>
      <c r="G214" s="13">
        <f>F214-'[1]Monthly Incident Counts'!F214</f>
        <v>0</v>
      </c>
    </row>
    <row r="215" spans="1:7" x14ac:dyDescent="0.25">
      <c r="A215" t="s">
        <v>788</v>
      </c>
      <c r="B215" s="2" t="s">
        <v>449</v>
      </c>
      <c r="C215" s="2" t="s">
        <v>450</v>
      </c>
      <c r="D215" s="8">
        <v>145</v>
      </c>
      <c r="E215" s="8">
        <v>161</v>
      </c>
      <c r="F215" s="8">
        <f t="shared" si="3"/>
        <v>306</v>
      </c>
      <c r="G215" s="13">
        <f>F215-'[1]Monthly Incident Counts'!F215</f>
        <v>0</v>
      </c>
    </row>
    <row r="216" spans="1:7" x14ac:dyDescent="0.25">
      <c r="A216" t="s">
        <v>788</v>
      </c>
      <c r="B216" s="2" t="s">
        <v>451</v>
      </c>
      <c r="C216" s="2" t="s">
        <v>452</v>
      </c>
      <c r="D216" s="8">
        <v>630</v>
      </c>
      <c r="E216" s="8">
        <v>601</v>
      </c>
      <c r="F216" s="8">
        <f t="shared" si="3"/>
        <v>1231</v>
      </c>
      <c r="G216" s="13">
        <f>F216-'[1]Monthly Incident Counts'!F216</f>
        <v>0</v>
      </c>
    </row>
    <row r="217" spans="1:7" x14ac:dyDescent="0.25">
      <c r="A217" t="s">
        <v>788</v>
      </c>
      <c r="B217" s="2" t="s">
        <v>453</v>
      </c>
      <c r="C217" s="2" t="s">
        <v>454</v>
      </c>
      <c r="D217" s="8">
        <v>184</v>
      </c>
      <c r="E217" s="8">
        <v>242</v>
      </c>
      <c r="F217" s="8">
        <f t="shared" si="3"/>
        <v>426</v>
      </c>
      <c r="G217" s="13">
        <f>F217-'[1]Monthly Incident Counts'!F217</f>
        <v>0</v>
      </c>
    </row>
    <row r="218" spans="1:7" x14ac:dyDescent="0.25">
      <c r="A218" t="s">
        <v>788</v>
      </c>
      <c r="B218" s="2" t="s">
        <v>455</v>
      </c>
      <c r="C218" s="2" t="s">
        <v>456</v>
      </c>
      <c r="D218" s="8">
        <v>323</v>
      </c>
      <c r="E218" s="8">
        <v>259</v>
      </c>
      <c r="F218" s="8">
        <f t="shared" si="3"/>
        <v>582</v>
      </c>
      <c r="G218" s="13">
        <f>F218-'[1]Monthly Incident Counts'!F218</f>
        <v>0</v>
      </c>
    </row>
    <row r="219" spans="1:7" x14ac:dyDescent="0.25">
      <c r="A219" t="s">
        <v>788</v>
      </c>
      <c r="B219" s="2" t="s">
        <v>457</v>
      </c>
      <c r="C219" s="2" t="s">
        <v>458</v>
      </c>
      <c r="D219" s="8">
        <v>485</v>
      </c>
      <c r="E219" s="8">
        <v>471</v>
      </c>
      <c r="F219" s="8">
        <f t="shared" si="3"/>
        <v>956</v>
      </c>
      <c r="G219" s="13">
        <f>F219-'[1]Monthly Incident Counts'!F219</f>
        <v>0</v>
      </c>
    </row>
    <row r="220" spans="1:7" x14ac:dyDescent="0.25">
      <c r="A220" t="s">
        <v>788</v>
      </c>
      <c r="B220" s="2" t="s">
        <v>459</v>
      </c>
      <c r="C220" s="2" t="s">
        <v>460</v>
      </c>
      <c r="D220" s="8">
        <v>332</v>
      </c>
      <c r="E220" s="8">
        <v>316</v>
      </c>
      <c r="F220" s="8">
        <f t="shared" si="3"/>
        <v>648</v>
      </c>
      <c r="G220" s="13">
        <f>F220-'[1]Monthly Incident Counts'!F220</f>
        <v>0</v>
      </c>
    </row>
    <row r="221" spans="1:7" x14ac:dyDescent="0.25">
      <c r="A221" t="s">
        <v>788</v>
      </c>
      <c r="B221" s="2" t="s">
        <v>461</v>
      </c>
      <c r="C221" s="2" t="s">
        <v>462</v>
      </c>
      <c r="D221" s="8">
        <v>515</v>
      </c>
      <c r="E221" s="8">
        <v>530</v>
      </c>
      <c r="F221" s="8">
        <f t="shared" si="3"/>
        <v>1045</v>
      </c>
      <c r="G221" s="13">
        <f>F221-'[1]Monthly Incident Counts'!F221</f>
        <v>0</v>
      </c>
    </row>
    <row r="222" spans="1:7" x14ac:dyDescent="0.25">
      <c r="A222" t="s">
        <v>788</v>
      </c>
      <c r="B222" s="2" t="s">
        <v>463</v>
      </c>
      <c r="C222" s="2" t="s">
        <v>464</v>
      </c>
      <c r="D222" s="8">
        <v>661</v>
      </c>
      <c r="E222" s="8">
        <v>663</v>
      </c>
      <c r="F222" s="8">
        <f t="shared" si="3"/>
        <v>1324</v>
      </c>
      <c r="G222" s="13">
        <f>F222-'[1]Monthly Incident Counts'!F222</f>
        <v>0</v>
      </c>
    </row>
    <row r="223" spans="1:7" x14ac:dyDescent="0.25">
      <c r="A223" t="s">
        <v>788</v>
      </c>
      <c r="B223" s="2" t="s">
        <v>465</v>
      </c>
      <c r="C223" s="2" t="s">
        <v>466</v>
      </c>
      <c r="D223" s="9"/>
      <c r="E223" s="9"/>
      <c r="F223" s="8">
        <f t="shared" si="3"/>
        <v>0</v>
      </c>
      <c r="G223" s="13">
        <f>F223-'[1]Monthly Incident Counts'!F223</f>
        <v>0</v>
      </c>
    </row>
    <row r="224" spans="1:7" x14ac:dyDescent="0.25">
      <c r="A224" t="s">
        <v>788</v>
      </c>
      <c r="B224" s="2" t="s">
        <v>467</v>
      </c>
      <c r="C224" s="2" t="s">
        <v>468</v>
      </c>
      <c r="D224" s="8">
        <v>49</v>
      </c>
      <c r="E224" s="8">
        <v>206</v>
      </c>
      <c r="F224" s="8">
        <f t="shared" si="3"/>
        <v>255</v>
      </c>
      <c r="G224" s="13">
        <f>F224-'[1]Monthly Incident Counts'!F224</f>
        <v>0</v>
      </c>
    </row>
    <row r="225" spans="1:7" x14ac:dyDescent="0.25">
      <c r="A225" t="s">
        <v>788</v>
      </c>
      <c r="B225" s="2" t="s">
        <v>469</v>
      </c>
      <c r="C225" s="2" t="s">
        <v>470</v>
      </c>
      <c r="D225" s="8">
        <v>755</v>
      </c>
      <c r="E225" s="8">
        <v>706</v>
      </c>
      <c r="F225" s="8">
        <f t="shared" si="3"/>
        <v>1461</v>
      </c>
      <c r="G225" s="13">
        <f>F225-'[1]Monthly Incident Counts'!F225</f>
        <v>0</v>
      </c>
    </row>
    <row r="226" spans="1:7" x14ac:dyDescent="0.25">
      <c r="A226" t="s">
        <v>788</v>
      </c>
      <c r="B226" s="2" t="s">
        <v>471</v>
      </c>
      <c r="C226" s="2" t="s">
        <v>472</v>
      </c>
      <c r="D226" s="8">
        <v>812</v>
      </c>
      <c r="E226" s="8">
        <v>816</v>
      </c>
      <c r="F226" s="8">
        <f t="shared" si="3"/>
        <v>1628</v>
      </c>
      <c r="G226" s="13">
        <f>F226-'[1]Monthly Incident Counts'!F226</f>
        <v>0</v>
      </c>
    </row>
    <row r="227" spans="1:7" x14ac:dyDescent="0.25">
      <c r="A227" t="s">
        <v>788</v>
      </c>
      <c r="B227" s="2" t="s">
        <v>473</v>
      </c>
      <c r="C227" s="2" t="s">
        <v>474</v>
      </c>
      <c r="D227" s="8">
        <v>383</v>
      </c>
      <c r="E227" s="8">
        <v>422</v>
      </c>
      <c r="F227" s="8">
        <f t="shared" si="3"/>
        <v>805</v>
      </c>
      <c r="G227" s="13">
        <f>F227-'[1]Monthly Incident Counts'!F227</f>
        <v>0</v>
      </c>
    </row>
    <row r="228" spans="1:7" x14ac:dyDescent="0.25">
      <c r="A228" t="s">
        <v>788</v>
      </c>
      <c r="B228" s="2" t="s">
        <v>475</v>
      </c>
      <c r="C228" s="2" t="s">
        <v>476</v>
      </c>
      <c r="D228" s="8">
        <v>490</v>
      </c>
      <c r="E228" s="8">
        <v>559</v>
      </c>
      <c r="F228" s="8">
        <f t="shared" si="3"/>
        <v>1049</v>
      </c>
      <c r="G228" s="13">
        <f>F228-'[1]Monthly Incident Counts'!F228</f>
        <v>0</v>
      </c>
    </row>
    <row r="229" spans="1:7" x14ac:dyDescent="0.25">
      <c r="A229" t="s">
        <v>788</v>
      </c>
      <c r="B229" s="2" t="s">
        <v>477</v>
      </c>
      <c r="C229" s="2" t="s">
        <v>478</v>
      </c>
      <c r="D229" s="8">
        <v>539</v>
      </c>
      <c r="E229" s="8">
        <v>559</v>
      </c>
      <c r="F229" s="8">
        <f t="shared" si="3"/>
        <v>1098</v>
      </c>
      <c r="G229" s="13">
        <f>F229-'[1]Monthly Incident Counts'!F229</f>
        <v>0</v>
      </c>
    </row>
    <row r="230" spans="1:7" x14ac:dyDescent="0.25">
      <c r="A230" t="s">
        <v>788</v>
      </c>
      <c r="B230" s="2" t="s">
        <v>479</v>
      </c>
      <c r="C230" s="2" t="s">
        <v>480</v>
      </c>
      <c r="D230" s="8">
        <v>1473</v>
      </c>
      <c r="E230" s="8">
        <v>1425</v>
      </c>
      <c r="F230" s="8">
        <f t="shared" si="3"/>
        <v>2898</v>
      </c>
      <c r="G230" s="13">
        <f>F230-'[1]Monthly Incident Counts'!F230</f>
        <v>0</v>
      </c>
    </row>
    <row r="231" spans="1:7" x14ac:dyDescent="0.25">
      <c r="A231" t="s">
        <v>788</v>
      </c>
      <c r="B231" s="2" t="s">
        <v>481</v>
      </c>
      <c r="C231" s="2" t="s">
        <v>482</v>
      </c>
      <c r="D231" s="8">
        <v>123</v>
      </c>
      <c r="E231" s="8">
        <v>149</v>
      </c>
      <c r="F231" s="8">
        <f t="shared" si="3"/>
        <v>272</v>
      </c>
      <c r="G231" s="13">
        <f>F231-'[1]Monthly Incident Counts'!F231</f>
        <v>0</v>
      </c>
    </row>
    <row r="232" spans="1:7" x14ac:dyDescent="0.25">
      <c r="A232" t="s">
        <v>788</v>
      </c>
      <c r="B232" s="2" t="s">
        <v>483</v>
      </c>
      <c r="C232" s="2" t="s">
        <v>484</v>
      </c>
      <c r="D232" s="9"/>
      <c r="E232" s="9"/>
      <c r="F232" s="8">
        <f t="shared" si="3"/>
        <v>0</v>
      </c>
      <c r="G232" s="13">
        <f>F232-'[1]Monthly Incident Counts'!F232</f>
        <v>0</v>
      </c>
    </row>
    <row r="233" spans="1:7" x14ac:dyDescent="0.25">
      <c r="A233" t="s">
        <v>788</v>
      </c>
      <c r="B233" s="2" t="s">
        <v>485</v>
      </c>
      <c r="C233" s="2" t="s">
        <v>486</v>
      </c>
      <c r="D233" s="8">
        <v>1032</v>
      </c>
      <c r="E233" s="8">
        <v>1074</v>
      </c>
      <c r="F233" s="8">
        <f t="shared" si="3"/>
        <v>2106</v>
      </c>
      <c r="G233" s="13">
        <f>F233-'[1]Monthly Incident Counts'!F233</f>
        <v>0</v>
      </c>
    </row>
    <row r="234" spans="1:7" x14ac:dyDescent="0.25">
      <c r="A234" t="s">
        <v>788</v>
      </c>
      <c r="B234" s="2" t="s">
        <v>487</v>
      </c>
      <c r="C234" s="2" t="s">
        <v>488</v>
      </c>
      <c r="D234" s="8">
        <v>266</v>
      </c>
      <c r="E234" s="8">
        <v>261</v>
      </c>
      <c r="F234" s="8">
        <f t="shared" si="3"/>
        <v>527</v>
      </c>
      <c r="G234" s="13">
        <f>F234-'[1]Monthly Incident Counts'!F234</f>
        <v>0</v>
      </c>
    </row>
    <row r="235" spans="1:7" x14ac:dyDescent="0.25">
      <c r="A235" t="s">
        <v>788</v>
      </c>
      <c r="B235" s="2" t="s">
        <v>489</v>
      </c>
      <c r="C235" s="2" t="s">
        <v>490</v>
      </c>
      <c r="D235" s="9"/>
      <c r="E235" s="9"/>
      <c r="F235" s="8">
        <f t="shared" si="3"/>
        <v>0</v>
      </c>
      <c r="G235" s="13">
        <f>F235-'[1]Monthly Incident Counts'!F235</f>
        <v>0</v>
      </c>
    </row>
    <row r="236" spans="1:7" x14ac:dyDescent="0.25">
      <c r="A236" t="s">
        <v>788</v>
      </c>
      <c r="B236" s="2" t="s">
        <v>491</v>
      </c>
      <c r="C236" s="2" t="s">
        <v>492</v>
      </c>
      <c r="D236" s="8">
        <v>368</v>
      </c>
      <c r="E236" s="8">
        <v>396</v>
      </c>
      <c r="F236" s="8">
        <f t="shared" si="3"/>
        <v>764</v>
      </c>
      <c r="G236" s="13">
        <f>F236-'[1]Monthly Incident Counts'!F236</f>
        <v>0</v>
      </c>
    </row>
    <row r="237" spans="1:7" x14ac:dyDescent="0.25">
      <c r="A237" t="s">
        <v>788</v>
      </c>
      <c r="B237" s="2" t="s">
        <v>493</v>
      </c>
      <c r="C237" s="2" t="s">
        <v>494</v>
      </c>
      <c r="D237" s="8">
        <v>1331</v>
      </c>
      <c r="E237" s="8">
        <v>1373</v>
      </c>
      <c r="F237" s="8">
        <f t="shared" si="3"/>
        <v>2704</v>
      </c>
      <c r="G237" s="13">
        <f>F237-'[1]Monthly Incident Counts'!F237</f>
        <v>0</v>
      </c>
    </row>
    <row r="238" spans="1:7" x14ac:dyDescent="0.25">
      <c r="A238" t="s">
        <v>788</v>
      </c>
      <c r="B238" s="2" t="s">
        <v>495</v>
      </c>
      <c r="C238" s="2" t="s">
        <v>496</v>
      </c>
      <c r="D238" s="8">
        <v>80</v>
      </c>
      <c r="E238" s="8">
        <v>119</v>
      </c>
      <c r="F238" s="8">
        <f t="shared" si="3"/>
        <v>199</v>
      </c>
      <c r="G238" s="13">
        <f>F238-'[1]Monthly Incident Counts'!F238</f>
        <v>0</v>
      </c>
    </row>
    <row r="239" spans="1:7" x14ac:dyDescent="0.25">
      <c r="A239" t="s">
        <v>788</v>
      </c>
      <c r="B239" s="2" t="s">
        <v>497</v>
      </c>
      <c r="C239" s="2" t="s">
        <v>498</v>
      </c>
      <c r="D239" s="8">
        <v>560</v>
      </c>
      <c r="E239" s="8">
        <v>622</v>
      </c>
      <c r="F239" s="8">
        <f t="shared" si="3"/>
        <v>1182</v>
      </c>
      <c r="G239" s="13">
        <f>F239-'[1]Monthly Incident Counts'!F239</f>
        <v>0</v>
      </c>
    </row>
    <row r="240" spans="1:7" x14ac:dyDescent="0.25">
      <c r="A240" t="s">
        <v>788</v>
      </c>
      <c r="B240" s="2" t="s">
        <v>499</v>
      </c>
      <c r="C240" s="2" t="s">
        <v>500</v>
      </c>
      <c r="D240" s="8">
        <v>247</v>
      </c>
      <c r="E240" s="8">
        <v>297</v>
      </c>
      <c r="F240" s="8">
        <f t="shared" si="3"/>
        <v>544</v>
      </c>
      <c r="G240" s="13">
        <f>F240-'[1]Monthly Incident Counts'!F240</f>
        <v>0</v>
      </c>
    </row>
    <row r="241" spans="1:7" x14ac:dyDescent="0.25">
      <c r="A241" t="s">
        <v>788</v>
      </c>
      <c r="B241" s="2" t="s">
        <v>501</v>
      </c>
      <c r="C241" s="2" t="s">
        <v>502</v>
      </c>
      <c r="D241" s="8">
        <v>98</v>
      </c>
      <c r="E241" s="8">
        <v>86</v>
      </c>
      <c r="F241" s="8">
        <f t="shared" si="3"/>
        <v>184</v>
      </c>
      <c r="G241" s="13">
        <f>F241-'[1]Monthly Incident Counts'!F241</f>
        <v>0</v>
      </c>
    </row>
    <row r="242" spans="1:7" x14ac:dyDescent="0.25">
      <c r="A242" t="s">
        <v>788</v>
      </c>
      <c r="B242" s="2" t="s">
        <v>503</v>
      </c>
      <c r="C242" s="2" t="s">
        <v>504</v>
      </c>
      <c r="D242" s="8">
        <v>249</v>
      </c>
      <c r="E242" s="8">
        <v>268</v>
      </c>
      <c r="F242" s="8">
        <f t="shared" si="3"/>
        <v>517</v>
      </c>
      <c r="G242" s="13">
        <f>F242-'[1]Monthly Incident Counts'!F242</f>
        <v>0</v>
      </c>
    </row>
    <row r="243" spans="1:7" x14ac:dyDescent="0.25">
      <c r="A243" t="s">
        <v>788</v>
      </c>
      <c r="B243" s="2" t="s">
        <v>505</v>
      </c>
      <c r="C243" s="2" t="s">
        <v>506</v>
      </c>
      <c r="D243" s="8">
        <v>506</v>
      </c>
      <c r="E243" s="8">
        <v>515</v>
      </c>
      <c r="F243" s="8">
        <f t="shared" si="3"/>
        <v>1021</v>
      </c>
      <c r="G243" s="13">
        <f>F243-'[1]Monthly Incident Counts'!F243</f>
        <v>0</v>
      </c>
    </row>
    <row r="244" spans="1:7" x14ac:dyDescent="0.25">
      <c r="A244" t="s">
        <v>788</v>
      </c>
      <c r="B244" s="2" t="s">
        <v>507</v>
      </c>
      <c r="C244" s="2" t="s">
        <v>508</v>
      </c>
      <c r="D244" s="8">
        <v>1193</v>
      </c>
      <c r="E244" s="8">
        <v>1146</v>
      </c>
      <c r="F244" s="8">
        <f t="shared" si="3"/>
        <v>2339</v>
      </c>
      <c r="G244" s="13">
        <f>F244-'[1]Monthly Incident Counts'!F244</f>
        <v>0</v>
      </c>
    </row>
    <row r="245" spans="1:7" x14ac:dyDescent="0.25">
      <c r="A245" t="s">
        <v>788</v>
      </c>
      <c r="B245" s="2" t="s">
        <v>509</v>
      </c>
      <c r="C245" s="2" t="s">
        <v>510</v>
      </c>
      <c r="D245" s="8">
        <v>248</v>
      </c>
      <c r="E245" s="8">
        <v>262</v>
      </c>
      <c r="F245" s="8">
        <f t="shared" si="3"/>
        <v>510</v>
      </c>
      <c r="G245" s="13">
        <f>F245-'[1]Monthly Incident Counts'!F245</f>
        <v>0</v>
      </c>
    </row>
    <row r="246" spans="1:7" x14ac:dyDescent="0.25">
      <c r="A246" t="s">
        <v>788</v>
      </c>
      <c r="B246" s="2" t="s">
        <v>511</v>
      </c>
      <c r="C246" s="2" t="s">
        <v>512</v>
      </c>
      <c r="D246" s="8">
        <v>42</v>
      </c>
      <c r="E246" s="8">
        <v>44</v>
      </c>
      <c r="F246" s="8">
        <f t="shared" si="3"/>
        <v>86</v>
      </c>
      <c r="G246" s="13">
        <f>F246-'[1]Monthly Incident Counts'!F246</f>
        <v>0</v>
      </c>
    </row>
    <row r="247" spans="1:7" x14ac:dyDescent="0.25">
      <c r="A247" t="s">
        <v>788</v>
      </c>
      <c r="B247" s="2" t="s">
        <v>513</v>
      </c>
      <c r="C247" s="2" t="s">
        <v>514</v>
      </c>
      <c r="D247" s="8">
        <v>55</v>
      </c>
      <c r="E247" s="8">
        <v>56</v>
      </c>
      <c r="F247" s="8">
        <f t="shared" si="3"/>
        <v>111</v>
      </c>
      <c r="G247" s="13">
        <f>F247-'[1]Monthly Incident Counts'!F247</f>
        <v>0</v>
      </c>
    </row>
    <row r="248" spans="1:7" x14ac:dyDescent="0.25">
      <c r="A248" t="s">
        <v>788</v>
      </c>
      <c r="B248" s="2" t="s">
        <v>515</v>
      </c>
      <c r="C248" s="2" t="s">
        <v>516</v>
      </c>
      <c r="D248" s="8">
        <v>92</v>
      </c>
      <c r="E248" s="8">
        <v>110</v>
      </c>
      <c r="F248" s="8">
        <f t="shared" si="3"/>
        <v>202</v>
      </c>
      <c r="G248" s="13">
        <f>F248-'[1]Monthly Incident Counts'!F248</f>
        <v>0</v>
      </c>
    </row>
    <row r="249" spans="1:7" x14ac:dyDescent="0.25">
      <c r="A249" t="s">
        <v>788</v>
      </c>
      <c r="B249" s="2" t="s">
        <v>517</v>
      </c>
      <c r="C249" s="2" t="s">
        <v>518</v>
      </c>
      <c r="D249" s="8">
        <v>126</v>
      </c>
      <c r="E249" s="8">
        <v>162</v>
      </c>
      <c r="F249" s="8">
        <f t="shared" si="3"/>
        <v>288</v>
      </c>
      <c r="G249" s="13">
        <f>F249-'[1]Monthly Incident Counts'!F249</f>
        <v>0</v>
      </c>
    </row>
    <row r="250" spans="1:7" x14ac:dyDescent="0.25">
      <c r="A250" t="s">
        <v>788</v>
      </c>
      <c r="B250" s="2" t="s">
        <v>519</v>
      </c>
      <c r="C250" s="2" t="s">
        <v>520</v>
      </c>
      <c r="D250" s="8">
        <v>136</v>
      </c>
      <c r="E250" s="8">
        <v>175</v>
      </c>
      <c r="F250" s="8">
        <f t="shared" si="3"/>
        <v>311</v>
      </c>
      <c r="G250" s="13">
        <f>F250-'[1]Monthly Incident Counts'!F250</f>
        <v>0</v>
      </c>
    </row>
    <row r="251" spans="1:7" x14ac:dyDescent="0.25">
      <c r="A251" t="s">
        <v>789</v>
      </c>
      <c r="B251" s="2" t="s">
        <v>521</v>
      </c>
      <c r="C251" s="2" t="s">
        <v>522</v>
      </c>
      <c r="D251" s="8">
        <v>2</v>
      </c>
      <c r="E251" s="8">
        <v>17</v>
      </c>
      <c r="F251" s="8">
        <f t="shared" si="3"/>
        <v>19</v>
      </c>
      <c r="G251" s="13">
        <f>F251-'[1]Monthly Incident Counts'!F251</f>
        <v>0</v>
      </c>
    </row>
    <row r="252" spans="1:7" x14ac:dyDescent="0.25">
      <c r="A252" t="s">
        <v>790</v>
      </c>
      <c r="B252" s="2" t="s">
        <v>523</v>
      </c>
      <c r="C252" s="2" t="s">
        <v>524</v>
      </c>
      <c r="D252" s="8">
        <v>391</v>
      </c>
      <c r="E252" s="8">
        <v>502</v>
      </c>
      <c r="F252" s="8">
        <f t="shared" si="3"/>
        <v>893</v>
      </c>
      <c r="G252" s="13">
        <f>F252-'[1]Monthly Incident Counts'!F252</f>
        <v>0</v>
      </c>
    </row>
    <row r="253" spans="1:7" x14ac:dyDescent="0.25">
      <c r="A253" t="s">
        <v>790</v>
      </c>
      <c r="B253" s="2" t="s">
        <v>525</v>
      </c>
      <c r="C253" s="2" t="s">
        <v>526</v>
      </c>
      <c r="D253" s="8">
        <v>23</v>
      </c>
      <c r="E253" s="8">
        <v>49</v>
      </c>
      <c r="F253" s="8">
        <f t="shared" si="3"/>
        <v>72</v>
      </c>
      <c r="G253" s="13">
        <f>F253-'[1]Monthly Incident Counts'!F253</f>
        <v>0</v>
      </c>
    </row>
    <row r="254" spans="1:7" x14ac:dyDescent="0.25">
      <c r="A254" t="s">
        <v>790</v>
      </c>
      <c r="B254" s="2" t="s">
        <v>527</v>
      </c>
      <c r="C254" s="2" t="s">
        <v>528</v>
      </c>
      <c r="D254" s="8">
        <v>268</v>
      </c>
      <c r="E254" s="8">
        <v>263</v>
      </c>
      <c r="F254" s="8">
        <f t="shared" si="3"/>
        <v>531</v>
      </c>
      <c r="G254" s="13">
        <f>F254-'[1]Monthly Incident Counts'!F254</f>
        <v>0</v>
      </c>
    </row>
    <row r="255" spans="1:7" x14ac:dyDescent="0.25">
      <c r="A255" t="s">
        <v>790</v>
      </c>
      <c r="B255" s="2" t="s">
        <v>529</v>
      </c>
      <c r="C255" s="2" t="s">
        <v>530</v>
      </c>
      <c r="D255" s="8">
        <v>265</v>
      </c>
      <c r="E255" s="8">
        <v>294</v>
      </c>
      <c r="F255" s="8">
        <f t="shared" si="3"/>
        <v>559</v>
      </c>
      <c r="G255" s="13">
        <f>F255-'[1]Monthly Incident Counts'!F255</f>
        <v>0</v>
      </c>
    </row>
    <row r="256" spans="1:7" x14ac:dyDescent="0.25">
      <c r="A256" t="s">
        <v>790</v>
      </c>
      <c r="B256" s="2" t="s">
        <v>531</v>
      </c>
      <c r="C256" s="2" t="s">
        <v>532</v>
      </c>
      <c r="D256" s="8">
        <v>374</v>
      </c>
      <c r="E256" s="8">
        <v>400</v>
      </c>
      <c r="F256" s="8">
        <f t="shared" si="3"/>
        <v>774</v>
      </c>
      <c r="G256" s="13">
        <f>F256-'[1]Monthly Incident Counts'!F256</f>
        <v>0</v>
      </c>
    </row>
    <row r="257" spans="1:7" x14ac:dyDescent="0.25">
      <c r="A257" t="s">
        <v>790</v>
      </c>
      <c r="B257" s="2" t="s">
        <v>533</v>
      </c>
      <c r="C257" s="2" t="s">
        <v>534</v>
      </c>
      <c r="D257" s="8">
        <v>463</v>
      </c>
      <c r="E257" s="8">
        <v>460</v>
      </c>
      <c r="F257" s="8">
        <f t="shared" si="3"/>
        <v>923</v>
      </c>
      <c r="G257" s="13">
        <f>F257-'[1]Monthly Incident Counts'!F257</f>
        <v>0</v>
      </c>
    </row>
    <row r="258" spans="1:7" x14ac:dyDescent="0.25">
      <c r="A258" t="s">
        <v>790</v>
      </c>
      <c r="B258" s="2" t="s">
        <v>535</v>
      </c>
      <c r="C258" s="2" t="s">
        <v>536</v>
      </c>
      <c r="D258" s="8">
        <v>893</v>
      </c>
      <c r="E258" s="8">
        <v>960</v>
      </c>
      <c r="F258" s="8">
        <f t="shared" si="3"/>
        <v>1853</v>
      </c>
      <c r="G258" s="13">
        <f>F258-'[1]Monthly Incident Counts'!F258</f>
        <v>0</v>
      </c>
    </row>
    <row r="259" spans="1:7" x14ac:dyDescent="0.25">
      <c r="A259" t="s">
        <v>790</v>
      </c>
      <c r="B259" s="2" t="s">
        <v>537</v>
      </c>
      <c r="C259" s="2" t="s">
        <v>538</v>
      </c>
      <c r="D259" s="8">
        <v>122</v>
      </c>
      <c r="E259" s="8">
        <v>127</v>
      </c>
      <c r="F259" s="8">
        <f t="shared" ref="F259:F322" si="4">SUM(D259:E259)</f>
        <v>249</v>
      </c>
      <c r="G259" s="13">
        <f>F259-'[1]Monthly Incident Counts'!F259</f>
        <v>0</v>
      </c>
    </row>
    <row r="260" spans="1:7" x14ac:dyDescent="0.25">
      <c r="A260" t="s">
        <v>790</v>
      </c>
      <c r="B260" s="2" t="s">
        <v>539</v>
      </c>
      <c r="C260" s="2" t="s">
        <v>540</v>
      </c>
      <c r="D260" s="8">
        <v>576</v>
      </c>
      <c r="E260" s="8">
        <v>428</v>
      </c>
      <c r="F260" s="8">
        <f t="shared" si="4"/>
        <v>1004</v>
      </c>
      <c r="G260" s="13">
        <f>F260-'[1]Monthly Incident Counts'!F260</f>
        <v>0</v>
      </c>
    </row>
    <row r="261" spans="1:7" x14ac:dyDescent="0.25">
      <c r="A261" t="s">
        <v>790</v>
      </c>
      <c r="B261" s="2" t="s">
        <v>541</v>
      </c>
      <c r="C261" s="2" t="s">
        <v>542</v>
      </c>
      <c r="D261" s="8">
        <v>1004</v>
      </c>
      <c r="E261" s="8">
        <v>1013</v>
      </c>
      <c r="F261" s="8">
        <f t="shared" si="4"/>
        <v>2017</v>
      </c>
      <c r="G261" s="13">
        <f>F261-'[1]Monthly Incident Counts'!F261</f>
        <v>0</v>
      </c>
    </row>
    <row r="262" spans="1:7" x14ac:dyDescent="0.25">
      <c r="A262" t="s">
        <v>790</v>
      </c>
      <c r="B262" s="2" t="s">
        <v>543</v>
      </c>
      <c r="C262" s="2" t="s">
        <v>544</v>
      </c>
      <c r="D262" s="8">
        <v>361</v>
      </c>
      <c r="E262" s="8">
        <v>422</v>
      </c>
      <c r="F262" s="8">
        <f t="shared" si="4"/>
        <v>783</v>
      </c>
      <c r="G262" s="13">
        <f>F262-'[1]Monthly Incident Counts'!F262</f>
        <v>0</v>
      </c>
    </row>
    <row r="263" spans="1:7" x14ac:dyDescent="0.25">
      <c r="A263" t="s">
        <v>790</v>
      </c>
      <c r="B263" s="2" t="s">
        <v>545</v>
      </c>
      <c r="C263" s="2" t="s">
        <v>546</v>
      </c>
      <c r="D263" s="8">
        <v>551</v>
      </c>
      <c r="E263" s="8">
        <v>577</v>
      </c>
      <c r="F263" s="8">
        <f t="shared" si="4"/>
        <v>1128</v>
      </c>
      <c r="G263" s="13">
        <f>F263-'[1]Monthly Incident Counts'!F263</f>
        <v>0</v>
      </c>
    </row>
    <row r="264" spans="1:7" x14ac:dyDescent="0.25">
      <c r="A264" t="s">
        <v>790</v>
      </c>
      <c r="B264" s="2" t="s">
        <v>547</v>
      </c>
      <c r="C264" s="2" t="s">
        <v>548</v>
      </c>
      <c r="D264" s="8">
        <v>459</v>
      </c>
      <c r="E264" s="8">
        <v>459</v>
      </c>
      <c r="F264" s="8">
        <f t="shared" si="4"/>
        <v>918</v>
      </c>
      <c r="G264" s="13">
        <f>F264-'[1]Monthly Incident Counts'!F264</f>
        <v>0</v>
      </c>
    </row>
    <row r="265" spans="1:7" x14ac:dyDescent="0.25">
      <c r="A265" t="s">
        <v>790</v>
      </c>
      <c r="B265" s="2" t="s">
        <v>549</v>
      </c>
      <c r="C265" s="2" t="s">
        <v>550</v>
      </c>
      <c r="D265" s="8">
        <v>263</v>
      </c>
      <c r="E265" s="8">
        <v>247</v>
      </c>
      <c r="F265" s="8">
        <f t="shared" si="4"/>
        <v>510</v>
      </c>
      <c r="G265" s="13">
        <f>F265-'[1]Monthly Incident Counts'!F265</f>
        <v>0</v>
      </c>
    </row>
    <row r="266" spans="1:7" x14ac:dyDescent="0.25">
      <c r="A266" t="s">
        <v>790</v>
      </c>
      <c r="B266" s="2" t="s">
        <v>551</v>
      </c>
      <c r="C266" s="2" t="s">
        <v>552</v>
      </c>
      <c r="D266" s="8">
        <v>305</v>
      </c>
      <c r="E266" s="8">
        <v>275</v>
      </c>
      <c r="F266" s="8">
        <f t="shared" si="4"/>
        <v>580</v>
      </c>
      <c r="G266" s="13">
        <f>F266-'[1]Monthly Incident Counts'!F266</f>
        <v>0</v>
      </c>
    </row>
    <row r="267" spans="1:7" x14ac:dyDescent="0.25">
      <c r="A267" t="s">
        <v>790</v>
      </c>
      <c r="B267" s="2" t="s">
        <v>553</v>
      </c>
      <c r="C267" s="2" t="s">
        <v>554</v>
      </c>
      <c r="D267" s="8">
        <v>617</v>
      </c>
      <c r="E267" s="8">
        <v>627</v>
      </c>
      <c r="F267" s="8">
        <f t="shared" si="4"/>
        <v>1244</v>
      </c>
      <c r="G267" s="13">
        <f>F267-'[1]Monthly Incident Counts'!F267</f>
        <v>0</v>
      </c>
    </row>
    <row r="268" spans="1:7" x14ac:dyDescent="0.25">
      <c r="A268" t="s">
        <v>790</v>
      </c>
      <c r="B268" s="2" t="s">
        <v>555</v>
      </c>
      <c r="C268" s="2" t="s">
        <v>556</v>
      </c>
      <c r="D268" s="8">
        <v>260</v>
      </c>
      <c r="E268" s="8">
        <v>250</v>
      </c>
      <c r="F268" s="8">
        <f t="shared" si="4"/>
        <v>510</v>
      </c>
      <c r="G268" s="13">
        <f>F268-'[1]Monthly Incident Counts'!F268</f>
        <v>0</v>
      </c>
    </row>
    <row r="269" spans="1:7" x14ac:dyDescent="0.25">
      <c r="A269" t="s">
        <v>790</v>
      </c>
      <c r="B269" s="2" t="s">
        <v>557</v>
      </c>
      <c r="C269" s="2" t="s">
        <v>558</v>
      </c>
      <c r="D269" s="8">
        <v>167</v>
      </c>
      <c r="E269" s="8">
        <v>171</v>
      </c>
      <c r="F269" s="8">
        <f t="shared" si="4"/>
        <v>338</v>
      </c>
      <c r="G269" s="13">
        <f>F269-'[1]Monthly Incident Counts'!F269</f>
        <v>0</v>
      </c>
    </row>
    <row r="270" spans="1:7" x14ac:dyDescent="0.25">
      <c r="A270" t="s">
        <v>790</v>
      </c>
      <c r="B270" s="2" t="s">
        <v>559</v>
      </c>
      <c r="C270" s="2" t="s">
        <v>560</v>
      </c>
      <c r="D270" s="8">
        <v>417</v>
      </c>
      <c r="E270" s="8">
        <v>443</v>
      </c>
      <c r="F270" s="8">
        <f t="shared" si="4"/>
        <v>860</v>
      </c>
      <c r="G270" s="13">
        <f>F270-'[1]Monthly Incident Counts'!F270</f>
        <v>0</v>
      </c>
    </row>
    <row r="271" spans="1:7" x14ac:dyDescent="0.25">
      <c r="A271" t="s">
        <v>790</v>
      </c>
      <c r="B271" s="2" t="s">
        <v>561</v>
      </c>
      <c r="C271" s="2" t="s">
        <v>562</v>
      </c>
      <c r="D271" s="8">
        <v>650</v>
      </c>
      <c r="E271" s="8">
        <v>699</v>
      </c>
      <c r="F271" s="8">
        <f t="shared" si="4"/>
        <v>1349</v>
      </c>
      <c r="G271" s="13">
        <f>F271-'[1]Monthly Incident Counts'!F271</f>
        <v>0</v>
      </c>
    </row>
    <row r="272" spans="1:7" x14ac:dyDescent="0.25">
      <c r="A272" t="s">
        <v>790</v>
      </c>
      <c r="B272" s="2" t="s">
        <v>563</v>
      </c>
      <c r="C272" s="2" t="s">
        <v>564</v>
      </c>
      <c r="D272" s="8">
        <v>174</v>
      </c>
      <c r="E272" s="8">
        <v>143</v>
      </c>
      <c r="F272" s="8">
        <f t="shared" si="4"/>
        <v>317</v>
      </c>
      <c r="G272" s="13">
        <f>F272-'[1]Monthly Incident Counts'!F272</f>
        <v>0</v>
      </c>
    </row>
    <row r="273" spans="1:7" x14ac:dyDescent="0.25">
      <c r="A273" t="s">
        <v>790</v>
      </c>
      <c r="B273" s="2" t="s">
        <v>565</v>
      </c>
      <c r="C273" s="2" t="s">
        <v>566</v>
      </c>
      <c r="D273" s="8">
        <v>280</v>
      </c>
      <c r="E273" s="8">
        <v>273</v>
      </c>
      <c r="F273" s="8">
        <f t="shared" si="4"/>
        <v>553</v>
      </c>
      <c r="G273" s="13">
        <f>F273-'[1]Monthly Incident Counts'!F273</f>
        <v>0</v>
      </c>
    </row>
    <row r="274" spans="1:7" x14ac:dyDescent="0.25">
      <c r="A274" t="s">
        <v>790</v>
      </c>
      <c r="B274" s="2" t="s">
        <v>567</v>
      </c>
      <c r="C274" s="2" t="s">
        <v>568</v>
      </c>
      <c r="D274" s="8">
        <v>320</v>
      </c>
      <c r="E274" s="8">
        <v>320</v>
      </c>
      <c r="F274" s="8">
        <f t="shared" si="4"/>
        <v>640</v>
      </c>
      <c r="G274" s="13">
        <f>F274-'[1]Monthly Incident Counts'!F274</f>
        <v>0</v>
      </c>
    </row>
    <row r="275" spans="1:7" x14ac:dyDescent="0.25">
      <c r="A275" t="s">
        <v>790</v>
      </c>
      <c r="B275" s="2" t="s">
        <v>569</v>
      </c>
      <c r="C275" s="2" t="s">
        <v>570</v>
      </c>
      <c r="D275" s="8">
        <v>372</v>
      </c>
      <c r="E275" s="8">
        <v>411</v>
      </c>
      <c r="F275" s="8">
        <f t="shared" si="4"/>
        <v>783</v>
      </c>
      <c r="G275" s="13">
        <f>F275-'[1]Monthly Incident Counts'!F275</f>
        <v>0</v>
      </c>
    </row>
    <row r="276" spans="1:7" x14ac:dyDescent="0.25">
      <c r="A276" t="s">
        <v>790</v>
      </c>
      <c r="B276" s="2" t="s">
        <v>571</v>
      </c>
      <c r="C276" s="2" t="s">
        <v>572</v>
      </c>
      <c r="D276" s="8">
        <v>548</v>
      </c>
      <c r="E276" s="8">
        <v>516</v>
      </c>
      <c r="F276" s="8">
        <f t="shared" si="4"/>
        <v>1064</v>
      </c>
      <c r="G276" s="13">
        <f>F276-'[1]Monthly Incident Counts'!F276</f>
        <v>0</v>
      </c>
    </row>
    <row r="277" spans="1:7" x14ac:dyDescent="0.25">
      <c r="A277" t="s">
        <v>790</v>
      </c>
      <c r="B277" s="2" t="s">
        <v>573</v>
      </c>
      <c r="C277" s="2" t="s">
        <v>574</v>
      </c>
      <c r="D277" s="8">
        <v>177</v>
      </c>
      <c r="E277" s="8">
        <v>174</v>
      </c>
      <c r="F277" s="8">
        <f t="shared" si="4"/>
        <v>351</v>
      </c>
      <c r="G277" s="13">
        <f>F277-'[1]Monthly Incident Counts'!F277</f>
        <v>0</v>
      </c>
    </row>
    <row r="278" spans="1:7" x14ac:dyDescent="0.25">
      <c r="A278" t="s">
        <v>790</v>
      </c>
      <c r="B278" s="2" t="s">
        <v>575</v>
      </c>
      <c r="C278" s="2" t="s">
        <v>576</v>
      </c>
      <c r="D278" s="8">
        <v>34</v>
      </c>
      <c r="E278" s="8">
        <v>51</v>
      </c>
      <c r="F278" s="8">
        <f t="shared" si="4"/>
        <v>85</v>
      </c>
      <c r="G278" s="13">
        <f>F278-'[1]Monthly Incident Counts'!F278</f>
        <v>0</v>
      </c>
    </row>
    <row r="279" spans="1:7" x14ac:dyDescent="0.25">
      <c r="A279" t="s">
        <v>790</v>
      </c>
      <c r="B279" s="2" t="s">
        <v>577</v>
      </c>
      <c r="C279" s="2" t="s">
        <v>578</v>
      </c>
      <c r="D279" s="8">
        <v>199</v>
      </c>
      <c r="E279" s="8">
        <v>195</v>
      </c>
      <c r="F279" s="8">
        <f t="shared" si="4"/>
        <v>394</v>
      </c>
      <c r="G279" s="13">
        <f>F279-'[1]Monthly Incident Counts'!F279</f>
        <v>0</v>
      </c>
    </row>
    <row r="280" spans="1:7" x14ac:dyDescent="0.25">
      <c r="A280" t="s">
        <v>790</v>
      </c>
      <c r="B280" s="2" t="s">
        <v>579</v>
      </c>
      <c r="C280" s="2" t="s">
        <v>580</v>
      </c>
      <c r="D280" s="8">
        <v>470</v>
      </c>
      <c r="E280" s="8">
        <v>457</v>
      </c>
      <c r="F280" s="8">
        <f t="shared" si="4"/>
        <v>927</v>
      </c>
      <c r="G280" s="13">
        <f>F280-'[1]Monthly Incident Counts'!F280</f>
        <v>0</v>
      </c>
    </row>
    <row r="281" spans="1:7" x14ac:dyDescent="0.25">
      <c r="A281" t="s">
        <v>791</v>
      </c>
      <c r="B281" s="2" t="s">
        <v>581</v>
      </c>
      <c r="C281" s="2" t="s">
        <v>582</v>
      </c>
      <c r="D281" s="8">
        <v>518</v>
      </c>
      <c r="E281" s="8">
        <v>494</v>
      </c>
      <c r="F281" s="8">
        <f t="shared" si="4"/>
        <v>1012</v>
      </c>
      <c r="G281" s="13">
        <f>F281-'[1]Monthly Incident Counts'!F281</f>
        <v>0</v>
      </c>
    </row>
    <row r="282" spans="1:7" x14ac:dyDescent="0.25">
      <c r="A282" t="s">
        <v>791</v>
      </c>
      <c r="B282" s="2" t="s">
        <v>583</v>
      </c>
      <c r="C282" s="2" t="s">
        <v>584</v>
      </c>
      <c r="D282" s="8">
        <v>202</v>
      </c>
      <c r="E282" s="8">
        <v>217</v>
      </c>
      <c r="F282" s="8">
        <f t="shared" si="4"/>
        <v>419</v>
      </c>
      <c r="G282" s="13">
        <f>F282-'[1]Monthly Incident Counts'!F282</f>
        <v>0</v>
      </c>
    </row>
    <row r="283" spans="1:7" x14ac:dyDescent="0.25">
      <c r="A283" t="s">
        <v>791</v>
      </c>
      <c r="B283" s="2" t="s">
        <v>585</v>
      </c>
      <c r="C283" s="2" t="s">
        <v>586</v>
      </c>
      <c r="D283" s="8">
        <v>230</v>
      </c>
      <c r="E283" s="8">
        <v>253</v>
      </c>
      <c r="F283" s="8">
        <f t="shared" si="4"/>
        <v>483</v>
      </c>
      <c r="G283" s="13">
        <f>F283-'[1]Monthly Incident Counts'!F283</f>
        <v>0</v>
      </c>
    </row>
    <row r="284" spans="1:7" x14ac:dyDescent="0.25">
      <c r="A284" t="s">
        <v>791</v>
      </c>
      <c r="B284" s="2" t="s">
        <v>587</v>
      </c>
      <c r="C284" s="2" t="s">
        <v>588</v>
      </c>
      <c r="D284" s="8">
        <v>1190</v>
      </c>
      <c r="E284" s="8">
        <v>1107</v>
      </c>
      <c r="F284" s="8">
        <f t="shared" si="4"/>
        <v>2297</v>
      </c>
      <c r="G284" s="13">
        <f>F284-'[1]Monthly Incident Counts'!F284</f>
        <v>0</v>
      </c>
    </row>
    <row r="285" spans="1:7" x14ac:dyDescent="0.25">
      <c r="A285" t="s">
        <v>791</v>
      </c>
      <c r="B285" s="2" t="s">
        <v>589</v>
      </c>
      <c r="C285" s="2" t="s">
        <v>590</v>
      </c>
      <c r="D285" s="8">
        <v>261</v>
      </c>
      <c r="E285" s="8">
        <v>252</v>
      </c>
      <c r="F285" s="8">
        <f t="shared" si="4"/>
        <v>513</v>
      </c>
      <c r="G285" s="13">
        <f>F285-'[1]Monthly Incident Counts'!F285</f>
        <v>0</v>
      </c>
    </row>
    <row r="286" spans="1:7" x14ac:dyDescent="0.25">
      <c r="A286" t="s">
        <v>791</v>
      </c>
      <c r="B286" s="2" t="s">
        <v>591</v>
      </c>
      <c r="C286" s="2" t="s">
        <v>592</v>
      </c>
      <c r="D286" s="8">
        <v>145</v>
      </c>
      <c r="E286" s="8">
        <v>154</v>
      </c>
      <c r="F286" s="8">
        <f t="shared" si="4"/>
        <v>299</v>
      </c>
      <c r="G286" s="13">
        <f>F286-'[1]Monthly Incident Counts'!F286</f>
        <v>0</v>
      </c>
    </row>
    <row r="287" spans="1:7" x14ac:dyDescent="0.25">
      <c r="A287" t="s">
        <v>791</v>
      </c>
      <c r="B287" s="2" t="s">
        <v>593</v>
      </c>
      <c r="C287" s="2" t="s">
        <v>594</v>
      </c>
      <c r="D287" s="8">
        <v>267</v>
      </c>
      <c r="E287" s="8">
        <v>290</v>
      </c>
      <c r="F287" s="8">
        <f t="shared" si="4"/>
        <v>557</v>
      </c>
      <c r="G287" s="13">
        <f>F287-'[1]Monthly Incident Counts'!F287</f>
        <v>0</v>
      </c>
    </row>
    <row r="288" spans="1:7" x14ac:dyDescent="0.25">
      <c r="A288" t="s">
        <v>791</v>
      </c>
      <c r="B288" s="2" t="s">
        <v>595</v>
      </c>
      <c r="C288" s="2" t="s">
        <v>596</v>
      </c>
      <c r="D288" s="8">
        <v>138</v>
      </c>
      <c r="E288" s="8">
        <v>167</v>
      </c>
      <c r="F288" s="8">
        <f t="shared" si="4"/>
        <v>305</v>
      </c>
      <c r="G288" s="13">
        <f>F288-'[1]Monthly Incident Counts'!F288</f>
        <v>0</v>
      </c>
    </row>
    <row r="289" spans="1:7" x14ac:dyDescent="0.25">
      <c r="A289" t="s">
        <v>791</v>
      </c>
      <c r="B289" s="2" t="s">
        <v>597</v>
      </c>
      <c r="C289" s="2" t="s">
        <v>598</v>
      </c>
      <c r="D289" s="8">
        <v>352</v>
      </c>
      <c r="E289" s="8">
        <v>340</v>
      </c>
      <c r="F289" s="8">
        <f t="shared" si="4"/>
        <v>692</v>
      </c>
      <c r="G289" s="13">
        <f>F289-'[1]Monthly Incident Counts'!F289</f>
        <v>0</v>
      </c>
    </row>
    <row r="290" spans="1:7" x14ac:dyDescent="0.25">
      <c r="A290" t="s">
        <v>791</v>
      </c>
      <c r="B290" s="2" t="s">
        <v>599</v>
      </c>
      <c r="C290" s="2" t="s">
        <v>600</v>
      </c>
      <c r="D290" s="8">
        <v>221</v>
      </c>
      <c r="E290" s="8">
        <v>222</v>
      </c>
      <c r="F290" s="8">
        <f t="shared" si="4"/>
        <v>443</v>
      </c>
      <c r="G290" s="13">
        <f>F290-'[1]Monthly Incident Counts'!F290</f>
        <v>0</v>
      </c>
    </row>
    <row r="291" spans="1:7" x14ac:dyDescent="0.25">
      <c r="A291" t="s">
        <v>791</v>
      </c>
      <c r="B291" s="2" t="s">
        <v>601</v>
      </c>
      <c r="C291" s="2" t="s">
        <v>602</v>
      </c>
      <c r="D291" s="8">
        <v>261</v>
      </c>
      <c r="E291" s="8">
        <v>280</v>
      </c>
      <c r="F291" s="8">
        <f t="shared" si="4"/>
        <v>541</v>
      </c>
      <c r="G291" s="13">
        <f>F291-'[1]Monthly Incident Counts'!F291</f>
        <v>0</v>
      </c>
    </row>
    <row r="292" spans="1:7" x14ac:dyDescent="0.25">
      <c r="A292" t="s">
        <v>791</v>
      </c>
      <c r="B292" s="2" t="s">
        <v>603</v>
      </c>
      <c r="C292" s="2" t="s">
        <v>604</v>
      </c>
      <c r="D292" s="8">
        <v>105</v>
      </c>
      <c r="E292" s="8">
        <v>133</v>
      </c>
      <c r="F292" s="8">
        <f t="shared" si="4"/>
        <v>238</v>
      </c>
      <c r="G292" s="13">
        <f>F292-'[1]Monthly Incident Counts'!F292</f>
        <v>0</v>
      </c>
    </row>
    <row r="293" spans="1:7" x14ac:dyDescent="0.25">
      <c r="A293" t="s">
        <v>791</v>
      </c>
      <c r="B293" s="2" t="s">
        <v>605</v>
      </c>
      <c r="C293" s="2" t="s">
        <v>606</v>
      </c>
      <c r="D293" s="8">
        <v>305</v>
      </c>
      <c r="E293" s="8">
        <v>298</v>
      </c>
      <c r="F293" s="8">
        <f t="shared" si="4"/>
        <v>603</v>
      </c>
      <c r="G293" s="13">
        <f>F293-'[1]Monthly Incident Counts'!F293</f>
        <v>0</v>
      </c>
    </row>
    <row r="294" spans="1:7" x14ac:dyDescent="0.25">
      <c r="A294" t="s">
        <v>791</v>
      </c>
      <c r="B294" s="2" t="s">
        <v>607</v>
      </c>
      <c r="C294" s="2" t="s">
        <v>608</v>
      </c>
      <c r="D294" s="8">
        <v>70</v>
      </c>
      <c r="E294" s="8">
        <v>80</v>
      </c>
      <c r="F294" s="8">
        <f t="shared" si="4"/>
        <v>150</v>
      </c>
      <c r="G294" s="13">
        <f>F294-'[1]Monthly Incident Counts'!F294</f>
        <v>0</v>
      </c>
    </row>
    <row r="295" spans="1:7" x14ac:dyDescent="0.25">
      <c r="A295" t="s">
        <v>791</v>
      </c>
      <c r="B295" s="2" t="s">
        <v>609</v>
      </c>
      <c r="C295" s="2" t="s">
        <v>610</v>
      </c>
      <c r="D295" s="8">
        <v>434</v>
      </c>
      <c r="E295" s="8">
        <v>477</v>
      </c>
      <c r="F295" s="8">
        <f t="shared" si="4"/>
        <v>911</v>
      </c>
      <c r="G295" s="13">
        <f>F295-'[1]Monthly Incident Counts'!F295</f>
        <v>0</v>
      </c>
    </row>
    <row r="296" spans="1:7" x14ac:dyDescent="0.25">
      <c r="A296" t="s">
        <v>791</v>
      </c>
      <c r="B296" s="2" t="s">
        <v>611</v>
      </c>
      <c r="C296" s="2" t="s">
        <v>612</v>
      </c>
      <c r="D296" s="8">
        <v>279</v>
      </c>
      <c r="E296" s="8">
        <v>325</v>
      </c>
      <c r="F296" s="8">
        <f t="shared" si="4"/>
        <v>604</v>
      </c>
      <c r="G296" s="13">
        <f>F296-'[1]Monthly Incident Counts'!F296</f>
        <v>0</v>
      </c>
    </row>
    <row r="297" spans="1:7" x14ac:dyDescent="0.25">
      <c r="A297" t="s">
        <v>791</v>
      </c>
      <c r="B297" s="2" t="s">
        <v>613</v>
      </c>
      <c r="C297" s="2" t="s">
        <v>614</v>
      </c>
      <c r="D297" s="8">
        <v>275</v>
      </c>
      <c r="E297" s="8">
        <v>313</v>
      </c>
      <c r="F297" s="8">
        <f t="shared" si="4"/>
        <v>588</v>
      </c>
      <c r="G297" s="13">
        <f>F297-'[1]Monthly Incident Counts'!F297</f>
        <v>0</v>
      </c>
    </row>
    <row r="298" spans="1:7" x14ac:dyDescent="0.25">
      <c r="A298" t="s">
        <v>791</v>
      </c>
      <c r="B298" s="2" t="s">
        <v>615</v>
      </c>
      <c r="C298" s="2" t="s">
        <v>616</v>
      </c>
      <c r="D298" s="8">
        <v>276</v>
      </c>
      <c r="E298" s="8">
        <v>284</v>
      </c>
      <c r="F298" s="8">
        <f t="shared" si="4"/>
        <v>560</v>
      </c>
      <c r="G298" s="13">
        <f>F298-'[1]Monthly Incident Counts'!F298</f>
        <v>0</v>
      </c>
    </row>
    <row r="299" spans="1:7" x14ac:dyDescent="0.25">
      <c r="A299" t="s">
        <v>791</v>
      </c>
      <c r="B299" s="2" t="s">
        <v>617</v>
      </c>
      <c r="C299" s="2" t="s">
        <v>618</v>
      </c>
      <c r="D299" s="8">
        <v>81</v>
      </c>
      <c r="E299" s="8">
        <v>79</v>
      </c>
      <c r="F299" s="8">
        <f t="shared" si="4"/>
        <v>160</v>
      </c>
      <c r="G299" s="13">
        <f>F299-'[1]Monthly Incident Counts'!F299</f>
        <v>0</v>
      </c>
    </row>
    <row r="300" spans="1:7" x14ac:dyDescent="0.25">
      <c r="A300" t="s">
        <v>791</v>
      </c>
      <c r="B300" s="2" t="s">
        <v>619</v>
      </c>
      <c r="C300" s="2" t="s">
        <v>620</v>
      </c>
      <c r="D300" s="8">
        <v>271</v>
      </c>
      <c r="E300" s="8">
        <v>335</v>
      </c>
      <c r="F300" s="8">
        <f t="shared" si="4"/>
        <v>606</v>
      </c>
      <c r="G300" s="13">
        <f>F300-'[1]Monthly Incident Counts'!F300</f>
        <v>0</v>
      </c>
    </row>
    <row r="301" spans="1:7" x14ac:dyDescent="0.25">
      <c r="A301" t="s">
        <v>791</v>
      </c>
      <c r="B301" s="2" t="s">
        <v>621</v>
      </c>
      <c r="C301" s="2" t="s">
        <v>622</v>
      </c>
      <c r="D301" s="8">
        <v>2180</v>
      </c>
      <c r="E301" s="8">
        <v>1937</v>
      </c>
      <c r="F301" s="8">
        <f t="shared" si="4"/>
        <v>4117</v>
      </c>
      <c r="G301" s="13">
        <f>F301-'[1]Monthly Incident Counts'!F301</f>
        <v>0</v>
      </c>
    </row>
    <row r="302" spans="1:7" x14ac:dyDescent="0.25">
      <c r="A302" t="s">
        <v>791</v>
      </c>
      <c r="B302" s="2" t="s">
        <v>623</v>
      </c>
      <c r="C302" s="2" t="s">
        <v>624</v>
      </c>
      <c r="D302" s="8">
        <v>75</v>
      </c>
      <c r="E302" s="8">
        <v>44</v>
      </c>
      <c r="F302" s="8">
        <f t="shared" si="4"/>
        <v>119</v>
      </c>
      <c r="G302" s="13">
        <f>F302-'[1]Monthly Incident Counts'!F302</f>
        <v>0</v>
      </c>
    </row>
    <row r="303" spans="1:7" x14ac:dyDescent="0.25">
      <c r="A303" t="s">
        <v>791</v>
      </c>
      <c r="B303" s="2" t="s">
        <v>625</v>
      </c>
      <c r="C303" s="2" t="s">
        <v>626</v>
      </c>
      <c r="D303" s="8">
        <v>492</v>
      </c>
      <c r="E303" s="8">
        <v>503</v>
      </c>
      <c r="F303" s="8">
        <f t="shared" si="4"/>
        <v>995</v>
      </c>
      <c r="G303" s="13">
        <f>F303-'[1]Monthly Incident Counts'!F303</f>
        <v>0</v>
      </c>
    </row>
    <row r="304" spans="1:7" x14ac:dyDescent="0.25">
      <c r="A304" t="s">
        <v>791</v>
      </c>
      <c r="B304" s="2" t="s">
        <v>627</v>
      </c>
      <c r="C304" s="2" t="s">
        <v>628</v>
      </c>
      <c r="D304" s="8">
        <v>426</v>
      </c>
      <c r="E304" s="8">
        <v>487</v>
      </c>
      <c r="F304" s="8">
        <f t="shared" si="4"/>
        <v>913</v>
      </c>
      <c r="G304" s="13">
        <f>F304-'[1]Monthly Incident Counts'!F304</f>
        <v>0</v>
      </c>
    </row>
    <row r="305" spans="1:7" x14ac:dyDescent="0.25">
      <c r="A305" t="s">
        <v>791</v>
      </c>
      <c r="B305" s="2" t="s">
        <v>629</v>
      </c>
      <c r="C305" s="2" t="s">
        <v>630</v>
      </c>
      <c r="D305" s="8">
        <v>162</v>
      </c>
      <c r="E305" s="8">
        <v>143</v>
      </c>
      <c r="F305" s="8">
        <f t="shared" si="4"/>
        <v>305</v>
      </c>
      <c r="G305" s="13">
        <f>F305-'[1]Monthly Incident Counts'!F305</f>
        <v>0</v>
      </c>
    </row>
    <row r="306" spans="1:7" x14ac:dyDescent="0.25">
      <c r="A306" t="s">
        <v>791</v>
      </c>
      <c r="B306" s="2" t="s">
        <v>631</v>
      </c>
      <c r="C306" s="2" t="s">
        <v>632</v>
      </c>
      <c r="D306" s="8">
        <v>333</v>
      </c>
      <c r="E306" s="8">
        <v>314</v>
      </c>
      <c r="F306" s="8">
        <f t="shared" si="4"/>
        <v>647</v>
      </c>
      <c r="G306" s="13">
        <f>F306-'[1]Monthly Incident Counts'!F306</f>
        <v>0</v>
      </c>
    </row>
    <row r="307" spans="1:7" x14ac:dyDescent="0.25">
      <c r="A307" t="s">
        <v>791</v>
      </c>
      <c r="B307" s="2" t="s">
        <v>633</v>
      </c>
      <c r="C307" s="2" t="s">
        <v>634</v>
      </c>
      <c r="D307" s="8">
        <v>340</v>
      </c>
      <c r="E307" s="8">
        <v>326</v>
      </c>
      <c r="F307" s="8">
        <f t="shared" si="4"/>
        <v>666</v>
      </c>
      <c r="G307" s="13">
        <f>F307-'[1]Monthly Incident Counts'!F307</f>
        <v>0</v>
      </c>
    </row>
    <row r="308" spans="1:7" x14ac:dyDescent="0.25">
      <c r="A308" t="s">
        <v>791</v>
      </c>
      <c r="B308" s="2" t="s">
        <v>635</v>
      </c>
      <c r="C308" s="2" t="s">
        <v>636</v>
      </c>
      <c r="D308" s="9"/>
      <c r="E308" s="9"/>
      <c r="F308" s="8">
        <f t="shared" si="4"/>
        <v>0</v>
      </c>
      <c r="G308" s="13">
        <f>F308-'[1]Monthly Incident Counts'!F308</f>
        <v>0</v>
      </c>
    </row>
    <row r="309" spans="1:7" x14ac:dyDescent="0.25">
      <c r="A309" t="s">
        <v>792</v>
      </c>
      <c r="B309" s="2" t="s">
        <v>637</v>
      </c>
      <c r="C309" s="2" t="s">
        <v>638</v>
      </c>
      <c r="D309" s="8">
        <v>8381</v>
      </c>
      <c r="E309" s="8">
        <v>8884</v>
      </c>
      <c r="F309" s="8">
        <f t="shared" si="4"/>
        <v>17265</v>
      </c>
      <c r="G309" s="13">
        <f>F309-'[1]Monthly Incident Counts'!F309</f>
        <v>0</v>
      </c>
    </row>
    <row r="310" spans="1:7" x14ac:dyDescent="0.25">
      <c r="A310" t="s">
        <v>792</v>
      </c>
      <c r="B310" s="2" t="s">
        <v>639</v>
      </c>
      <c r="C310" s="2" t="s">
        <v>640</v>
      </c>
      <c r="D310" s="9"/>
      <c r="E310" s="9"/>
      <c r="F310" s="8">
        <f t="shared" si="4"/>
        <v>0</v>
      </c>
      <c r="G310" s="13">
        <f>F310-'[1]Monthly Incident Counts'!F310</f>
        <v>0</v>
      </c>
    </row>
    <row r="311" spans="1:7" x14ac:dyDescent="0.25">
      <c r="A311" t="s">
        <v>792</v>
      </c>
      <c r="B311" s="2" t="s">
        <v>641</v>
      </c>
      <c r="C311" s="2" t="s">
        <v>642</v>
      </c>
      <c r="D311" s="8">
        <v>485</v>
      </c>
      <c r="E311" s="8">
        <v>546</v>
      </c>
      <c r="F311" s="8">
        <f t="shared" si="4"/>
        <v>1031</v>
      </c>
      <c r="G311" s="13">
        <f>F311-'[1]Monthly Incident Counts'!F311</f>
        <v>0</v>
      </c>
    </row>
    <row r="312" spans="1:7" x14ac:dyDescent="0.25">
      <c r="A312" t="s">
        <v>792</v>
      </c>
      <c r="B312" s="2" t="s">
        <v>643</v>
      </c>
      <c r="C312" s="2" t="s">
        <v>644</v>
      </c>
      <c r="D312" s="9"/>
      <c r="E312" s="9"/>
      <c r="F312" s="8">
        <f t="shared" si="4"/>
        <v>0</v>
      </c>
      <c r="G312" s="13">
        <f>F312-'[1]Monthly Incident Counts'!F312</f>
        <v>0</v>
      </c>
    </row>
    <row r="313" spans="1:7" x14ac:dyDescent="0.25">
      <c r="A313" t="s">
        <v>792</v>
      </c>
      <c r="B313" s="2" t="s">
        <v>645</v>
      </c>
      <c r="C313" s="2" t="s">
        <v>646</v>
      </c>
      <c r="D313" s="8">
        <v>812</v>
      </c>
      <c r="E313" s="8">
        <v>843</v>
      </c>
      <c r="F313" s="8">
        <f t="shared" si="4"/>
        <v>1655</v>
      </c>
      <c r="G313" s="13">
        <f>F313-'[1]Monthly Incident Counts'!F313</f>
        <v>0</v>
      </c>
    </row>
    <row r="314" spans="1:7" x14ac:dyDescent="0.25">
      <c r="A314" t="s">
        <v>793</v>
      </c>
      <c r="B314" s="2" t="s">
        <v>647</v>
      </c>
      <c r="C314" s="2" t="s">
        <v>648</v>
      </c>
      <c r="D314" s="8">
        <v>170</v>
      </c>
      <c r="E314" s="8">
        <v>168</v>
      </c>
      <c r="F314" s="8">
        <f t="shared" si="4"/>
        <v>338</v>
      </c>
      <c r="G314" s="13">
        <f>F314-'[1]Monthly Incident Counts'!F314</f>
        <v>0</v>
      </c>
    </row>
    <row r="315" spans="1:7" x14ac:dyDescent="0.25">
      <c r="A315" t="s">
        <v>793</v>
      </c>
      <c r="B315" s="2" t="s">
        <v>649</v>
      </c>
      <c r="C315" s="2" t="s">
        <v>650</v>
      </c>
      <c r="D315" s="8">
        <v>6</v>
      </c>
      <c r="E315" s="8">
        <v>21</v>
      </c>
      <c r="F315" s="8">
        <f t="shared" si="4"/>
        <v>27</v>
      </c>
      <c r="G315" s="13">
        <f>F315-'[1]Monthly Incident Counts'!F315</f>
        <v>0</v>
      </c>
    </row>
    <row r="316" spans="1:7" x14ac:dyDescent="0.25">
      <c r="A316" t="s">
        <v>793</v>
      </c>
      <c r="B316" s="2" t="s">
        <v>651</v>
      </c>
      <c r="C316" s="2" t="s">
        <v>652</v>
      </c>
      <c r="D316" s="9"/>
      <c r="E316" s="9"/>
      <c r="F316" s="8">
        <f t="shared" si="4"/>
        <v>0</v>
      </c>
      <c r="G316" s="13">
        <f>F316-'[1]Monthly Incident Counts'!F316</f>
        <v>0</v>
      </c>
    </row>
    <row r="317" spans="1:7" x14ac:dyDescent="0.25">
      <c r="A317" t="s">
        <v>793</v>
      </c>
      <c r="B317" s="2" t="s">
        <v>653</v>
      </c>
      <c r="C317" s="2" t="s">
        <v>654</v>
      </c>
      <c r="D317" s="8">
        <v>42</v>
      </c>
      <c r="E317" s="8">
        <v>33</v>
      </c>
      <c r="F317" s="8">
        <f t="shared" si="4"/>
        <v>75</v>
      </c>
      <c r="G317" s="13">
        <f>F317-'[1]Monthly Incident Counts'!F317</f>
        <v>0</v>
      </c>
    </row>
    <row r="318" spans="1:7" x14ac:dyDescent="0.25">
      <c r="A318" t="s">
        <v>793</v>
      </c>
      <c r="B318" s="2" t="s">
        <v>655</v>
      </c>
      <c r="C318" s="2" t="s">
        <v>656</v>
      </c>
      <c r="D318" s="9"/>
      <c r="E318" s="9"/>
      <c r="F318" s="8">
        <f t="shared" si="4"/>
        <v>0</v>
      </c>
      <c r="G318" s="13">
        <f>F318-'[1]Monthly Incident Counts'!F318</f>
        <v>0</v>
      </c>
    </row>
    <row r="319" spans="1:7" x14ac:dyDescent="0.25">
      <c r="A319" t="s">
        <v>793</v>
      </c>
      <c r="B319" s="2" t="s">
        <v>657</v>
      </c>
      <c r="C319" s="2" t="s">
        <v>658</v>
      </c>
      <c r="D319" s="8">
        <v>100</v>
      </c>
      <c r="E319" s="8">
        <v>43</v>
      </c>
      <c r="F319" s="8">
        <f t="shared" si="4"/>
        <v>143</v>
      </c>
      <c r="G319" s="13">
        <f>F319-'[1]Monthly Incident Counts'!F319</f>
        <v>0</v>
      </c>
    </row>
    <row r="320" spans="1:7" x14ac:dyDescent="0.25">
      <c r="A320" t="s">
        <v>793</v>
      </c>
      <c r="B320" s="2" t="s">
        <v>659</v>
      </c>
      <c r="C320" s="2" t="s">
        <v>660</v>
      </c>
      <c r="D320" s="8">
        <v>115</v>
      </c>
      <c r="E320" s="8">
        <v>125</v>
      </c>
      <c r="F320" s="8">
        <f t="shared" si="4"/>
        <v>240</v>
      </c>
      <c r="G320" s="13">
        <f>F320-'[1]Monthly Incident Counts'!F320</f>
        <v>0</v>
      </c>
    </row>
    <row r="321" spans="1:7" x14ac:dyDescent="0.25">
      <c r="A321" t="s">
        <v>793</v>
      </c>
      <c r="B321" s="2" t="s">
        <v>661</v>
      </c>
      <c r="C321" s="2" t="s">
        <v>662</v>
      </c>
      <c r="D321" s="8">
        <v>277</v>
      </c>
      <c r="E321" s="8">
        <v>283</v>
      </c>
      <c r="F321" s="8">
        <f t="shared" si="4"/>
        <v>560</v>
      </c>
      <c r="G321" s="13">
        <f>F321-'[1]Monthly Incident Counts'!F321</f>
        <v>0</v>
      </c>
    </row>
    <row r="322" spans="1:7" x14ac:dyDescent="0.25">
      <c r="A322" t="s">
        <v>793</v>
      </c>
      <c r="B322" s="2" t="s">
        <v>663</v>
      </c>
      <c r="C322" s="2" t="s">
        <v>664</v>
      </c>
      <c r="D322" s="8">
        <v>15</v>
      </c>
      <c r="E322" s="8">
        <v>6</v>
      </c>
      <c r="F322" s="8">
        <f t="shared" si="4"/>
        <v>21</v>
      </c>
      <c r="G322" s="13">
        <f>F322-'[1]Monthly Incident Counts'!F322</f>
        <v>0</v>
      </c>
    </row>
    <row r="323" spans="1:7" x14ac:dyDescent="0.25">
      <c r="A323" t="s">
        <v>793</v>
      </c>
      <c r="B323" s="2" t="s">
        <v>665</v>
      </c>
      <c r="C323" s="2" t="s">
        <v>666</v>
      </c>
      <c r="D323" s="8">
        <v>532</v>
      </c>
      <c r="E323" s="8">
        <v>553</v>
      </c>
      <c r="F323" s="8">
        <f t="shared" ref="F323:F364" si="5">SUM(D323:E323)</f>
        <v>1085</v>
      </c>
      <c r="G323" s="13">
        <f>F323-'[1]Monthly Incident Counts'!F323</f>
        <v>0</v>
      </c>
    </row>
    <row r="324" spans="1:7" x14ac:dyDescent="0.25">
      <c r="A324" t="s">
        <v>793</v>
      </c>
      <c r="B324" s="2" t="s">
        <v>667</v>
      </c>
      <c r="C324" s="2" t="s">
        <v>668</v>
      </c>
      <c r="D324" s="8">
        <v>163</v>
      </c>
      <c r="E324" s="8">
        <v>168</v>
      </c>
      <c r="F324" s="8">
        <f t="shared" si="5"/>
        <v>331</v>
      </c>
      <c r="G324" s="13">
        <f>F324-'[1]Monthly Incident Counts'!F324</f>
        <v>0</v>
      </c>
    </row>
    <row r="325" spans="1:7" x14ac:dyDescent="0.25">
      <c r="A325" t="s">
        <v>793</v>
      </c>
      <c r="B325" s="2" t="s">
        <v>669</v>
      </c>
      <c r="C325" s="2" t="s">
        <v>670</v>
      </c>
      <c r="D325" s="8">
        <v>129</v>
      </c>
      <c r="E325" s="8">
        <v>103</v>
      </c>
      <c r="F325" s="8">
        <f t="shared" si="5"/>
        <v>232</v>
      </c>
      <c r="G325" s="13">
        <f>F325-'[1]Monthly Incident Counts'!F325</f>
        <v>0</v>
      </c>
    </row>
    <row r="326" spans="1:7" x14ac:dyDescent="0.25">
      <c r="A326" t="s">
        <v>793</v>
      </c>
      <c r="B326" s="2" t="s">
        <v>671</v>
      </c>
      <c r="C326" s="2" t="s">
        <v>672</v>
      </c>
      <c r="D326" s="8">
        <v>54</v>
      </c>
      <c r="E326" s="8">
        <v>55</v>
      </c>
      <c r="F326" s="8">
        <f t="shared" si="5"/>
        <v>109</v>
      </c>
      <c r="G326" s="13">
        <f>F326-'[1]Monthly Incident Counts'!F326</f>
        <v>0</v>
      </c>
    </row>
    <row r="327" spans="1:7" x14ac:dyDescent="0.25">
      <c r="A327" t="s">
        <v>793</v>
      </c>
      <c r="B327" s="2" t="s">
        <v>673</v>
      </c>
      <c r="C327" s="2" t="s">
        <v>674</v>
      </c>
      <c r="D327" s="8">
        <v>141</v>
      </c>
      <c r="E327" s="8">
        <v>174</v>
      </c>
      <c r="F327" s="8">
        <f t="shared" si="5"/>
        <v>315</v>
      </c>
      <c r="G327" s="13">
        <f>F327-'[1]Monthly Incident Counts'!F327</f>
        <v>0</v>
      </c>
    </row>
    <row r="328" spans="1:7" x14ac:dyDescent="0.25">
      <c r="A328" t="s">
        <v>793</v>
      </c>
      <c r="B328" s="2" t="s">
        <v>675</v>
      </c>
      <c r="C328" s="2" t="s">
        <v>676</v>
      </c>
      <c r="D328" s="8">
        <v>24</v>
      </c>
      <c r="E328" s="8">
        <v>10</v>
      </c>
      <c r="F328" s="8">
        <f t="shared" si="5"/>
        <v>34</v>
      </c>
      <c r="G328" s="13">
        <f>F328-'[1]Monthly Incident Counts'!F328</f>
        <v>0</v>
      </c>
    </row>
    <row r="329" spans="1:7" x14ac:dyDescent="0.25">
      <c r="A329" t="s">
        <v>793</v>
      </c>
      <c r="B329" s="2" t="s">
        <v>677</v>
      </c>
      <c r="C329" s="2" t="s">
        <v>678</v>
      </c>
      <c r="D329" s="8">
        <v>412</v>
      </c>
      <c r="E329" s="8">
        <v>435</v>
      </c>
      <c r="F329" s="8">
        <f t="shared" si="5"/>
        <v>847</v>
      </c>
      <c r="G329" s="13">
        <f>F329-'[1]Monthly Incident Counts'!F329</f>
        <v>0</v>
      </c>
    </row>
    <row r="330" spans="1:7" x14ac:dyDescent="0.25">
      <c r="A330" t="s">
        <v>793</v>
      </c>
      <c r="B330" s="2" t="s">
        <v>679</v>
      </c>
      <c r="C330" s="2" t="s">
        <v>680</v>
      </c>
      <c r="D330" s="8">
        <v>776</v>
      </c>
      <c r="E330" s="8">
        <v>817</v>
      </c>
      <c r="F330" s="8">
        <f t="shared" si="5"/>
        <v>1593</v>
      </c>
      <c r="G330" s="13">
        <f>F330-'[1]Monthly Incident Counts'!F330</f>
        <v>0</v>
      </c>
    </row>
    <row r="331" spans="1:7" x14ac:dyDescent="0.25">
      <c r="A331" t="s">
        <v>793</v>
      </c>
      <c r="B331" s="2" t="s">
        <v>681</v>
      </c>
      <c r="C331" s="2" t="s">
        <v>682</v>
      </c>
      <c r="D331" s="8">
        <v>77</v>
      </c>
      <c r="E331" s="8">
        <v>72</v>
      </c>
      <c r="F331" s="8">
        <f t="shared" si="5"/>
        <v>149</v>
      </c>
      <c r="G331" s="13">
        <f>F331-'[1]Monthly Incident Counts'!F331</f>
        <v>0</v>
      </c>
    </row>
    <row r="332" spans="1:7" x14ac:dyDescent="0.25">
      <c r="A332" t="s">
        <v>793</v>
      </c>
      <c r="B332" s="2" t="s">
        <v>683</v>
      </c>
      <c r="C332" s="2" t="s">
        <v>684</v>
      </c>
      <c r="D332" s="9"/>
      <c r="E332" s="9"/>
      <c r="F332" s="8">
        <f t="shared" si="5"/>
        <v>0</v>
      </c>
      <c r="G332" s="13">
        <f>F332-'[1]Monthly Incident Counts'!F332</f>
        <v>0</v>
      </c>
    </row>
    <row r="333" spans="1:7" x14ac:dyDescent="0.25">
      <c r="A333" t="s">
        <v>793</v>
      </c>
      <c r="B333" s="2" t="s">
        <v>685</v>
      </c>
      <c r="C333" s="2" t="s">
        <v>686</v>
      </c>
      <c r="D333" s="8">
        <v>103</v>
      </c>
      <c r="E333" s="8">
        <v>92</v>
      </c>
      <c r="F333" s="8">
        <f t="shared" si="5"/>
        <v>195</v>
      </c>
      <c r="G333" s="13">
        <f>F333-'[1]Monthly Incident Counts'!F333</f>
        <v>0</v>
      </c>
    </row>
    <row r="334" spans="1:7" x14ac:dyDescent="0.25">
      <c r="A334" t="s">
        <v>793</v>
      </c>
      <c r="B334" s="2" t="s">
        <v>687</v>
      </c>
      <c r="C334" s="2" t="s">
        <v>688</v>
      </c>
      <c r="D334" s="8">
        <v>3105</v>
      </c>
      <c r="E334" s="8">
        <v>3164</v>
      </c>
      <c r="F334" s="8">
        <f t="shared" si="5"/>
        <v>6269</v>
      </c>
      <c r="G334" s="13">
        <f>F334-'[1]Monthly Incident Counts'!F334</f>
        <v>0</v>
      </c>
    </row>
    <row r="335" spans="1:7" x14ac:dyDescent="0.25">
      <c r="A335" t="s">
        <v>793</v>
      </c>
      <c r="B335" s="2" t="s">
        <v>689</v>
      </c>
      <c r="C335" s="2" t="s">
        <v>690</v>
      </c>
      <c r="D335" s="8">
        <v>1</v>
      </c>
      <c r="E335" s="8">
        <v>1</v>
      </c>
      <c r="F335" s="8">
        <f t="shared" si="5"/>
        <v>2</v>
      </c>
      <c r="G335" s="13">
        <f>F335-'[1]Monthly Incident Counts'!F335</f>
        <v>0</v>
      </c>
    </row>
    <row r="336" spans="1:7" x14ac:dyDescent="0.25">
      <c r="A336" t="s">
        <v>793</v>
      </c>
      <c r="B336" s="2" t="s">
        <v>691</v>
      </c>
      <c r="C336" s="2" t="s">
        <v>692</v>
      </c>
      <c r="D336" s="8">
        <v>227</v>
      </c>
      <c r="E336" s="8">
        <v>238</v>
      </c>
      <c r="F336" s="8">
        <f t="shared" si="5"/>
        <v>465</v>
      </c>
      <c r="G336" s="13">
        <f>F336-'[1]Monthly Incident Counts'!F336</f>
        <v>0</v>
      </c>
    </row>
    <row r="337" spans="1:7" x14ac:dyDescent="0.25">
      <c r="A337" t="s">
        <v>793</v>
      </c>
      <c r="B337" s="2" t="s">
        <v>693</v>
      </c>
      <c r="C337" s="2" t="s">
        <v>694</v>
      </c>
      <c r="D337" s="8">
        <v>125</v>
      </c>
      <c r="E337" s="8">
        <v>148</v>
      </c>
      <c r="F337" s="8">
        <f t="shared" si="5"/>
        <v>273</v>
      </c>
      <c r="G337" s="13">
        <f>F337-'[1]Monthly Incident Counts'!F337</f>
        <v>0</v>
      </c>
    </row>
    <row r="338" spans="1:7" x14ac:dyDescent="0.25">
      <c r="A338" t="s">
        <v>793</v>
      </c>
      <c r="B338" s="2" t="s">
        <v>695</v>
      </c>
      <c r="C338" s="2" t="s">
        <v>696</v>
      </c>
      <c r="D338" s="8">
        <v>83</v>
      </c>
      <c r="E338" s="8">
        <v>60</v>
      </c>
      <c r="F338" s="8">
        <f t="shared" si="5"/>
        <v>143</v>
      </c>
      <c r="G338" s="13">
        <f>F338-'[1]Monthly Incident Counts'!F338</f>
        <v>0</v>
      </c>
    </row>
    <row r="339" spans="1:7" x14ac:dyDescent="0.25">
      <c r="A339" t="s">
        <v>793</v>
      </c>
      <c r="B339" s="2" t="s">
        <v>697</v>
      </c>
      <c r="C339" s="2" t="s">
        <v>698</v>
      </c>
      <c r="D339" s="9"/>
      <c r="E339" s="9"/>
      <c r="F339" s="8">
        <f t="shared" si="5"/>
        <v>0</v>
      </c>
      <c r="G339" s="13">
        <f>F339-'[1]Monthly Incident Counts'!F339</f>
        <v>0</v>
      </c>
    </row>
    <row r="340" spans="1:7" x14ac:dyDescent="0.25">
      <c r="A340" t="s">
        <v>793</v>
      </c>
      <c r="B340" s="2" t="s">
        <v>699</v>
      </c>
      <c r="C340" s="2" t="s">
        <v>700</v>
      </c>
      <c r="D340" s="8">
        <v>226</v>
      </c>
      <c r="E340" s="8">
        <v>257</v>
      </c>
      <c r="F340" s="8">
        <f t="shared" si="5"/>
        <v>483</v>
      </c>
      <c r="G340" s="13">
        <f>F340-'[1]Monthly Incident Counts'!F340</f>
        <v>0</v>
      </c>
    </row>
    <row r="341" spans="1:7" x14ac:dyDescent="0.25">
      <c r="A341" t="s">
        <v>793</v>
      </c>
      <c r="B341" s="2" t="s">
        <v>701</v>
      </c>
      <c r="C341" s="2" t="s">
        <v>702</v>
      </c>
      <c r="D341" s="8">
        <v>31</v>
      </c>
      <c r="E341" s="8">
        <v>34</v>
      </c>
      <c r="F341" s="8">
        <f t="shared" si="5"/>
        <v>65</v>
      </c>
      <c r="G341" s="13">
        <f>F341-'[1]Monthly Incident Counts'!F341</f>
        <v>0</v>
      </c>
    </row>
    <row r="342" spans="1:7" x14ac:dyDescent="0.25">
      <c r="A342" t="s">
        <v>793</v>
      </c>
      <c r="B342" s="2" t="s">
        <v>703</v>
      </c>
      <c r="C342" s="2" t="s">
        <v>704</v>
      </c>
      <c r="D342" s="9"/>
      <c r="E342" s="9"/>
      <c r="F342" s="8">
        <f t="shared" si="5"/>
        <v>0</v>
      </c>
      <c r="G342" s="13">
        <f>F342-'[1]Monthly Incident Counts'!F342</f>
        <v>0</v>
      </c>
    </row>
    <row r="343" spans="1:7" x14ac:dyDescent="0.25">
      <c r="A343" t="s">
        <v>793</v>
      </c>
      <c r="B343" s="2" t="s">
        <v>705</v>
      </c>
      <c r="C343" s="2" t="s">
        <v>706</v>
      </c>
      <c r="D343" s="8">
        <v>104</v>
      </c>
      <c r="E343" s="8">
        <v>15</v>
      </c>
      <c r="F343" s="8">
        <f t="shared" si="5"/>
        <v>119</v>
      </c>
      <c r="G343" s="13">
        <f>F343-'[1]Monthly Incident Counts'!F343</f>
        <v>0</v>
      </c>
    </row>
    <row r="344" spans="1:7" x14ac:dyDescent="0.25">
      <c r="A344" t="s">
        <v>793</v>
      </c>
      <c r="B344" s="2" t="s">
        <v>707</v>
      </c>
      <c r="C344" s="2" t="s">
        <v>708</v>
      </c>
      <c r="D344" s="8">
        <v>256</v>
      </c>
      <c r="E344" s="8">
        <v>211</v>
      </c>
      <c r="F344" s="8">
        <f t="shared" si="5"/>
        <v>467</v>
      </c>
      <c r="G344" s="13">
        <f>F344-'[1]Monthly Incident Counts'!F344</f>
        <v>0</v>
      </c>
    </row>
    <row r="345" spans="1:7" x14ac:dyDescent="0.25">
      <c r="A345" t="s">
        <v>793</v>
      </c>
      <c r="B345" s="2" t="s">
        <v>709</v>
      </c>
      <c r="C345" s="2" t="s">
        <v>710</v>
      </c>
      <c r="D345" s="9"/>
      <c r="E345" s="9"/>
      <c r="F345" s="8">
        <f t="shared" si="5"/>
        <v>0</v>
      </c>
      <c r="G345" s="13">
        <f>F345-'[1]Monthly Incident Counts'!F345</f>
        <v>0</v>
      </c>
    </row>
    <row r="346" spans="1:7" x14ac:dyDescent="0.25">
      <c r="A346" t="s">
        <v>793</v>
      </c>
      <c r="B346" s="2" t="s">
        <v>711</v>
      </c>
      <c r="C346" s="2" t="s">
        <v>712</v>
      </c>
      <c r="D346" s="8">
        <v>217</v>
      </c>
      <c r="E346" s="8">
        <v>244</v>
      </c>
      <c r="F346" s="8">
        <f t="shared" si="5"/>
        <v>461</v>
      </c>
      <c r="G346" s="13">
        <f>F346-'[1]Monthly Incident Counts'!F346</f>
        <v>0</v>
      </c>
    </row>
    <row r="347" spans="1:7" x14ac:dyDescent="0.25">
      <c r="A347" t="s">
        <v>793</v>
      </c>
      <c r="B347" s="2" t="s">
        <v>713</v>
      </c>
      <c r="C347" s="2" t="s">
        <v>714</v>
      </c>
      <c r="D347" s="8">
        <v>192</v>
      </c>
      <c r="E347" s="8">
        <v>116</v>
      </c>
      <c r="F347" s="8">
        <f t="shared" si="5"/>
        <v>308</v>
      </c>
      <c r="G347" s="13">
        <f>F347-'[1]Monthly Incident Counts'!F347</f>
        <v>0</v>
      </c>
    </row>
    <row r="348" spans="1:7" x14ac:dyDescent="0.25">
      <c r="A348" t="s">
        <v>793</v>
      </c>
      <c r="B348" s="2" t="s">
        <v>715</v>
      </c>
      <c r="C348" s="2" t="s">
        <v>716</v>
      </c>
      <c r="D348" s="8">
        <v>127</v>
      </c>
      <c r="E348" s="8">
        <v>99</v>
      </c>
      <c r="F348" s="8">
        <f t="shared" si="5"/>
        <v>226</v>
      </c>
      <c r="G348" s="13">
        <f>F348-'[1]Monthly Incident Counts'!F348</f>
        <v>0</v>
      </c>
    </row>
    <row r="349" spans="1:7" x14ac:dyDescent="0.25">
      <c r="A349" t="s">
        <v>793</v>
      </c>
      <c r="B349" s="2" t="s">
        <v>717</v>
      </c>
      <c r="C349" s="2" t="s">
        <v>718</v>
      </c>
      <c r="D349" s="9"/>
      <c r="E349" s="8">
        <v>3</v>
      </c>
      <c r="F349" s="8">
        <f t="shared" si="5"/>
        <v>3</v>
      </c>
      <c r="G349" s="13">
        <f>F349-'[1]Monthly Incident Counts'!F349</f>
        <v>0</v>
      </c>
    </row>
    <row r="350" spans="1:7" x14ac:dyDescent="0.25">
      <c r="A350" t="s">
        <v>793</v>
      </c>
      <c r="B350" s="2" t="s">
        <v>719</v>
      </c>
      <c r="C350" s="2" t="s">
        <v>720</v>
      </c>
      <c r="D350" s="8">
        <v>91</v>
      </c>
      <c r="E350" s="8">
        <v>81</v>
      </c>
      <c r="F350" s="8">
        <f t="shared" si="5"/>
        <v>172</v>
      </c>
      <c r="G350" s="13">
        <f>F350-'[1]Monthly Incident Counts'!F350</f>
        <v>0</v>
      </c>
    </row>
    <row r="351" spans="1:7" x14ac:dyDescent="0.25">
      <c r="A351" t="s">
        <v>793</v>
      </c>
      <c r="B351" s="2" t="s">
        <v>721</v>
      </c>
      <c r="C351" s="2" t="s">
        <v>722</v>
      </c>
      <c r="D351" s="8">
        <v>219</v>
      </c>
      <c r="E351" s="8">
        <v>239</v>
      </c>
      <c r="F351" s="8">
        <f t="shared" si="5"/>
        <v>458</v>
      </c>
      <c r="G351" s="13">
        <f>F351-'[1]Monthly Incident Counts'!F351</f>
        <v>0</v>
      </c>
    </row>
    <row r="352" spans="1:7" x14ac:dyDescent="0.25">
      <c r="A352" t="s">
        <v>793</v>
      </c>
      <c r="B352" s="2" t="s">
        <v>723</v>
      </c>
      <c r="C352" s="2" t="s">
        <v>724</v>
      </c>
      <c r="D352" s="8">
        <v>16</v>
      </c>
      <c r="E352" s="8">
        <v>13</v>
      </c>
      <c r="F352" s="8">
        <f t="shared" si="5"/>
        <v>29</v>
      </c>
      <c r="G352" s="13">
        <f>F352-'[1]Monthly Incident Counts'!F352</f>
        <v>0</v>
      </c>
    </row>
    <row r="353" spans="1:7" x14ac:dyDescent="0.25">
      <c r="A353" t="s">
        <v>793</v>
      </c>
      <c r="B353" s="2" t="s">
        <v>725</v>
      </c>
      <c r="C353" s="2" t="s">
        <v>726</v>
      </c>
      <c r="D353" s="8">
        <v>161</v>
      </c>
      <c r="E353" s="8">
        <v>180</v>
      </c>
      <c r="F353" s="8">
        <f t="shared" si="5"/>
        <v>341</v>
      </c>
      <c r="G353" s="13">
        <f>F353-'[1]Monthly Incident Counts'!F353</f>
        <v>0</v>
      </c>
    </row>
    <row r="354" spans="1:7" x14ac:dyDescent="0.25">
      <c r="A354" t="s">
        <v>793</v>
      </c>
      <c r="B354" s="2" t="s">
        <v>727</v>
      </c>
      <c r="C354" s="2" t="s">
        <v>728</v>
      </c>
      <c r="D354" s="8">
        <v>119</v>
      </c>
      <c r="E354" s="8">
        <v>97</v>
      </c>
      <c r="F354" s="8">
        <f t="shared" si="5"/>
        <v>216</v>
      </c>
      <c r="G354" s="13">
        <f>F354-'[1]Monthly Incident Counts'!F354</f>
        <v>0</v>
      </c>
    </row>
    <row r="355" spans="1:7" x14ac:dyDescent="0.25">
      <c r="A355" t="s">
        <v>793</v>
      </c>
      <c r="B355" s="2" t="s">
        <v>729</v>
      </c>
      <c r="C355" s="2" t="s">
        <v>730</v>
      </c>
      <c r="D355" s="8">
        <v>27</v>
      </c>
      <c r="E355" s="8">
        <v>29</v>
      </c>
      <c r="F355" s="8">
        <f t="shared" si="5"/>
        <v>56</v>
      </c>
      <c r="G355" s="13">
        <f>F355-'[1]Monthly Incident Counts'!F355</f>
        <v>0</v>
      </c>
    </row>
    <row r="356" spans="1:7" x14ac:dyDescent="0.25">
      <c r="A356" t="s">
        <v>793</v>
      </c>
      <c r="B356" s="2" t="s">
        <v>731</v>
      </c>
      <c r="C356" s="2" t="s">
        <v>732</v>
      </c>
      <c r="D356" s="8">
        <v>75</v>
      </c>
      <c r="E356" s="8">
        <v>73</v>
      </c>
      <c r="F356" s="8">
        <f t="shared" si="5"/>
        <v>148</v>
      </c>
      <c r="G356" s="13">
        <f>F356-'[1]Monthly Incident Counts'!F356</f>
        <v>0</v>
      </c>
    </row>
    <row r="357" spans="1:7" x14ac:dyDescent="0.25">
      <c r="A357" t="s">
        <v>793</v>
      </c>
      <c r="B357" s="2" t="s">
        <v>733</v>
      </c>
      <c r="C357" s="2" t="s">
        <v>734</v>
      </c>
      <c r="D357" s="8">
        <v>12</v>
      </c>
      <c r="E357" s="8">
        <v>25</v>
      </c>
      <c r="F357" s="8">
        <f t="shared" si="5"/>
        <v>37</v>
      </c>
      <c r="G357" s="13">
        <f>F357-'[1]Monthly Incident Counts'!F357</f>
        <v>0</v>
      </c>
    </row>
    <row r="358" spans="1:7" x14ac:dyDescent="0.25">
      <c r="A358" t="s">
        <v>793</v>
      </c>
      <c r="B358" s="2" t="s">
        <v>735</v>
      </c>
      <c r="C358" s="2" t="s">
        <v>736</v>
      </c>
      <c r="D358" s="8">
        <v>288</v>
      </c>
      <c r="E358" s="8">
        <v>314</v>
      </c>
      <c r="F358" s="8">
        <f t="shared" si="5"/>
        <v>602</v>
      </c>
      <c r="G358" s="13">
        <f>F358-'[1]Monthly Incident Counts'!F358</f>
        <v>0</v>
      </c>
    </row>
    <row r="359" spans="1:7" x14ac:dyDescent="0.25">
      <c r="A359" t="s">
        <v>793</v>
      </c>
      <c r="B359" s="2" t="s">
        <v>737</v>
      </c>
      <c r="C359" s="2" t="s">
        <v>738</v>
      </c>
      <c r="D359" s="8">
        <v>10</v>
      </c>
      <c r="E359" s="8">
        <v>15</v>
      </c>
      <c r="F359" s="8">
        <f t="shared" si="5"/>
        <v>25</v>
      </c>
      <c r="G359" s="13">
        <f>F359-'[1]Monthly Incident Counts'!F359</f>
        <v>0</v>
      </c>
    </row>
    <row r="360" spans="1:7" x14ac:dyDescent="0.25">
      <c r="A360" t="s">
        <v>793</v>
      </c>
      <c r="B360" s="2" t="s">
        <v>739</v>
      </c>
      <c r="C360" s="2" t="s">
        <v>740</v>
      </c>
      <c r="D360" s="8">
        <v>304</v>
      </c>
      <c r="E360" s="8">
        <v>317</v>
      </c>
      <c r="F360" s="8">
        <f t="shared" si="5"/>
        <v>621</v>
      </c>
      <c r="G360" s="13">
        <f>F360-'[1]Monthly Incident Counts'!F360</f>
        <v>0</v>
      </c>
    </row>
    <row r="361" spans="1:7" x14ac:dyDescent="0.25">
      <c r="A361" t="s">
        <v>793</v>
      </c>
      <c r="B361" s="2" t="s">
        <v>741</v>
      </c>
      <c r="C361" s="2" t="s">
        <v>742</v>
      </c>
      <c r="D361" s="8">
        <v>17</v>
      </c>
      <c r="E361" s="9"/>
      <c r="F361" s="8">
        <f t="shared" si="5"/>
        <v>17</v>
      </c>
      <c r="G361" s="13">
        <f>F361-'[1]Monthly Incident Counts'!F361</f>
        <v>0</v>
      </c>
    </row>
    <row r="362" spans="1:7" x14ac:dyDescent="0.25">
      <c r="A362" t="s">
        <v>793</v>
      </c>
      <c r="B362" s="2" t="s">
        <v>743</v>
      </c>
      <c r="C362" s="2" t="s">
        <v>744</v>
      </c>
      <c r="D362" s="8">
        <v>108</v>
      </c>
      <c r="E362" s="8">
        <v>119</v>
      </c>
      <c r="F362" s="8">
        <f t="shared" si="5"/>
        <v>227</v>
      </c>
      <c r="G362" s="13">
        <f>F362-'[1]Monthly Incident Counts'!F362</f>
        <v>0</v>
      </c>
    </row>
    <row r="363" spans="1:7" x14ac:dyDescent="0.25">
      <c r="A363" t="s">
        <v>793</v>
      </c>
      <c r="B363" s="2" t="s">
        <v>745</v>
      </c>
      <c r="C363" s="2" t="s">
        <v>746</v>
      </c>
      <c r="D363" s="9"/>
      <c r="E363" s="9"/>
      <c r="F363" s="8">
        <f t="shared" si="5"/>
        <v>0</v>
      </c>
      <c r="G363" s="13">
        <f>F363-'[1]Monthly Incident Counts'!F363</f>
        <v>0</v>
      </c>
    </row>
    <row r="364" spans="1:7" x14ac:dyDescent="0.25">
      <c r="A364" t="s">
        <v>793</v>
      </c>
      <c r="B364" s="2" t="s">
        <v>747</v>
      </c>
      <c r="C364" s="2" t="s">
        <v>748</v>
      </c>
      <c r="D364" s="8">
        <v>66</v>
      </c>
      <c r="E364" s="8">
        <v>74</v>
      </c>
      <c r="F364" s="8">
        <f t="shared" si="5"/>
        <v>140</v>
      </c>
      <c r="G364" s="13">
        <f>F364-'[1]Monthly Incident Counts'!F364</f>
        <v>0</v>
      </c>
    </row>
    <row r="365" spans="1:7" x14ac:dyDescent="0.25">
      <c r="A365" t="s">
        <v>793</v>
      </c>
      <c r="B365" s="2" t="s">
        <v>749</v>
      </c>
      <c r="C365" s="2" t="s">
        <v>750</v>
      </c>
      <c r="D365" s="8">
        <v>1</v>
      </c>
      <c r="E365" s="9"/>
      <c r="F365" s="8">
        <f>SUM(D365:E365)</f>
        <v>1</v>
      </c>
      <c r="G365" s="13">
        <f>F365-'[1]Monthly Incident Counts'!F365</f>
        <v>0</v>
      </c>
    </row>
    <row r="366" spans="1:7" x14ac:dyDescent="0.25">
      <c r="A366" t="s">
        <v>793</v>
      </c>
      <c r="B366" s="2" t="s">
        <v>751</v>
      </c>
      <c r="C366" s="2" t="s">
        <v>752</v>
      </c>
      <c r="D366" s="8">
        <v>86</v>
      </c>
      <c r="E366" s="8">
        <v>111</v>
      </c>
      <c r="F366" s="8">
        <f t="shared" ref="F366:F375" si="6">SUM(D366:E366)</f>
        <v>197</v>
      </c>
      <c r="G366" s="13">
        <f>F366-'[1]Monthly Incident Counts'!F366</f>
        <v>0</v>
      </c>
    </row>
    <row r="367" spans="1:7" x14ac:dyDescent="0.25">
      <c r="A367" t="s">
        <v>793</v>
      </c>
      <c r="B367" s="2" t="s">
        <v>753</v>
      </c>
      <c r="C367" s="2" t="s">
        <v>754</v>
      </c>
      <c r="D367" s="9"/>
      <c r="E367" s="9"/>
      <c r="F367" s="8">
        <f t="shared" si="6"/>
        <v>0</v>
      </c>
      <c r="G367" s="13">
        <f>F367-'[1]Monthly Incident Counts'!F367</f>
        <v>0</v>
      </c>
    </row>
    <row r="368" spans="1:7" x14ac:dyDescent="0.25">
      <c r="A368" t="s">
        <v>793</v>
      </c>
      <c r="B368" s="2" t="s">
        <v>755</v>
      </c>
      <c r="C368" s="2" t="s">
        <v>756</v>
      </c>
      <c r="D368" s="9"/>
      <c r="E368" s="9"/>
      <c r="F368" s="8">
        <f t="shared" si="6"/>
        <v>0</v>
      </c>
      <c r="G368" s="13">
        <f>F368-'[1]Monthly Incident Counts'!F368</f>
        <v>0</v>
      </c>
    </row>
    <row r="369" spans="1:7" x14ac:dyDescent="0.25">
      <c r="A369" t="s">
        <v>793</v>
      </c>
      <c r="B369" s="2" t="s">
        <v>757</v>
      </c>
      <c r="C369" s="2" t="s">
        <v>758</v>
      </c>
      <c r="D369" s="8">
        <v>309</v>
      </c>
      <c r="E369" s="8">
        <v>309</v>
      </c>
      <c r="F369" s="8">
        <f t="shared" si="6"/>
        <v>618</v>
      </c>
      <c r="G369" s="13">
        <f>F369-'[1]Monthly Incident Counts'!F369</f>
        <v>0</v>
      </c>
    </row>
    <row r="370" spans="1:7" x14ac:dyDescent="0.25">
      <c r="A370" t="s">
        <v>793</v>
      </c>
      <c r="B370" s="2" t="s">
        <v>759</v>
      </c>
      <c r="C370" s="2" t="s">
        <v>760</v>
      </c>
      <c r="D370" s="8">
        <v>60</v>
      </c>
      <c r="E370" s="8">
        <v>62</v>
      </c>
      <c r="F370" s="8">
        <f t="shared" si="6"/>
        <v>122</v>
      </c>
      <c r="G370" s="13">
        <f>F370-'[1]Monthly Incident Counts'!F370</f>
        <v>0</v>
      </c>
    </row>
    <row r="371" spans="1:7" x14ac:dyDescent="0.25">
      <c r="A371" t="s">
        <v>793</v>
      </c>
      <c r="B371" s="2" t="s">
        <v>761</v>
      </c>
      <c r="C371" s="2" t="s">
        <v>762</v>
      </c>
      <c r="D371" s="8">
        <v>133</v>
      </c>
      <c r="E371" s="8">
        <v>96</v>
      </c>
      <c r="F371" s="8">
        <f t="shared" si="6"/>
        <v>229</v>
      </c>
      <c r="G371" s="13">
        <f>F371-'[1]Monthly Incident Counts'!F371</f>
        <v>0</v>
      </c>
    </row>
    <row r="372" spans="1:7" x14ac:dyDescent="0.25">
      <c r="A372" t="s">
        <v>793</v>
      </c>
      <c r="B372" s="2" t="s">
        <v>763</v>
      </c>
      <c r="C372" s="2" t="s">
        <v>764</v>
      </c>
      <c r="D372" s="8">
        <v>433</v>
      </c>
      <c r="E372" s="8">
        <v>365</v>
      </c>
      <c r="F372" s="8">
        <f t="shared" si="6"/>
        <v>798</v>
      </c>
      <c r="G372" s="13">
        <f>F372-'[1]Monthly Incident Counts'!F372</f>
        <v>0</v>
      </c>
    </row>
    <row r="373" spans="1:7" x14ac:dyDescent="0.25">
      <c r="A373" t="s">
        <v>793</v>
      </c>
      <c r="B373" s="2" t="s">
        <v>765</v>
      </c>
      <c r="C373" s="2" t="s">
        <v>766</v>
      </c>
      <c r="D373" s="8">
        <v>29</v>
      </c>
      <c r="E373" s="9"/>
      <c r="F373" s="8">
        <f t="shared" si="6"/>
        <v>29</v>
      </c>
      <c r="G373" s="13">
        <f>F373-'[1]Monthly Incident Counts'!F373</f>
        <v>0</v>
      </c>
    </row>
    <row r="374" spans="1:7" x14ac:dyDescent="0.25">
      <c r="A374" t="s">
        <v>793</v>
      </c>
      <c r="B374" s="2" t="s">
        <v>767</v>
      </c>
      <c r="C374" s="2" t="s">
        <v>768</v>
      </c>
      <c r="D374" s="8">
        <v>469</v>
      </c>
      <c r="E374" s="8">
        <v>473</v>
      </c>
      <c r="F374" s="8">
        <f t="shared" si="6"/>
        <v>942</v>
      </c>
      <c r="G374" s="13">
        <f>F374-'[1]Monthly Incident Counts'!F374</f>
        <v>0</v>
      </c>
    </row>
    <row r="375" spans="1:7" x14ac:dyDescent="0.25">
      <c r="A375" s="6" t="s">
        <v>794</v>
      </c>
      <c r="B375" s="6" t="s">
        <v>769</v>
      </c>
      <c r="C375" s="6"/>
      <c r="D375" s="10">
        <v>100330</v>
      </c>
      <c r="E375" s="10">
        <v>103285</v>
      </c>
      <c r="F375" s="12">
        <f t="shared" si="6"/>
        <v>203615</v>
      </c>
      <c r="G375" s="12">
        <f>F375-'[1]Monthly Incident Counts'!F375</f>
        <v>3</v>
      </c>
    </row>
  </sheetData>
  <autoFilter ref="A1:G375" xr:uid="{F3EB5B06-F73D-4112-B0A9-BFB27047A1C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Incident Counts</vt:lpstr>
      <vt:lpstr>Legend</vt:lpstr>
      <vt:lpstr>Monthly Incident Counts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2026-08-10T16:03:22Z</dcterms:created>
  <dcterms:modified xsi:type="dcterms:W3CDTF">2026-08-10T16:17:31Z</dcterms:modified>
</cp:coreProperties>
</file>