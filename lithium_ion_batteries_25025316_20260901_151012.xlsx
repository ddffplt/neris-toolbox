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Details" sheetId="1" state="visible" r:id="rId1"/>
    <sheet name="Summary" sheetId="2" state="visible" r:id="rId2"/>
    <sheet name="Report Source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32" customWidth="1" min="4" max="4"/>
    <col width="34" customWidth="1" min="5" max="5"/>
    <col width="39" customWidth="1" min="6" max="6"/>
    <col width="38" customWidth="1" min="7" max="7"/>
    <col width="33" customWidth="1" min="8" max="8"/>
    <col width="17" customWidth="1" min="9" max="9"/>
    <col width="60" customWidth="1" min="10" max="10"/>
    <col width="54" customWidth="1" min="11" max="11"/>
    <col width="31" customWidth="1" min="12" max="12"/>
    <col width="34" customWidth="1" min="13" max="13"/>
    <col width="12" customWidth="1" min="14" max="14"/>
    <col width="12" customWidth="1" min="15" max="15"/>
    <col width="12" customWidth="1" min="16" max="16"/>
    <col width="12" customWidth="1" min="17" max="17"/>
    <col width="56" customWidth="1" min="18" max="18"/>
    <col width="24" customWidth="1" min="19" max="19"/>
    <col width="12" customWidth="1" min="20" max="20"/>
    <col width="12" customWidth="1" min="21" max="21"/>
    <col width="34" customWidth="1" min="22" max="22"/>
    <col width="46" customWidth="1" min="23" max="23"/>
    <col width="44" customWidth="1" min="24" max="24"/>
    <col width="25" customWidth="1" min="25" max="25"/>
    <col width="21" customWidth="1" min="26" max="26"/>
    <col width="22" customWidth="1" min="27" max="27"/>
    <col width="17" customWidth="1" min="28" max="28"/>
    <col width="60" customWidth="1" min="29" max="29"/>
    <col width="31" customWidth="1" min="30" max="30"/>
    <col width="40" customWidth="1" min="31" max="31"/>
    <col width="56" customWidth="1" min="32" max="32"/>
    <col width="31" customWidth="1" min="33" max="33"/>
    <col width="14" customWidth="1" min="34" max="34"/>
    <col width="18" customWidth="1" min="35" max="35"/>
    <col width="21" customWidth="1" min="36" max="36"/>
    <col width="15" customWidth="1" min="37" max="37"/>
    <col width="17" customWidth="1" min="38" max="38"/>
    <col width="22" customWidth="1" min="39" max="39"/>
    <col width="25" customWidth="1" min="40" max="40"/>
    <col width="22" customWidth="1" min="41" max="41"/>
    <col width="17" customWidth="1" min="42" max="42"/>
    <col width="16" customWidth="1" min="43" max="43"/>
    <col width="14" customWidth="1" min="44" max="44"/>
    <col width="19" customWidth="1" min="45" max="45"/>
    <col width="17" customWidth="1" min="46" max="46"/>
    <col width="19" customWidth="1" min="47" max="47"/>
    <col width="20" customWidth="1" min="48" max="48"/>
    <col width="22" customWidth="1" min="49" max="49"/>
  </cols>
  <sheetData>
    <row r="1">
      <c r="A1" s="1" t="inlineStr">
        <is>
          <t>Entity ID</t>
        </is>
      </c>
      <c r="B1" s="1" t="inlineStr">
        <is>
          <t>Department Name</t>
        </is>
      </c>
      <c r="C1" s="1" t="inlineStr">
        <is>
          <t>Incident Date/Time (UTC)</t>
        </is>
      </c>
      <c r="D1" s="1" t="inlineStr">
        <is>
          <t>Incident Date</t>
        </is>
      </c>
      <c r="E1" s="1" t="inlineStr">
        <is>
          <t>Incident Time</t>
        </is>
      </c>
      <c r="F1" s="1" t="inlineStr">
        <is>
          <t>Incident Month</t>
        </is>
      </c>
      <c r="G1" s="1" t="inlineStr">
        <is>
          <t>Incident Year</t>
        </is>
      </c>
      <c r="H1" s="1" t="inlineStr">
        <is>
          <t>Incident Hour</t>
        </is>
      </c>
      <c r="I1" s="1" t="inlineStr">
        <is>
          <t>Incident Number</t>
        </is>
      </c>
      <c r="J1" s="1" t="inlineStr">
        <is>
          <t>Primary Incident Type</t>
        </is>
      </c>
      <c r="K1" s="1" t="inlineStr">
        <is>
          <t>Secondary Incident Type</t>
        </is>
      </c>
      <c r="L1" s="1" t="inlineStr">
        <is>
          <t>Tertiary Incident Type</t>
        </is>
      </c>
      <c r="M1" s="1" t="inlineStr">
        <is>
          <t>Address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 Code</t>
        </is>
      </c>
      <c r="Q1" s="1" t="inlineStr">
        <is>
          <t>County</t>
        </is>
      </c>
      <c r="R1" s="1" t="inlineStr">
        <is>
          <t>Primary Location Use</t>
        </is>
      </c>
      <c r="S1" s="1" t="inlineStr">
        <is>
          <t>Secondary Location Use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NERIS ID</t>
        </is>
      </c>
      <c r="W1" s="1" t="inlineStr">
        <is>
          <t>Structure Fire Cause - Battery_Power_storage</t>
        </is>
      </c>
      <c r="X1" s="1" t="inlineStr">
        <is>
          <t>Outside Fire Cause - Battery_Power_storage</t>
        </is>
      </c>
      <c r="Y1" s="1" t="inlineStr">
        <is>
          <t>Electric Vehicle Status</t>
        </is>
      </c>
      <c r="Z1" s="1" t="inlineStr">
        <is>
          <t>Electric Reignition</t>
        </is>
      </c>
      <c r="AA1" s="1" t="inlineStr">
        <is>
          <t>Electric Suppression</t>
        </is>
      </c>
      <c r="AB1" s="1" t="inlineStr">
        <is>
          <t>Electric Target</t>
        </is>
      </c>
      <c r="AC1" s="1" t="inlineStr">
        <is>
          <t>Electric Hazard Types</t>
        </is>
      </c>
      <c r="AD1" s="1" t="inlineStr">
        <is>
          <t>Electric Hazard Source/Target</t>
        </is>
      </c>
      <c r="AE1" s="1" t="inlineStr">
        <is>
          <t>Electric Hazard Electrification Hazard</t>
        </is>
      </c>
      <c r="AF1" s="1" t="inlineStr">
        <is>
          <t>Electric Hazard Battery Powered/Stored Energy Category</t>
        </is>
      </c>
      <c r="AG1" s="1" t="inlineStr">
        <is>
          <t>Electric Hazard Specific Type</t>
        </is>
      </c>
      <c r="AH1" s="1" t="inlineStr">
        <is>
          <t>Product Type</t>
        </is>
      </c>
      <c r="AI1" s="1" t="inlineStr">
        <is>
          <t>Original Battery</t>
        </is>
      </c>
      <c r="AJ1" s="1" t="inlineStr">
        <is>
          <t>Installation Status</t>
        </is>
      </c>
      <c r="AK1" s="1" t="inlineStr">
        <is>
          <t>Safety Listed</t>
        </is>
      </c>
      <c r="AL1" s="1" t="inlineStr">
        <is>
          <t>Vehicle Battery</t>
        </is>
      </c>
      <c r="AM1" s="1" t="inlineStr">
        <is>
          <t>Charging at Ignition</t>
        </is>
      </c>
      <c r="AN1" s="1" t="inlineStr">
        <is>
          <t>Incident Indoor/Outdoor</t>
        </is>
      </c>
      <c r="AO1" s="1" t="inlineStr">
        <is>
          <t>Impacted from Source</t>
        </is>
      </c>
      <c r="AP1" s="1" t="inlineStr">
        <is>
          <t>Thermal Runaway</t>
        </is>
      </c>
      <c r="AQ1" s="1" t="inlineStr">
        <is>
          <t>FD Suppression</t>
        </is>
      </c>
      <c r="AR1" s="1" t="inlineStr">
        <is>
          <t>Battery Cell</t>
        </is>
      </c>
      <c r="AS1" s="1" t="inlineStr">
        <is>
          <t>Battery Chemistry</t>
        </is>
      </c>
      <c r="AT1" s="1" t="inlineStr">
        <is>
          <t>Civilian Deaths</t>
        </is>
      </c>
      <c r="AU1" s="1" t="inlineStr">
        <is>
          <t>Civilian Injuries</t>
        </is>
      </c>
      <c r="AV1" s="1" t="inlineStr">
        <is>
          <t>Firefighter Deaths</t>
        </is>
      </c>
      <c r="AW1" s="1" t="inlineStr">
        <is>
          <t>Firefighter Injuries</t>
        </is>
      </c>
    </row>
    <row r="2">
      <c r="A2" t="inlineStr">
        <is>
          <t>FD25025316</t>
        </is>
      </c>
      <c r="B2" t="inlineStr"/>
      <c r="C2" t="inlineStr">
        <is>
          <t>2026-09-01T02:54:51+00:00</t>
        </is>
      </c>
      <c r="D2" s="2">
        <f>IF(C2="","",INT(VALUE(C2)))</f>
        <v/>
      </c>
      <c r="E2" s="3">
        <f>IF(C2="","",MOD(VALUE(C2),1))</f>
        <v/>
      </c>
      <c r="F2">
        <f>IF(C2="","",MONTH(INT(VALUE(C2))))</f>
        <v/>
      </c>
      <c r="G2">
        <f>IF(C2="","",YEAR(INT(VALUE(C2))))</f>
        <v/>
      </c>
      <c r="H2">
        <f>IF(C2="","",HOUR(VALUE(C2)))</f>
        <v/>
      </c>
      <c r="I2" t="inlineStr">
        <is>
          <t>26-0062237</t>
        </is>
      </c>
      <c r="J2" t="inlineStr">
        <is>
          <t>HAZSIT||HAZARD_NONCHEM||ELEC_HAZARD_SHORT_CIRCUIT</t>
        </is>
      </c>
      <c r="K2" t="inlineStr"/>
      <c r="L2" t="inlineStr"/>
      <c r="M2" t="inlineStr">
        <is>
          <t>HAMILTON ST</t>
        </is>
      </c>
      <c r="N2" t="inlineStr"/>
      <c r="O2" t="inlineStr">
        <is>
          <t>MA</t>
        </is>
      </c>
      <c r="P2" t="inlineStr">
        <is>
          <t>02125</t>
        </is>
      </c>
      <c r="Q2" t="inlineStr">
        <is>
          <t>SUFFOLK</t>
        </is>
      </c>
      <c r="R2" t="inlineStr">
        <is>
          <t>RESIDENTIAL||MULTI_FAMILY_LOWRISE_DWELLING</t>
        </is>
      </c>
      <c r="S2" t="inlineStr"/>
      <c r="T2" t="inlineStr"/>
      <c r="U2" t="inlineStr"/>
      <c r="V2" t="inlineStr">
        <is>
          <t>FD25025316|26-0062237|1788231291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CONSUMER_PRODUCTS||OTHER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FD25025316</t>
        </is>
      </c>
      <c r="B3" t="inlineStr"/>
      <c r="C3" t="inlineStr">
        <is>
          <t>2026-08-31T13:01:06+00:00</t>
        </is>
      </c>
      <c r="D3" s="2">
        <f>IF(C3="","",INT(VALUE(C3)))</f>
        <v/>
      </c>
      <c r="E3" s="3">
        <f>IF(C3="","",MOD(VALUE(C3),1))</f>
        <v/>
      </c>
      <c r="F3">
        <f>IF(C3="","",MONTH(INT(VALUE(C3))))</f>
        <v/>
      </c>
      <c r="G3">
        <f>IF(C3="","",YEAR(INT(VALUE(C3))))</f>
        <v/>
      </c>
      <c r="H3">
        <f>IF(C3="","",HOUR(VALUE(C3)))</f>
        <v/>
      </c>
      <c r="I3" t="inlineStr">
        <is>
          <t>26-0062028</t>
        </is>
      </c>
      <c r="J3" t="inlineStr">
        <is>
          <t>FIRE||STRUCTURE_FIRE||STRUCTURAL_INVOLVEMENT_FIRE</t>
        </is>
      </c>
      <c r="K3" t="inlineStr"/>
      <c r="L3" t="inlineStr"/>
      <c r="M3" t="inlineStr">
        <is>
          <t>N BEACON ST</t>
        </is>
      </c>
      <c r="N3" t="inlineStr"/>
      <c r="O3" t="inlineStr">
        <is>
          <t>MA</t>
        </is>
      </c>
      <c r="P3" t="inlineStr">
        <is>
          <t>02135</t>
        </is>
      </c>
      <c r="Q3" t="inlineStr">
        <is>
          <t>SUFFOLK</t>
        </is>
      </c>
      <c r="R3" t="inlineStr">
        <is>
          <t>RESIDENTIAL||MULTI_FAMILY_LOWRISE_DWELLING</t>
        </is>
      </c>
      <c r="S3" t="inlineStr"/>
      <c r="T3" t="inlineStr"/>
      <c r="U3" t="inlineStr"/>
      <c r="V3" t="inlineStr">
        <is>
          <t>FD25025316|26-0062028|1788181266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E_MOBILITY||ELECTRIC_SCOOTER_MOPED</t>
        </is>
      </c>
      <c r="AD3" t="inlineStr">
        <is>
          <t>UNKNOWN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FD25025316</t>
        </is>
      </c>
      <c r="B4" t="inlineStr"/>
      <c r="C4" t="inlineStr">
        <is>
          <t>2026-08-28T04:22:03+00:00</t>
        </is>
      </c>
      <c r="D4" s="2">
        <f>IF(C4="","",INT(VALUE(C4)))</f>
        <v/>
      </c>
      <c r="E4" s="3">
        <f>IF(C4="","",MOD(VALUE(C4),1))</f>
        <v/>
      </c>
      <c r="F4">
        <f>IF(C4="","",MONTH(INT(VALUE(C4))))</f>
        <v/>
      </c>
      <c r="G4">
        <f>IF(C4="","",YEAR(INT(VALUE(C4))))</f>
        <v/>
      </c>
      <c r="H4">
        <f>IF(C4="","",HOUR(VALUE(C4)))</f>
        <v/>
      </c>
      <c r="I4" t="inlineStr">
        <is>
          <t>26-0061151</t>
        </is>
      </c>
      <c r="J4" t="inlineStr">
        <is>
          <t>FIRE||STRUCTURE_FIRE||CONFINED_COOKING_APPLIANCE_FIRE</t>
        </is>
      </c>
      <c r="K4" t="inlineStr"/>
      <c r="L4" t="inlineStr"/>
      <c r="M4" t="inlineStr">
        <is>
          <t>HARRISON AVE</t>
        </is>
      </c>
      <c r="N4" t="inlineStr"/>
      <c r="O4" t="inlineStr">
        <is>
          <t>MA</t>
        </is>
      </c>
      <c r="P4" t="inlineStr">
        <is>
          <t>02118</t>
        </is>
      </c>
      <c r="Q4" t="inlineStr">
        <is>
          <t>SUFFOLK</t>
        </is>
      </c>
      <c r="R4" t="inlineStr">
        <is>
          <t>RESIDENTIAL||MULTI_FAMILY_HIGHRISE_DWELLING</t>
        </is>
      </c>
      <c r="S4" t="inlineStr"/>
      <c r="T4" t="inlineStr"/>
      <c r="U4" t="inlineStr"/>
      <c r="V4" t="inlineStr">
        <is>
          <t>FD25025316|26-0061151|1787890923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CONSUMER_PRODUCTS||APPLIANCE_TOOL</t>
        </is>
      </c>
      <c r="AD4" t="inlineStr">
        <is>
          <t>UNKNOWN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FD25025316</t>
        </is>
      </c>
      <c r="B5" t="inlineStr"/>
      <c r="C5" t="inlineStr">
        <is>
          <t>2026-08-27T17:24:00+00:00</t>
        </is>
      </c>
      <c r="D5" s="2">
        <f>IF(C5="","",INT(VALUE(C5)))</f>
        <v/>
      </c>
      <c r="E5" s="3">
        <f>IF(C5="","",MOD(VALUE(C5),1))</f>
        <v/>
      </c>
      <c r="F5">
        <f>IF(C5="","",MONTH(INT(VALUE(C5))))</f>
        <v/>
      </c>
      <c r="G5">
        <f>IF(C5="","",YEAR(INT(VALUE(C5))))</f>
        <v/>
      </c>
      <c r="H5">
        <f>IF(C5="","",HOUR(VALUE(C5)))</f>
        <v/>
      </c>
      <c r="I5" t="inlineStr">
        <is>
          <t>26-0061002</t>
        </is>
      </c>
      <c r="J5" t="inlineStr">
        <is>
          <t>HAZSIT||OVERPRESSURE||RUPTURE_WITHOUT_FIRE</t>
        </is>
      </c>
      <c r="K5" t="inlineStr">
        <is>
          <t>NOEMERG||GOOD_INTENT||INVESTIGATE_HAZARDOUS_RELEASE</t>
        </is>
      </c>
      <c r="L5" t="inlineStr"/>
      <c r="M5" t="inlineStr">
        <is>
          <t>BOYLSTON ST</t>
        </is>
      </c>
      <c r="N5" t="inlineStr"/>
      <c r="O5" t="inlineStr">
        <is>
          <t>MA</t>
        </is>
      </c>
      <c r="P5" t="inlineStr">
        <is>
          <t>02130</t>
        </is>
      </c>
      <c r="Q5" t="inlineStr">
        <is>
          <t>SUFFOLK</t>
        </is>
      </c>
      <c r="R5" t="inlineStr">
        <is>
          <t>RESIDENTIAL||MULTI_FAMILY_LOWRISE_DWELLING</t>
        </is>
      </c>
      <c r="S5" t="inlineStr"/>
      <c r="T5" t="inlineStr"/>
      <c r="U5" t="inlineStr"/>
      <c r="V5" t="inlineStr">
        <is>
          <t>FD25025316|26-0061002|1787851440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CONSUMER_PRODUCTS||POWER_BANK</t>
        </is>
      </c>
      <c r="AD5" t="inlineStr">
        <is>
          <t>SOURCE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FD25025316</t>
        </is>
      </c>
      <c r="B6" t="inlineStr"/>
      <c r="C6" t="inlineStr">
        <is>
          <t>2026-08-24T21:37:11+00:00</t>
        </is>
      </c>
      <c r="D6" s="2">
        <f>IF(C6="","",INT(VALUE(C6)))</f>
        <v/>
      </c>
      <c r="E6" s="3">
        <f>IF(C6="","",MOD(VALUE(C6),1))</f>
        <v/>
      </c>
      <c r="F6">
        <f>IF(C6="","",MONTH(INT(VALUE(C6))))</f>
        <v/>
      </c>
      <c r="G6">
        <f>IF(C6="","",YEAR(INT(VALUE(C6))))</f>
        <v/>
      </c>
      <c r="H6">
        <f>IF(C6="","",HOUR(VALUE(C6)))</f>
        <v/>
      </c>
      <c r="I6" t="inlineStr">
        <is>
          <t>26-0060313</t>
        </is>
      </c>
      <c r="J6" t="inlineStr">
        <is>
          <t>HAZSIT||OVERPRESSURE||NO_RUPTURE</t>
        </is>
      </c>
      <c r="K6" t="inlineStr"/>
      <c r="L6" t="inlineStr"/>
      <c r="M6" t="inlineStr">
        <is>
          <t>COLUMBIA RD</t>
        </is>
      </c>
      <c r="N6" t="inlineStr"/>
      <c r="O6" t="inlineStr">
        <is>
          <t>MA</t>
        </is>
      </c>
      <c r="P6" t="inlineStr">
        <is>
          <t>02127</t>
        </is>
      </c>
      <c r="Q6" t="inlineStr">
        <is>
          <t>SUFFOLK</t>
        </is>
      </c>
      <c r="R6" t="inlineStr">
        <is>
          <t>ROADWAY_ACCESS||STREET</t>
        </is>
      </c>
      <c r="S6" t="inlineStr"/>
      <c r="T6" t="inlineStr"/>
      <c r="U6" t="inlineStr"/>
      <c r="V6" t="inlineStr">
        <is>
          <t>FD25025316|26-0060313|1787607431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CONSUMER_PRODUCTS||OTHER</t>
        </is>
      </c>
      <c r="AD6" t="inlineStr">
        <is>
          <t>SOURCE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FD25025316</t>
        </is>
      </c>
      <c r="B7" t="inlineStr"/>
      <c r="C7" t="inlineStr">
        <is>
          <t>2026-08-24T10:44:00+00:00</t>
        </is>
      </c>
      <c r="D7" s="2">
        <f>IF(C7="","",INT(VALUE(C7)))</f>
        <v/>
      </c>
      <c r="E7" s="3">
        <f>IF(C7="","",MOD(VALUE(C7),1))</f>
        <v/>
      </c>
      <c r="F7">
        <f>IF(C7="","",MONTH(INT(VALUE(C7))))</f>
        <v/>
      </c>
      <c r="G7">
        <f>IF(C7="","",YEAR(INT(VALUE(C7))))</f>
        <v/>
      </c>
      <c r="H7">
        <f>IF(C7="","",HOUR(VALUE(C7)))</f>
        <v/>
      </c>
      <c r="I7" t="inlineStr">
        <is>
          <t>26-0060150</t>
        </is>
      </c>
      <c r="J7" t="inlineStr">
        <is>
          <t>FIRE||OUTSIDE_FIRE||UTILITY_INFRASTRUCTURE_FIRE</t>
        </is>
      </c>
      <c r="K7" t="inlineStr"/>
      <c r="L7" t="inlineStr"/>
      <c r="M7" t="inlineStr">
        <is>
          <t>FREEPORT ST / ELLSWORTH ST</t>
        </is>
      </c>
      <c r="N7" t="inlineStr"/>
      <c r="O7" t="inlineStr">
        <is>
          <t>MA</t>
        </is>
      </c>
      <c r="P7" t="inlineStr">
        <is>
          <t>02122</t>
        </is>
      </c>
      <c r="Q7" t="inlineStr">
        <is>
          <t>SUFFOLK</t>
        </is>
      </c>
      <c r="R7" t="inlineStr">
        <is>
          <t>ROADWAY_ACCESS||STREET</t>
        </is>
      </c>
      <c r="S7" t="inlineStr"/>
      <c r="T7" t="inlineStr"/>
      <c r="U7" t="inlineStr"/>
      <c r="V7" t="inlineStr">
        <is>
          <t>FD25025316|26-0060150|1787568240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ENERGY_STORAGE_SYSTEM||OTHER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FD25025316</t>
        </is>
      </c>
      <c r="B8" t="inlineStr"/>
      <c r="C8" t="inlineStr">
        <is>
          <t>2026-08-18T16:12:58+00:00</t>
        </is>
      </c>
      <c r="D8" s="2">
        <f>IF(C8="","",INT(VALUE(C8)))</f>
        <v/>
      </c>
      <c r="E8" s="3">
        <f>IF(C8="","",MOD(VALUE(C8),1))</f>
        <v/>
      </c>
      <c r="F8">
        <f>IF(C8="","",MONTH(INT(VALUE(C8))))</f>
        <v/>
      </c>
      <c r="G8">
        <f>IF(C8="","",YEAR(INT(VALUE(C8))))</f>
        <v/>
      </c>
      <c r="H8">
        <f>IF(C8="","",HOUR(VALUE(C8)))</f>
        <v/>
      </c>
      <c r="I8" t="inlineStr">
        <is>
          <t>26-0058698</t>
        </is>
      </c>
      <c r="J8" t="inlineStr">
        <is>
          <t>HAZSIT||HAZARD_NONCHEM||ELEC_HAZARD_SHORT_CIRCUIT</t>
        </is>
      </c>
      <c r="K8" t="inlineStr">
        <is>
          <t>PUBSERV||CITIZEN_ASSIST||CITIZEN_ASSIST_SERVICE_CALL</t>
        </is>
      </c>
      <c r="L8" t="inlineStr">
        <is>
          <t>FIRE||SPECIAL_FIRE||EXPLOSION</t>
        </is>
      </c>
      <c r="M8" t="inlineStr">
        <is>
          <t>S HUNTINGTON AVE</t>
        </is>
      </c>
      <c r="N8" t="inlineStr"/>
      <c r="O8" t="inlineStr">
        <is>
          <t>MA</t>
        </is>
      </c>
      <c r="P8" t="inlineStr">
        <is>
          <t>02130</t>
        </is>
      </c>
      <c r="Q8" t="inlineStr">
        <is>
          <t>SUFFOLK</t>
        </is>
      </c>
      <c r="R8" t="inlineStr">
        <is>
          <t>ROADWAY_ACCESS||SIDEWALK</t>
        </is>
      </c>
      <c r="S8" t="inlineStr"/>
      <c r="T8" t="inlineStr"/>
      <c r="U8" t="inlineStr"/>
      <c r="V8" t="inlineStr">
        <is>
          <t>FD25025316|26-0058698|1787069578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CONSUMER_PRODUCTS||APPLIANCE_TOOL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FD25025316</t>
        </is>
      </c>
      <c r="B9" t="inlineStr"/>
      <c r="C9" t="inlineStr">
        <is>
          <t>2026-08-18T14:49:09+00:00</t>
        </is>
      </c>
      <c r="D9" s="2">
        <f>IF(C9="","",INT(VALUE(C9)))</f>
        <v/>
      </c>
      <c r="E9" s="3">
        <f>IF(C9="","",MOD(VALUE(C9),1))</f>
        <v/>
      </c>
      <c r="F9">
        <f>IF(C9="","",MONTH(INT(VALUE(C9))))</f>
        <v/>
      </c>
      <c r="G9">
        <f>IF(C9="","",YEAR(INT(VALUE(C9))))</f>
        <v/>
      </c>
      <c r="H9">
        <f>IF(C9="","",HOUR(VALUE(C9)))</f>
        <v/>
      </c>
      <c r="I9" t="inlineStr">
        <is>
          <t>26-0058670</t>
        </is>
      </c>
      <c r="J9" t="inlineStr">
        <is>
          <t>HAZSIT||HAZARD_NONCHEM||ELEC_HAZARD_SHORT_CIRCUIT</t>
        </is>
      </c>
      <c r="K9" t="inlineStr"/>
      <c r="L9" t="inlineStr"/>
      <c r="M9" t="inlineStr">
        <is>
          <t>S HUNTINGTON AVE</t>
        </is>
      </c>
      <c r="N9" t="inlineStr"/>
      <c r="O9" t="inlineStr">
        <is>
          <t>MA</t>
        </is>
      </c>
      <c r="P9" t="inlineStr">
        <is>
          <t>02130</t>
        </is>
      </c>
      <c r="Q9" t="inlineStr">
        <is>
          <t>SUFFOLK</t>
        </is>
      </c>
      <c r="R9" t="inlineStr">
        <is>
          <t>RESIDENTIAL||MULTI_FAMILY_LOWRISE_DWELLING</t>
        </is>
      </c>
      <c r="S9" t="inlineStr"/>
      <c r="T9" t="inlineStr"/>
      <c r="U9" t="inlineStr"/>
      <c r="V9" t="inlineStr">
        <is>
          <t>FD25025316|26-0058670|1787064549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CONSUMER_PRODUCTS||APPLIANCE_TOOL</t>
        </is>
      </c>
      <c r="AD9" t="inlineStr">
        <is>
          <t>SOURCE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FD25025316</t>
        </is>
      </c>
      <c r="B10" t="inlineStr"/>
      <c r="C10" t="inlineStr">
        <is>
          <t>2026-08-17T05:42:09+00:00</t>
        </is>
      </c>
      <c r="D10" s="2">
        <f>IF(C10="","",INT(VALUE(C10)))</f>
        <v/>
      </c>
      <c r="E10" s="3">
        <f>IF(C10="","",MOD(VALUE(C10),1))</f>
        <v/>
      </c>
      <c r="F10">
        <f>IF(C10="","",MONTH(INT(VALUE(C10))))</f>
        <v/>
      </c>
      <c r="G10">
        <f>IF(C10="","",YEAR(INT(VALUE(C10))))</f>
        <v/>
      </c>
      <c r="H10">
        <f>IF(C10="","",HOUR(VALUE(C10)))</f>
        <v/>
      </c>
      <c r="I10" t="inlineStr">
        <is>
          <t>26-0058323</t>
        </is>
      </c>
      <c r="J10" t="inlineStr">
        <is>
          <t>HAZSIT||HAZARD_NONCHEM||MOTOR_VEHICLE_COLLISION</t>
        </is>
      </c>
      <c r="K10" t="inlineStr"/>
      <c r="L10" t="inlineStr"/>
      <c r="M10" t="inlineStr">
        <is>
          <t>BRAY ST / COLUMBUS AVE</t>
        </is>
      </c>
      <c r="N10" t="inlineStr"/>
      <c r="O10" t="inlineStr">
        <is>
          <t>MA</t>
        </is>
      </c>
      <c r="P10" t="inlineStr">
        <is>
          <t>02119</t>
        </is>
      </c>
      <c r="Q10" t="inlineStr">
        <is>
          <t>SUFFOLK</t>
        </is>
      </c>
      <c r="R10" t="inlineStr">
        <is>
          <t>RESIDENTIAL||DETATCHED_GARAGE</t>
        </is>
      </c>
      <c r="S10" t="inlineStr"/>
      <c r="T10" t="inlineStr"/>
      <c r="U10" t="inlineStr"/>
      <c r="V10" t="inlineStr">
        <is>
          <t>FD25025316|26-0058323|1786945329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CONSUMER_PRODUCTS||OTHER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FD25025316</t>
        </is>
      </c>
      <c r="B11" t="inlineStr"/>
      <c r="C11" t="inlineStr">
        <is>
          <t>2026-08-13T11:19:33+00:00</t>
        </is>
      </c>
      <c r="D11" s="2">
        <f>IF(C11="","",INT(VALUE(C11)))</f>
        <v/>
      </c>
      <c r="E11" s="3">
        <f>IF(C11="","",MOD(VALUE(C11),1))</f>
        <v/>
      </c>
      <c r="F11">
        <f>IF(C11="","",MONTH(INT(VALUE(C11))))</f>
        <v/>
      </c>
      <c r="G11">
        <f>IF(C11="","",YEAR(INT(VALUE(C11))))</f>
        <v/>
      </c>
      <c r="H11">
        <f>IF(C11="","",HOUR(VALUE(C11)))</f>
        <v/>
      </c>
      <c r="I11" t="inlineStr">
        <is>
          <t>26-0057325</t>
        </is>
      </c>
      <c r="J11" t="inlineStr">
        <is>
          <t>FIRE||OUTSIDE_FIRE||TRASH_RUBBISH_FIRE</t>
        </is>
      </c>
      <c r="K11" t="inlineStr"/>
      <c r="L11" t="inlineStr"/>
      <c r="M11" t="inlineStr">
        <is>
          <t>ASHMONT ST / RUNDEL PARK</t>
        </is>
      </c>
      <c r="N11" t="inlineStr"/>
      <c r="O11" t="inlineStr">
        <is>
          <t>MA</t>
        </is>
      </c>
      <c r="P11" t="inlineStr">
        <is>
          <t>02124</t>
        </is>
      </c>
      <c r="Q11" t="inlineStr">
        <is>
          <t>SUFFOLK</t>
        </is>
      </c>
      <c r="R11" t="inlineStr">
        <is>
          <t>ROADWAY_ACCESS||STREET</t>
        </is>
      </c>
      <c r="S11" t="inlineStr"/>
      <c r="T11" t="inlineStr"/>
      <c r="U11" t="inlineStr"/>
      <c r="V11" t="inlineStr">
        <is>
          <t>FD25025316|26-0057325|1786619973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CONSUMER_PRODUCTS||POWER_BANK</t>
        </is>
      </c>
      <c r="AD11" t="inlineStr">
        <is>
          <t>SOURCE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FD25025316</t>
        </is>
      </c>
      <c r="B12" t="inlineStr"/>
      <c r="C12" t="inlineStr">
        <is>
          <t>2026-08-08T21:16:11+00:00</t>
        </is>
      </c>
      <c r="D12" s="2">
        <f>IF(C12="","",INT(VALUE(C12)))</f>
        <v/>
      </c>
      <c r="E12" s="3">
        <f>IF(C12="","",MOD(VALUE(C12),1))</f>
        <v/>
      </c>
      <c r="F12">
        <f>IF(C12="","",MONTH(INT(VALUE(C12))))</f>
        <v/>
      </c>
      <c r="G12">
        <f>IF(C12="","",YEAR(INT(VALUE(C12))))</f>
        <v/>
      </c>
      <c r="H12">
        <f>IF(C12="","",HOUR(VALUE(C12)))</f>
        <v/>
      </c>
      <c r="I12" t="inlineStr">
        <is>
          <t>26-0056139</t>
        </is>
      </c>
      <c r="J12" t="inlineStr">
        <is>
          <t>FIRE||STRUCTURE_FIRE||ROOM_AND_CONTENTS_FIRE</t>
        </is>
      </c>
      <c r="K12" t="inlineStr"/>
      <c r="L12" t="inlineStr"/>
      <c r="M12" t="inlineStr">
        <is>
          <t>WASHINGTON ST</t>
        </is>
      </c>
      <c r="N12" t="inlineStr"/>
      <c r="O12" t="inlineStr">
        <is>
          <t>MA</t>
        </is>
      </c>
      <c r="P12" t="inlineStr">
        <is>
          <t>02135</t>
        </is>
      </c>
      <c r="Q12" t="inlineStr">
        <is>
          <t>SUFFOLK</t>
        </is>
      </c>
      <c r="R12" t="inlineStr">
        <is>
          <t>RESIDENTIAL||MULTI_FAMILY_LOWRISE_DWELLING</t>
        </is>
      </c>
      <c r="S12" t="inlineStr"/>
      <c r="T12" t="inlineStr"/>
      <c r="U12" t="inlineStr"/>
      <c r="V12" t="inlineStr">
        <is>
          <t>FD25025316|26-0056139|1786223771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E_MOBILITY||ELECTRIC_SCOOTER_MOPED</t>
        </is>
      </c>
      <c r="AD12" t="inlineStr">
        <is>
          <t>SOURCE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FD25025316</t>
        </is>
      </c>
      <c r="B13" t="inlineStr"/>
      <c r="C13" t="inlineStr">
        <is>
          <t>2026-08-07T02:52:37+00:00</t>
        </is>
      </c>
      <c r="D13" s="2">
        <f>IF(C13="","",INT(VALUE(C13)))</f>
        <v/>
      </c>
      <c r="E13" s="3">
        <f>IF(C13="","",MOD(VALUE(C13),1))</f>
        <v/>
      </c>
      <c r="F13">
        <f>IF(C13="","",MONTH(INT(VALUE(C13))))</f>
        <v/>
      </c>
      <c r="G13">
        <f>IF(C13="","",YEAR(INT(VALUE(C13))))</f>
        <v/>
      </c>
      <c r="H13">
        <f>IF(C13="","",HOUR(VALUE(C13)))</f>
        <v/>
      </c>
      <c r="I13" t="inlineStr">
        <is>
          <t>26-0055624</t>
        </is>
      </c>
      <c r="J13" t="inlineStr">
        <is>
          <t>HAZSIT||HAZARD_NONCHEM||ELEC_HAZARD_SHORT_CIRCUIT</t>
        </is>
      </c>
      <c r="K13" t="inlineStr"/>
      <c r="L13" t="inlineStr"/>
      <c r="M13" t="inlineStr">
        <is>
          <t>BLUEFIELD TER</t>
        </is>
      </c>
      <c r="N13" t="inlineStr"/>
      <c r="O13" t="inlineStr">
        <is>
          <t>MA</t>
        </is>
      </c>
      <c r="P13" t="inlineStr">
        <is>
          <t>02126</t>
        </is>
      </c>
      <c r="Q13" t="inlineStr">
        <is>
          <t>SUFFOLK</t>
        </is>
      </c>
      <c r="R13" t="inlineStr">
        <is>
          <t>RESIDENTIAL||DETATCHED_SINGLE_FAMILY_DWELLING</t>
        </is>
      </c>
      <c r="S13" t="inlineStr"/>
      <c r="T13" t="inlineStr"/>
      <c r="U13" t="inlineStr"/>
      <c r="V13" t="inlineStr">
        <is>
          <t>FD25025316|26-0055624|1786071157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CONSUMER_PRODUCTS||OTHER||CONSUMER_PRODUCTS||APPLIANCE_TOOL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FD25025316</t>
        </is>
      </c>
      <c r="B14" t="inlineStr"/>
      <c r="C14" t="inlineStr">
        <is>
          <t>2026-08-03T13:35:50+00:00</t>
        </is>
      </c>
      <c r="D14" s="2">
        <f>IF(C14="","",INT(VALUE(C14)))</f>
        <v/>
      </c>
      <c r="E14" s="3">
        <f>IF(C14="","",MOD(VALUE(C14),1))</f>
        <v/>
      </c>
      <c r="F14">
        <f>IF(C14="","",MONTH(INT(VALUE(C14))))</f>
        <v/>
      </c>
      <c r="G14">
        <f>IF(C14="","",YEAR(INT(VALUE(C14))))</f>
        <v/>
      </c>
      <c r="H14">
        <f>IF(C14="","",HOUR(VALUE(C14)))</f>
        <v/>
      </c>
      <c r="I14" t="inlineStr">
        <is>
          <t>26-0054565</t>
        </is>
      </c>
      <c r="J14" t="inlineStr">
        <is>
          <t>FIRE||TRANSPORTATION_FIRE||VEHICLE_FIRE_PASSENGER</t>
        </is>
      </c>
      <c r="K14" t="inlineStr"/>
      <c r="L14" t="inlineStr"/>
      <c r="M14" t="inlineStr">
        <is>
          <t>BEACON ST / FAIRMOUNT AVE</t>
        </is>
      </c>
      <c r="N14" t="inlineStr"/>
      <c r="O14" t="inlineStr">
        <is>
          <t>MA</t>
        </is>
      </c>
      <c r="P14" t="inlineStr">
        <is>
          <t>02136</t>
        </is>
      </c>
      <c r="Q14" t="inlineStr">
        <is>
          <t>SUFFOLK</t>
        </is>
      </c>
      <c r="R14" t="inlineStr">
        <is>
          <t>ROADWAY_ACCESS||STREET</t>
        </is>
      </c>
      <c r="S14" t="inlineStr"/>
      <c r="T14" t="inlineStr"/>
      <c r="U14" t="inlineStr"/>
      <c r="V14" t="inlineStr">
        <is>
          <t>FD25025316|26-0054565|1785764150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CONSUMER_PRODUCTS||OTHER</t>
        </is>
      </c>
      <c r="AD14" t="inlineStr">
        <is>
          <t>UNKNOWN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FD25025316</t>
        </is>
      </c>
      <c r="B15" t="inlineStr"/>
      <c r="C15" t="inlineStr">
        <is>
          <t>2026-07-28T05:02:47+00:00</t>
        </is>
      </c>
      <c r="D15" s="2">
        <f>IF(C15="","",INT(VALUE(C15)))</f>
        <v/>
      </c>
      <c r="E15" s="3">
        <f>IF(C15="","",MOD(VALUE(C15),1))</f>
        <v/>
      </c>
      <c r="F15">
        <f>IF(C15="","",MONTH(INT(VALUE(C15))))</f>
        <v/>
      </c>
      <c r="G15">
        <f>IF(C15="","",YEAR(INT(VALUE(C15))))</f>
        <v/>
      </c>
      <c r="H15">
        <f>IF(C15="","",HOUR(VALUE(C15)))</f>
        <v/>
      </c>
      <c r="I15" t="inlineStr">
        <is>
          <t>26-0052873</t>
        </is>
      </c>
      <c r="J15" t="inlineStr">
        <is>
          <t>FIRE||STRUCTURE_FIRE||ROOM_AND_CONTENTS_FIRE</t>
        </is>
      </c>
      <c r="K15" t="inlineStr"/>
      <c r="L15" t="inlineStr"/>
      <c r="M15" t="inlineStr">
        <is>
          <t>BENNINGTON ST</t>
        </is>
      </c>
      <c r="N15" t="inlineStr"/>
      <c r="O15" t="inlineStr">
        <is>
          <t>MA</t>
        </is>
      </c>
      <c r="P15" t="inlineStr">
        <is>
          <t>02128</t>
        </is>
      </c>
      <c r="Q15" t="inlineStr">
        <is>
          <t>SUFFOLK</t>
        </is>
      </c>
      <c r="R15" t="inlineStr">
        <is>
          <t>RESIDENTIAL||MULTI_FAMILY_LOWRISE_DWELLING</t>
        </is>
      </c>
      <c r="S15" t="inlineStr"/>
      <c r="T15" t="inlineStr"/>
      <c r="U15" t="inlineStr"/>
      <c r="V15" t="inlineStr">
        <is>
          <t>FD25025316|26-0052873|1785214967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E_MOBILITY||ELECTRIC_SCOOTER_MOPED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FD25025316</t>
        </is>
      </c>
      <c r="B16" t="inlineStr"/>
      <c r="C16" t="inlineStr">
        <is>
          <t>2026-07-22T05:07:06+00:00</t>
        </is>
      </c>
      <c r="D16" s="2">
        <f>IF(C16="","",INT(VALUE(C16)))</f>
        <v/>
      </c>
      <c r="E16" s="3">
        <f>IF(C16="","",MOD(VALUE(C16),1))</f>
        <v/>
      </c>
      <c r="F16">
        <f>IF(C16="","",MONTH(INT(VALUE(C16))))</f>
        <v/>
      </c>
      <c r="G16">
        <f>IF(C16="","",YEAR(INT(VALUE(C16))))</f>
        <v/>
      </c>
      <c r="H16">
        <f>IF(C16="","",HOUR(VALUE(C16)))</f>
        <v/>
      </c>
      <c r="I16" t="inlineStr">
        <is>
          <t>26-0051157</t>
        </is>
      </c>
      <c r="J16" t="inlineStr">
        <is>
          <t>HAZSIT||HAZARDOUS_MATERIALS||GAS_LEAK_ODOR</t>
        </is>
      </c>
      <c r="K16" t="inlineStr"/>
      <c r="L16" t="inlineStr"/>
      <c r="M16" t="inlineStr">
        <is>
          <t>STELLMAN RD</t>
        </is>
      </c>
      <c r="N16" t="inlineStr"/>
      <c r="O16" t="inlineStr">
        <is>
          <t>MA</t>
        </is>
      </c>
      <c r="P16" t="inlineStr">
        <is>
          <t>02131</t>
        </is>
      </c>
      <c r="Q16" t="inlineStr">
        <is>
          <t>SUFFOLK</t>
        </is>
      </c>
      <c r="R16" t="inlineStr">
        <is>
          <t>RESIDENTIAL||MULTI_FAMILY_LOWRISE_DWELLING</t>
        </is>
      </c>
      <c r="S16" t="inlineStr"/>
      <c r="T16" t="inlineStr"/>
      <c r="U16" t="inlineStr"/>
      <c r="V16" t="inlineStr">
        <is>
          <t>FD25025316|26-0051157|1784696826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CONSUMER_PRODUCTS||OTHER</t>
        </is>
      </c>
      <c r="AD16" t="inlineStr">
        <is>
          <t>UNKNOWN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FD25025316</t>
        </is>
      </c>
      <c r="B17" t="inlineStr"/>
      <c r="C17" t="inlineStr">
        <is>
          <t>2026-07-21T00:33:29+00:00</t>
        </is>
      </c>
      <c r="D17" s="2">
        <f>IF(C17="","",INT(VALUE(C17)))</f>
        <v/>
      </c>
      <c r="E17" s="3">
        <f>IF(C17="","",MOD(VALUE(C17),1))</f>
        <v/>
      </c>
      <c r="F17">
        <f>IF(C17="","",MONTH(INT(VALUE(C17))))</f>
        <v/>
      </c>
      <c r="G17">
        <f>IF(C17="","",YEAR(INT(VALUE(C17))))</f>
        <v/>
      </c>
      <c r="H17">
        <f>IF(C17="","",HOUR(VALUE(C17)))</f>
        <v/>
      </c>
      <c r="I17" t="inlineStr">
        <is>
          <t>26-0050860</t>
        </is>
      </c>
      <c r="J17" t="inlineStr">
        <is>
          <t>FIRE||TRANSPORTATION_FIRE||POWERED_MOBILITY_DEVICE_FIRE</t>
        </is>
      </c>
      <c r="K17" t="inlineStr"/>
      <c r="L17" t="inlineStr"/>
      <c r="M17" t="inlineStr">
        <is>
          <t>CLINTON ST</t>
        </is>
      </c>
      <c r="N17" t="inlineStr"/>
      <c r="O17" t="inlineStr">
        <is>
          <t>MA</t>
        </is>
      </c>
      <c r="P17" t="inlineStr">
        <is>
          <t>02109</t>
        </is>
      </c>
      <c r="Q17" t="inlineStr">
        <is>
          <t>SUFFOLK</t>
        </is>
      </c>
      <c r="R17" t="inlineStr">
        <is>
          <t>COMMERCIAL||RETAIL_WHOLESALE_TRADE</t>
        </is>
      </c>
      <c r="S17" t="inlineStr"/>
      <c r="T17" t="inlineStr"/>
      <c r="U17" t="inlineStr"/>
      <c r="V17" t="inlineStr">
        <is>
          <t>FD25025316|26-0050860|1784594009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E_MOBILITY||POWER_ASSISTED_BICYCLE</t>
        </is>
      </c>
      <c r="AD17" t="inlineStr">
        <is>
          <t>SOURCE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FD25025316</t>
        </is>
      </c>
      <c r="B18" t="inlineStr"/>
      <c r="C18" t="inlineStr">
        <is>
          <t>2026-07-20T23:47:20+00:00</t>
        </is>
      </c>
      <c r="D18" s="2">
        <f>IF(C18="","",INT(VALUE(C18)))</f>
        <v/>
      </c>
      <c r="E18" s="3">
        <f>IF(C18="","",MOD(VALUE(C18),1))</f>
        <v/>
      </c>
      <c r="F18">
        <f>IF(C18="","",MONTH(INT(VALUE(C18))))</f>
        <v/>
      </c>
      <c r="G18">
        <f>IF(C18="","",YEAR(INT(VALUE(C18))))</f>
        <v/>
      </c>
      <c r="H18">
        <f>IF(C18="","",HOUR(VALUE(C18)))</f>
        <v/>
      </c>
      <c r="I18" t="inlineStr">
        <is>
          <t>26-0050848</t>
        </is>
      </c>
      <c r="J18" t="inlineStr">
        <is>
          <t>HAZSIT||HAZARD_NONCHEM||ELEC_HAZARD_SHORT_CIRCUIT</t>
        </is>
      </c>
      <c r="K18" t="inlineStr"/>
      <c r="L18" t="inlineStr"/>
      <c r="M18" t="inlineStr">
        <is>
          <t>AURIGA ST</t>
        </is>
      </c>
      <c r="N18" t="inlineStr"/>
      <c r="O18" t="inlineStr">
        <is>
          <t>MA</t>
        </is>
      </c>
      <c r="P18" t="inlineStr">
        <is>
          <t>02122</t>
        </is>
      </c>
      <c r="Q18" t="inlineStr">
        <is>
          <t>SUFFOLK</t>
        </is>
      </c>
      <c r="R18" t="inlineStr">
        <is>
          <t>ROADWAY_ACCESS||STREET</t>
        </is>
      </c>
      <c r="S18" t="inlineStr"/>
      <c r="T18" t="inlineStr"/>
      <c r="U18" t="inlineStr"/>
      <c r="V18" t="inlineStr">
        <is>
          <t>FD25025316|26-0050848|1784591240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ENERGY_STORAGE_SYSTEM||OTHER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FD25025316</t>
        </is>
      </c>
      <c r="B19" t="inlineStr"/>
      <c r="C19" t="inlineStr">
        <is>
          <t>2026-07-17T21:01:29+00:00</t>
        </is>
      </c>
      <c r="D19" s="2">
        <f>IF(C19="","",INT(VALUE(C19)))</f>
        <v/>
      </c>
      <c r="E19" s="3">
        <f>IF(C19="","",MOD(VALUE(C19),1))</f>
        <v/>
      </c>
      <c r="F19">
        <f>IF(C19="","",MONTH(INT(VALUE(C19))))</f>
        <v/>
      </c>
      <c r="G19">
        <f>IF(C19="","",YEAR(INT(VALUE(C19))))</f>
        <v/>
      </c>
      <c r="H19">
        <f>IF(C19="","",HOUR(VALUE(C19)))</f>
        <v/>
      </c>
      <c r="I19" t="inlineStr">
        <is>
          <t>26-0050073</t>
        </is>
      </c>
      <c r="J19" t="inlineStr">
        <is>
          <t>HAZSIT||HAZARD_NONCHEM||ELEC_HAZARD_SHORT_CIRCUIT</t>
        </is>
      </c>
      <c r="K19" t="inlineStr">
        <is>
          <t>FIRE||STRUCTURE_FIRE||ROOM_AND_CONTENTS_FIRE</t>
        </is>
      </c>
      <c r="L19" t="inlineStr"/>
      <c r="M19" t="inlineStr">
        <is>
          <t>HARRISON AVE</t>
        </is>
      </c>
      <c r="N19" t="inlineStr"/>
      <c r="O19" t="inlineStr">
        <is>
          <t>MA</t>
        </is>
      </c>
      <c r="P19" t="inlineStr">
        <is>
          <t>02118</t>
        </is>
      </c>
      <c r="Q19" t="inlineStr">
        <is>
          <t>SUFFOLK</t>
        </is>
      </c>
      <c r="R19" t="inlineStr">
        <is>
          <t>RESIDENTIAL||MULTI_FAMILY_HIGHRISE_DWELLING</t>
        </is>
      </c>
      <c r="S19" t="inlineStr"/>
      <c r="T19" t="inlineStr"/>
      <c r="U19" t="inlineStr"/>
      <c r="V19" t="inlineStr">
        <is>
          <t>FD25025316|26-0050073|1784322089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E_MOBILITY||ELECTRIC_SCOOTER_MOPED</t>
        </is>
      </c>
      <c r="AD19" t="inlineStr">
        <is>
          <t>SOURCE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FD25025316</t>
        </is>
      </c>
      <c r="B20" t="inlineStr"/>
      <c r="C20" t="inlineStr">
        <is>
          <t>2026-07-14T01:42:00+00:00</t>
        </is>
      </c>
      <c r="D20" s="2">
        <f>IF(C20="","",INT(VALUE(C20)))</f>
        <v/>
      </c>
      <c r="E20" s="3">
        <f>IF(C20="","",MOD(VALUE(C20),1))</f>
        <v/>
      </c>
      <c r="F20">
        <f>IF(C20="","",MONTH(INT(VALUE(C20))))</f>
        <v/>
      </c>
      <c r="G20">
        <f>IF(C20="","",YEAR(INT(VALUE(C20))))</f>
        <v/>
      </c>
      <c r="H20">
        <f>IF(C20="","",HOUR(VALUE(C20)))</f>
        <v/>
      </c>
      <c r="I20" t="inlineStr">
        <is>
          <t>26-0048986</t>
        </is>
      </c>
      <c r="J20" t="inlineStr">
        <is>
          <t>HAZSIT||HAZARD_NONCHEM||ELEC_HAZARD_SHORT_CIRCUIT</t>
        </is>
      </c>
      <c r="K20" t="inlineStr"/>
      <c r="L20" t="inlineStr"/>
      <c r="M20" t="inlineStr">
        <is>
          <t>HEATH ST</t>
        </is>
      </c>
      <c r="N20" t="inlineStr"/>
      <c r="O20" t="inlineStr">
        <is>
          <t>MA</t>
        </is>
      </c>
      <c r="P20" t="inlineStr">
        <is>
          <t>02130</t>
        </is>
      </c>
      <c r="Q20" t="inlineStr">
        <is>
          <t>SUFFOLK</t>
        </is>
      </c>
      <c r="R20" t="inlineStr">
        <is>
          <t>RESIDENTIAL||MULTI_FAMILY_LOWRISE_DWELLING</t>
        </is>
      </c>
      <c r="S20" t="inlineStr"/>
      <c r="T20" t="inlineStr"/>
      <c r="U20" t="inlineStr"/>
      <c r="V20" t="inlineStr">
        <is>
          <t>FD25025316|26-0048986|1783993320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CONSUMER_PRODUCTS||POWER_BANK</t>
        </is>
      </c>
      <c r="AD20" t="inlineStr">
        <is>
          <t>UNKNOWN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FD25025316</t>
        </is>
      </c>
      <c r="B21" t="inlineStr"/>
      <c r="C21" t="inlineStr">
        <is>
          <t>2026-07-10T01:12:57+00:00</t>
        </is>
      </c>
      <c r="D21" s="2">
        <f>IF(C21="","",INT(VALUE(C21)))</f>
        <v/>
      </c>
      <c r="E21" s="3">
        <f>IF(C21="","",MOD(VALUE(C21),1))</f>
        <v/>
      </c>
      <c r="F21">
        <f>IF(C21="","",MONTH(INT(VALUE(C21))))</f>
        <v/>
      </c>
      <c r="G21">
        <f>IF(C21="","",YEAR(INT(VALUE(C21))))</f>
        <v/>
      </c>
      <c r="H21">
        <f>IF(C21="","",HOUR(VALUE(C21)))</f>
        <v/>
      </c>
      <c r="I21" t="inlineStr">
        <is>
          <t>26-0047822</t>
        </is>
      </c>
      <c r="J21" t="inlineStr">
        <is>
          <t>FIRE||TRANSPORTATION_FIRE||VEHICLE_FIRE_PASSENGER</t>
        </is>
      </c>
      <c r="K21" t="inlineStr"/>
      <c r="L21" t="inlineStr"/>
      <c r="M21" t="inlineStr">
        <is>
          <t>FALCON ST</t>
        </is>
      </c>
      <c r="N21" t="inlineStr"/>
      <c r="O21" t="inlineStr">
        <is>
          <t>MA</t>
        </is>
      </c>
      <c r="P21" t="inlineStr">
        <is>
          <t>02128</t>
        </is>
      </c>
      <c r="Q21" t="inlineStr">
        <is>
          <t>SUFFOLK</t>
        </is>
      </c>
      <c r="R21" t="inlineStr">
        <is>
          <t>ROADWAY_ACCESS||STREET</t>
        </is>
      </c>
      <c r="S21" t="inlineStr"/>
      <c r="T21" t="inlineStr"/>
      <c r="U21" t="inlineStr"/>
      <c r="V21" t="inlineStr">
        <is>
          <t>FD25025316|26-0047822|1783645977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ENERGY_STORAGE_SYSTEM||BATTERY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FD25025316</t>
        </is>
      </c>
      <c r="B22" t="inlineStr"/>
      <c r="C22" t="inlineStr">
        <is>
          <t>2026-07-08T19:34:02+00:00</t>
        </is>
      </c>
      <c r="D22" s="2">
        <f>IF(C22="","",INT(VALUE(C22)))</f>
        <v/>
      </c>
      <c r="E22" s="3">
        <f>IF(C22="","",MOD(VALUE(C22),1))</f>
        <v/>
      </c>
      <c r="F22">
        <f>IF(C22="","",MONTH(INT(VALUE(C22))))</f>
        <v/>
      </c>
      <c r="G22">
        <f>IF(C22="","",YEAR(INT(VALUE(C22))))</f>
        <v/>
      </c>
      <c r="H22">
        <f>IF(C22="","",HOUR(VALUE(C22)))</f>
        <v/>
      </c>
      <c r="I22" t="inlineStr">
        <is>
          <t>26-0047390</t>
        </is>
      </c>
      <c r="J22" t="inlineStr">
        <is>
          <t>MEDICAL||ILLNESS||NO_APPROPRIATE_CHOICE</t>
        </is>
      </c>
      <c r="K22" t="inlineStr"/>
      <c r="L22" t="inlineStr"/>
      <c r="M22" t="inlineStr">
        <is>
          <t>GALLIVAN BLVD</t>
        </is>
      </c>
      <c r="N22" t="inlineStr"/>
      <c r="O22" t="inlineStr">
        <is>
          <t>MA</t>
        </is>
      </c>
      <c r="P22" t="inlineStr"/>
      <c r="Q22" t="inlineStr">
        <is>
          <t>SUFFOLK</t>
        </is>
      </c>
      <c r="R22" t="inlineStr">
        <is>
          <t>ROADWAY_ACCESS||STREET</t>
        </is>
      </c>
      <c r="S22" t="inlineStr"/>
      <c r="T22" t="inlineStr"/>
      <c r="U22" t="inlineStr"/>
      <c r="V22" t="inlineStr">
        <is>
          <t>FD25025316|26-0047390|1783539242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E_MOBILITY||ELECTRIC_SCOOTER_MOPED||E_MOBILITY||ELECTRIC_SCOOTER_MOPED</t>
        </is>
      </c>
      <c r="AD22" t="inlineStr">
        <is>
          <t>UNKNOWN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FD25025316</t>
        </is>
      </c>
      <c r="B23" t="inlineStr"/>
      <c r="C23" t="inlineStr">
        <is>
          <t>2026-07-08T03:26:07+00:00</t>
        </is>
      </c>
      <c r="D23" s="2">
        <f>IF(C23="","",INT(VALUE(C23)))</f>
        <v/>
      </c>
      <c r="E23" s="3">
        <f>IF(C23="","",MOD(VALUE(C23),1))</f>
        <v/>
      </c>
      <c r="F23">
        <f>IF(C23="","",MONTH(INT(VALUE(C23))))</f>
        <v/>
      </c>
      <c r="G23">
        <f>IF(C23="","",YEAR(INT(VALUE(C23))))</f>
        <v/>
      </c>
      <c r="H23">
        <f>IF(C23="","",HOUR(VALUE(C23)))</f>
        <v/>
      </c>
      <c r="I23" t="inlineStr">
        <is>
          <t>26-0047215</t>
        </is>
      </c>
      <c r="J23" t="inlineStr">
        <is>
          <t>RESCUE||STRUCTURE||ELEVATOR_ESCALATOR_RESCUE</t>
        </is>
      </c>
      <c r="K23" t="inlineStr"/>
      <c r="L23" t="inlineStr"/>
      <c r="M23" t="inlineStr">
        <is>
          <t>BERKELEY ST</t>
        </is>
      </c>
      <c r="N23" t="inlineStr"/>
      <c r="O23" t="inlineStr">
        <is>
          <t>MA</t>
        </is>
      </c>
      <c r="P23" t="inlineStr">
        <is>
          <t>02116</t>
        </is>
      </c>
      <c r="Q23" t="inlineStr">
        <is>
          <t>SUFFOLK</t>
        </is>
      </c>
      <c r="R23" t="inlineStr">
        <is>
          <t>COMMERCIAL||OFFICE_OTHER_TECHNICAL_SERVICES</t>
        </is>
      </c>
      <c r="S23" t="inlineStr"/>
      <c r="T23" t="inlineStr"/>
      <c r="U23" t="inlineStr"/>
      <c r="V23" t="inlineStr">
        <is>
          <t>FD25025316|26-0047215|1783481167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ENERGY_STORAGE_SYSTEM||OTHER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FD25025316</t>
        </is>
      </c>
      <c r="B24" t="inlineStr"/>
      <c r="C24" t="inlineStr">
        <is>
          <t>2026-07-06T18:10:14+00:00</t>
        </is>
      </c>
      <c r="D24" s="2">
        <f>IF(C24="","",INT(VALUE(C24)))</f>
        <v/>
      </c>
      <c r="E24" s="3">
        <f>IF(C24="","",MOD(VALUE(C24),1))</f>
        <v/>
      </c>
      <c r="F24">
        <f>IF(C24="","",MONTH(INT(VALUE(C24))))</f>
        <v/>
      </c>
      <c r="G24">
        <f>IF(C24="","",YEAR(INT(VALUE(C24))))</f>
        <v/>
      </c>
      <c r="H24">
        <f>IF(C24="","",HOUR(VALUE(C24)))</f>
        <v/>
      </c>
      <c r="I24" t="inlineStr">
        <is>
          <t>26-0046842</t>
        </is>
      </c>
      <c r="J24" t="inlineStr">
        <is>
          <t>HAZSIT||HAZARD_NONCHEM||ELEC_HAZARD_SHORT_CIRCUIT</t>
        </is>
      </c>
      <c r="K24" t="inlineStr"/>
      <c r="L24" t="inlineStr"/>
      <c r="M24" t="inlineStr">
        <is>
          <t>SAINT THOMAS MORE RD</t>
        </is>
      </c>
      <c r="N24" t="inlineStr"/>
      <c r="O24" t="inlineStr">
        <is>
          <t>MA</t>
        </is>
      </c>
      <c r="P24" t="inlineStr">
        <is>
          <t>02467</t>
        </is>
      </c>
      <c r="Q24" t="inlineStr">
        <is>
          <t>SUFFOLK</t>
        </is>
      </c>
      <c r="R24" t="inlineStr">
        <is>
          <t>EDUCATION||COLLEGES_UNIVERSITIES</t>
        </is>
      </c>
      <c r="S24" t="inlineStr"/>
      <c r="T24" t="inlineStr"/>
      <c r="U24" t="inlineStr"/>
      <c r="V24" t="inlineStr">
        <is>
          <t>FD25025316|26-0046842|1783361414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ELECTRIC_VEHICLE||CAR_RR||FULL_ELECTRIC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FD25025316</t>
        </is>
      </c>
      <c r="B25" t="inlineStr"/>
      <c r="C25" t="inlineStr">
        <is>
          <t>2026-07-04T02:10:23+00:00</t>
        </is>
      </c>
      <c r="D25" s="2">
        <f>IF(C25="","",INT(VALUE(C25)))</f>
        <v/>
      </c>
      <c r="E25" s="3">
        <f>IF(C25="","",MOD(VALUE(C25),1))</f>
        <v/>
      </c>
      <c r="F25">
        <f>IF(C25="","",MONTH(INT(VALUE(C25))))</f>
        <v/>
      </c>
      <c r="G25">
        <f>IF(C25="","",YEAR(INT(VALUE(C25))))</f>
        <v/>
      </c>
      <c r="H25">
        <f>IF(C25="","",HOUR(VALUE(C25)))</f>
        <v/>
      </c>
      <c r="I25" t="inlineStr">
        <is>
          <t>26-0046011</t>
        </is>
      </c>
      <c r="J25" t="inlineStr">
        <is>
          <t>PUBSERV||CITIZEN_ASSIST||CITIZEN_ASSIST_SERVICE_CALL</t>
        </is>
      </c>
      <c r="K25" t="inlineStr">
        <is>
          <t>HAZSIT||HAZARD_NONCHEM||ELEC_HAZARD_SHORT_CIRCUIT</t>
        </is>
      </c>
      <c r="L25" t="inlineStr"/>
      <c r="M25" t="inlineStr">
        <is>
          <t>BRAEMORE RD Apt 11</t>
        </is>
      </c>
      <c r="N25" t="inlineStr"/>
      <c r="O25" t="inlineStr">
        <is>
          <t>MA</t>
        </is>
      </c>
      <c r="P25" t="inlineStr">
        <is>
          <t>02135</t>
        </is>
      </c>
      <c r="Q25" t="inlineStr">
        <is>
          <t>SUFFOLK</t>
        </is>
      </c>
      <c r="R25" t="inlineStr">
        <is>
          <t>RESIDENTIAL||MULTI_FAMILY_LOWRISE_DWELLING</t>
        </is>
      </c>
      <c r="S25" t="inlineStr"/>
      <c r="T25" t="inlineStr"/>
      <c r="U25" t="inlineStr"/>
      <c r="V25" t="inlineStr">
        <is>
          <t>FD25025316|26-0046011|1783131023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CONSUMER_PRODUCTS||POWER_BANK</t>
        </is>
      </c>
      <c r="AD25" t="inlineStr">
        <is>
          <t>TARGET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FD25025316</t>
        </is>
      </c>
      <c r="B26" t="inlineStr"/>
      <c r="C26" t="inlineStr">
        <is>
          <t>2026-07-02T22:00:51+00:00</t>
        </is>
      </c>
      <c r="D26" s="2">
        <f>IF(C26="","",INT(VALUE(C26)))</f>
        <v/>
      </c>
      <c r="E26" s="3">
        <f>IF(C26="","",MOD(VALUE(C26),1))</f>
        <v/>
      </c>
      <c r="F26">
        <f>IF(C26="","",MONTH(INT(VALUE(C26))))</f>
        <v/>
      </c>
      <c r="G26">
        <f>IF(C26="","",YEAR(INT(VALUE(C26))))</f>
        <v/>
      </c>
      <c r="H26">
        <f>IF(C26="","",HOUR(VALUE(C26)))</f>
        <v/>
      </c>
      <c r="I26" t="inlineStr">
        <is>
          <t>26-0045563</t>
        </is>
      </c>
      <c r="J26" t="inlineStr">
        <is>
          <t>HAZSIT||INVESTIGATION||SMOKE_INVESTIGATION</t>
        </is>
      </c>
      <c r="K26" t="inlineStr"/>
      <c r="L26" t="inlineStr"/>
      <c r="M26" t="inlineStr">
        <is>
          <t>NEWMARKET SQ</t>
        </is>
      </c>
      <c r="N26" t="inlineStr"/>
      <c r="O26" t="inlineStr">
        <is>
          <t>MA</t>
        </is>
      </c>
      <c r="P26" t="inlineStr">
        <is>
          <t>02118</t>
        </is>
      </c>
      <c r="Q26" t="inlineStr">
        <is>
          <t>SUFFOLK</t>
        </is>
      </c>
      <c r="R26" t="inlineStr">
        <is>
          <t>INDUSTRIAL||COLD_STORAGE</t>
        </is>
      </c>
      <c r="S26" t="inlineStr"/>
      <c r="T26" t="inlineStr"/>
      <c r="U26" t="inlineStr"/>
      <c r="V26" t="inlineStr">
        <is>
          <t>FD25025316|26-0045563|1783029651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ENERGY_STORAGE_SYSTEM||OTHER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FD25025316</t>
        </is>
      </c>
      <c r="B27" t="inlineStr"/>
      <c r="C27" t="inlineStr">
        <is>
          <t>2026-06-28T16:51:09+00:00</t>
        </is>
      </c>
      <c r="D27" s="2">
        <f>IF(C27="","",INT(VALUE(C27)))</f>
        <v/>
      </c>
      <c r="E27" s="3">
        <f>IF(C27="","",MOD(VALUE(C27),1))</f>
        <v/>
      </c>
      <c r="F27">
        <f>IF(C27="","",MONTH(INT(VALUE(C27))))</f>
        <v/>
      </c>
      <c r="G27">
        <f>IF(C27="","",YEAR(INT(VALUE(C27))))</f>
        <v/>
      </c>
      <c r="H27">
        <f>IF(C27="","",HOUR(VALUE(C27)))</f>
        <v/>
      </c>
      <c r="I27" t="inlineStr">
        <is>
          <t>26-0044290</t>
        </is>
      </c>
      <c r="J27" t="inlineStr">
        <is>
          <t>FIRE||STRUCTURE_FIRE||ROOM_AND_CONTENTS_FIRE</t>
        </is>
      </c>
      <c r="K27" t="inlineStr"/>
      <c r="L27" t="inlineStr"/>
      <c r="M27" t="inlineStr">
        <is>
          <t>BRADLEE ST</t>
        </is>
      </c>
      <c r="N27" t="inlineStr"/>
      <c r="O27" t="inlineStr">
        <is>
          <t>MA</t>
        </is>
      </c>
      <c r="P27" t="inlineStr">
        <is>
          <t>02136</t>
        </is>
      </c>
      <c r="Q27" t="inlineStr">
        <is>
          <t>SUFFOLK</t>
        </is>
      </c>
      <c r="R27" t="inlineStr">
        <is>
          <t>RESIDENTIAL||DETATCHED_SINGLE_FAMILY_DWELLING</t>
        </is>
      </c>
      <c r="S27" t="inlineStr"/>
      <c r="T27" t="inlineStr"/>
      <c r="U27" t="inlineStr"/>
      <c r="V27" t="inlineStr">
        <is>
          <t>FD25025316|26-0044290|1782665469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CONSUMER_PRODUCTS||OTHER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FD25025316</t>
        </is>
      </c>
      <c r="B28" t="inlineStr"/>
      <c r="C28" t="inlineStr">
        <is>
          <t>2026-06-24T19:19:08+00:00</t>
        </is>
      </c>
      <c r="D28" s="2">
        <f>IF(C28="","",INT(VALUE(C28)))</f>
        <v/>
      </c>
      <c r="E28" s="3">
        <f>IF(C28="","",MOD(VALUE(C28),1))</f>
        <v/>
      </c>
      <c r="F28">
        <f>IF(C28="","",MONTH(INT(VALUE(C28))))</f>
        <v/>
      </c>
      <c r="G28">
        <f>IF(C28="","",YEAR(INT(VALUE(C28))))</f>
        <v/>
      </c>
      <c r="H28">
        <f>IF(C28="","",HOUR(VALUE(C28)))</f>
        <v/>
      </c>
      <c r="I28" t="inlineStr">
        <is>
          <t>26-0043218</t>
        </is>
      </c>
      <c r="J28" t="inlineStr">
        <is>
          <t>FIRE||TRANSPORTATION_FIRE||VEHICLE_FIRE_PASSENGER</t>
        </is>
      </c>
      <c r="K28" t="inlineStr"/>
      <c r="L28" t="inlineStr"/>
      <c r="M28" t="inlineStr">
        <is>
          <t>WASHINGTON ST</t>
        </is>
      </c>
      <c r="N28" t="inlineStr"/>
      <c r="O28" t="inlineStr">
        <is>
          <t>MA</t>
        </is>
      </c>
      <c r="P28" t="inlineStr">
        <is>
          <t>02111</t>
        </is>
      </c>
      <c r="Q28" t="inlineStr">
        <is>
          <t>SUFFOLK</t>
        </is>
      </c>
      <c r="R28" t="inlineStr">
        <is>
          <t>RESIDENTIAL||MULTI_FAMILY_HIGHRISE_DWELLING</t>
        </is>
      </c>
      <c r="S28" t="inlineStr"/>
      <c r="T28" t="inlineStr"/>
      <c r="U28" t="inlineStr"/>
      <c r="V28" t="inlineStr">
        <is>
          <t>FD25025316|26-0043218|1782328748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ELECTRIC_VEHICLE||LIGHT_EV_NRR||FUEL_CELL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FD25025316</t>
        </is>
      </c>
      <c r="B29" t="inlineStr"/>
      <c r="C29" t="inlineStr">
        <is>
          <t>2026-06-22T00:46:53+00:00</t>
        </is>
      </c>
      <c r="D29" s="2">
        <f>IF(C29="","",INT(VALUE(C29)))</f>
        <v/>
      </c>
      <c r="E29" s="3">
        <f>IF(C29="","",MOD(VALUE(C29),1))</f>
        <v/>
      </c>
      <c r="F29">
        <f>IF(C29="","",MONTH(INT(VALUE(C29))))</f>
        <v/>
      </c>
      <c r="G29">
        <f>IF(C29="","",YEAR(INT(VALUE(C29))))</f>
        <v/>
      </c>
      <c r="H29">
        <f>IF(C29="","",HOUR(VALUE(C29)))</f>
        <v/>
      </c>
      <c r="I29" t="inlineStr">
        <is>
          <t>26-0042436</t>
        </is>
      </c>
      <c r="J29" t="inlineStr">
        <is>
          <t>HAZSIT||HAZARD_NONCHEM||ELEC_POWER_LINE_DOWN_ARCHING_MALFUNC</t>
        </is>
      </c>
      <c r="K29" t="inlineStr"/>
      <c r="L29" t="inlineStr"/>
      <c r="M29" t="inlineStr">
        <is>
          <t>CHESTNUT AVE</t>
        </is>
      </c>
      <c r="N29" t="inlineStr"/>
      <c r="O29" t="inlineStr">
        <is>
          <t>MA</t>
        </is>
      </c>
      <c r="P29" t="inlineStr">
        <is>
          <t>02130</t>
        </is>
      </c>
      <c r="Q29" t="inlineStr">
        <is>
          <t>SUFFOLK</t>
        </is>
      </c>
      <c r="R29" t="inlineStr">
        <is>
          <t>ROADWAY_ACCESS||PARKING_LOT_GARAGE</t>
        </is>
      </c>
      <c r="S29" t="inlineStr"/>
      <c r="T29" t="inlineStr"/>
      <c r="U29" t="inlineStr"/>
      <c r="V29" t="inlineStr">
        <is>
          <t>FD25025316|26-0042436|1782089213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ENERGY_STORAGE_SYSTEM||OTHER</t>
        </is>
      </c>
      <c r="AD29" t="inlineStr">
        <is>
          <t>UNKNOWN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FD25025316</t>
        </is>
      </c>
      <c r="B30" t="inlineStr"/>
      <c r="C30" t="inlineStr">
        <is>
          <t>2026-06-17T16:54:49+00:00</t>
        </is>
      </c>
      <c r="D30" s="2">
        <f>IF(C30="","",INT(VALUE(C30)))</f>
        <v/>
      </c>
      <c r="E30" s="3">
        <f>IF(C30="","",MOD(VALUE(C30),1))</f>
        <v/>
      </c>
      <c r="F30">
        <f>IF(C30="","",MONTH(INT(VALUE(C30))))</f>
        <v/>
      </c>
      <c r="G30">
        <f>IF(C30="","",YEAR(INT(VALUE(C30))))</f>
        <v/>
      </c>
      <c r="H30">
        <f>IF(C30="","",HOUR(VALUE(C30)))</f>
        <v/>
      </c>
      <c r="I30" t="inlineStr">
        <is>
          <t>26-0041199</t>
        </is>
      </c>
      <c r="J30" t="inlineStr">
        <is>
          <t>FIRE||TRANSPORTATION_FIRE||VEHICLE_FIRE_COMMERCIAL</t>
        </is>
      </c>
      <c r="K30" t="inlineStr"/>
      <c r="L30" t="inlineStr"/>
      <c r="M30" t="inlineStr">
        <is>
          <t>SARATOGA ST</t>
        </is>
      </c>
      <c r="N30" t="inlineStr"/>
      <c r="O30" t="inlineStr">
        <is>
          <t>MA</t>
        </is>
      </c>
      <c r="P30" t="inlineStr">
        <is>
          <t>02128</t>
        </is>
      </c>
      <c r="Q30" t="inlineStr">
        <is>
          <t>SUFFOLK</t>
        </is>
      </c>
      <c r="R30" t="inlineStr">
        <is>
          <t>ROADWAY_ACCESS||STREET</t>
        </is>
      </c>
      <c r="S30" t="inlineStr"/>
      <c r="T30" t="inlineStr"/>
      <c r="U30" t="inlineStr"/>
      <c r="V30" t="inlineStr">
        <is>
          <t>FD25025316|26-0041199|1781715289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CONSUMER_PRODUCTS||OTHER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FD25025316</t>
        </is>
      </c>
      <c r="B31" t="inlineStr"/>
      <c r="C31" t="inlineStr">
        <is>
          <t>2026-06-09T17:46:24+00:00</t>
        </is>
      </c>
      <c r="D31" s="2">
        <f>IF(C31="","",INT(VALUE(C31)))</f>
        <v/>
      </c>
      <c r="E31" s="3">
        <f>IF(C31="","",MOD(VALUE(C31),1))</f>
        <v/>
      </c>
      <c r="F31">
        <f>IF(C31="","",MONTH(INT(VALUE(C31))))</f>
        <v/>
      </c>
      <c r="G31">
        <f>IF(C31="","",YEAR(INT(VALUE(C31))))</f>
        <v/>
      </c>
      <c r="H31">
        <f>IF(C31="","",HOUR(VALUE(C31)))</f>
        <v/>
      </c>
      <c r="I31" t="inlineStr">
        <is>
          <t>26-0038885</t>
        </is>
      </c>
      <c r="J31" t="inlineStr">
        <is>
          <t>FIRE||STRUCTURE_FIRE||STRUCTURAL_INVOLVEMENT_FIRE</t>
        </is>
      </c>
      <c r="K31" t="inlineStr"/>
      <c r="L31" t="inlineStr"/>
      <c r="M31" t="inlineStr">
        <is>
          <t>WASHINGTON ST</t>
        </is>
      </c>
      <c r="N31" t="inlineStr"/>
      <c r="O31" t="inlineStr">
        <is>
          <t>MA</t>
        </is>
      </c>
      <c r="P31" t="inlineStr">
        <is>
          <t>02135</t>
        </is>
      </c>
      <c r="Q31" t="inlineStr">
        <is>
          <t>SUFFOLK</t>
        </is>
      </c>
      <c r="R31" t="inlineStr">
        <is>
          <t>RESIDENTIAL||MULTI_FAMILY_MIDRISE_DWELLING</t>
        </is>
      </c>
      <c r="S31" t="inlineStr"/>
      <c r="T31" t="inlineStr"/>
      <c r="U31" t="inlineStr"/>
      <c r="V31" t="inlineStr">
        <is>
          <t>FD25025316|26-0038885|1781027184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E_MOBILITY||ELECTRIC_SCOOTER_MOPED</t>
        </is>
      </c>
      <c r="AD31" t="inlineStr">
        <is>
          <t>UNKNOWN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FD25025316</t>
        </is>
      </c>
      <c r="B32" t="inlineStr"/>
      <c r="C32" t="inlineStr">
        <is>
          <t>2026-05-26T14:03:04+00:00</t>
        </is>
      </c>
      <c r="D32" s="2">
        <f>IF(C32="","",INT(VALUE(C32)))</f>
        <v/>
      </c>
      <c r="E32" s="3">
        <f>IF(C32="","",MOD(VALUE(C32),1))</f>
        <v/>
      </c>
      <c r="F32">
        <f>IF(C32="","",MONTH(INT(VALUE(C32))))</f>
        <v/>
      </c>
      <c r="G32">
        <f>IF(C32="","",YEAR(INT(VALUE(C32))))</f>
        <v/>
      </c>
      <c r="H32">
        <f>IF(C32="","",HOUR(VALUE(C32)))</f>
        <v/>
      </c>
      <c r="I32" t="inlineStr">
        <is>
          <t>26-0035039</t>
        </is>
      </c>
      <c r="J32" t="inlineStr">
        <is>
          <t>FIRE||OUTSIDE_FIRE||TRASH_RUBBISH_FIRE</t>
        </is>
      </c>
      <c r="K32" t="inlineStr"/>
      <c r="L32" t="inlineStr"/>
      <c r="M32" t="inlineStr">
        <is>
          <t>SUMMER ST</t>
        </is>
      </c>
      <c r="N32" t="inlineStr"/>
      <c r="O32" t="inlineStr">
        <is>
          <t>MA</t>
        </is>
      </c>
      <c r="P32" t="inlineStr">
        <is>
          <t>02111</t>
        </is>
      </c>
      <c r="Q32" t="inlineStr">
        <is>
          <t>SUFFOLK</t>
        </is>
      </c>
      <c r="R32" t="inlineStr">
        <is>
          <t>COMMERCIAL||OFFICE_OTHER_TECHNICAL_SERVICES</t>
        </is>
      </c>
      <c r="S32" t="inlineStr"/>
      <c r="T32" t="inlineStr"/>
      <c r="U32" t="inlineStr"/>
      <c r="V32" t="inlineStr">
        <is>
          <t>FD25025316|26-0035039|1779804184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ENERGY_STORAGE_SYSTEM||BATTERY</t>
        </is>
      </c>
      <c r="AD32" t="inlineStr">
        <is>
          <t>SOURCE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FD25025316</t>
        </is>
      </c>
      <c r="B33" t="inlineStr"/>
      <c r="C33" t="inlineStr">
        <is>
          <t>2026-05-20T16:43:15+00:00</t>
        </is>
      </c>
      <c r="D33" s="2">
        <f>IF(C33="","",INT(VALUE(C33)))</f>
        <v/>
      </c>
      <c r="E33" s="3">
        <f>IF(C33="","",MOD(VALUE(C33),1))</f>
        <v/>
      </c>
      <c r="F33">
        <f>IF(C33="","",MONTH(INT(VALUE(C33))))</f>
        <v/>
      </c>
      <c r="G33">
        <f>IF(C33="","",YEAR(INT(VALUE(C33))))</f>
        <v/>
      </c>
      <c r="H33">
        <f>IF(C33="","",HOUR(VALUE(C33)))</f>
        <v/>
      </c>
      <c r="I33" t="inlineStr">
        <is>
          <t>26-0033643</t>
        </is>
      </c>
      <c r="J33" t="inlineStr">
        <is>
          <t>HAZSIT||HAZARD_NONCHEM||ELEC_POWER_LINE_DOWN_ARCHING_MALFUNC</t>
        </is>
      </c>
      <c r="K33" t="inlineStr"/>
      <c r="L33" t="inlineStr"/>
      <c r="M33" t="inlineStr">
        <is>
          <t>PIERPONT RD / GLEN LN</t>
        </is>
      </c>
      <c r="N33" t="inlineStr"/>
      <c r="O33" t="inlineStr">
        <is>
          <t>MA</t>
        </is>
      </c>
      <c r="P33" t="inlineStr">
        <is>
          <t>02121</t>
        </is>
      </c>
      <c r="Q33" t="inlineStr">
        <is>
          <t>SUFFOLK</t>
        </is>
      </c>
      <c r="R33" t="inlineStr">
        <is>
          <t>OUTDOOR||PLAYGROUND_PARK_RECREATIONAL_AREA</t>
        </is>
      </c>
      <c r="S33" t="inlineStr"/>
      <c r="T33" t="inlineStr"/>
      <c r="U33" t="inlineStr"/>
      <c r="V33" t="inlineStr">
        <is>
          <t>FD25025316|26-0033643|1779295395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CONSUMER_PRODUCTS||OTHER</t>
        </is>
      </c>
      <c r="AD33" t="inlineStr">
        <is>
          <t>UNKNOWN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FD25025316</t>
        </is>
      </c>
      <c r="B34" t="inlineStr"/>
      <c r="C34" t="inlineStr">
        <is>
          <t>2026-05-18T03:36:29+00:00</t>
        </is>
      </c>
      <c r="D34" s="2">
        <f>IF(C34="","",INT(VALUE(C34)))</f>
        <v/>
      </c>
      <c r="E34" s="3">
        <f>IF(C34="","",MOD(VALUE(C34),1))</f>
        <v/>
      </c>
      <c r="F34">
        <f>IF(C34="","",MONTH(INT(VALUE(C34))))</f>
        <v/>
      </c>
      <c r="G34">
        <f>IF(C34="","",YEAR(INT(VALUE(C34))))</f>
        <v/>
      </c>
      <c r="H34">
        <f>IF(C34="","",HOUR(VALUE(C34)))</f>
        <v/>
      </c>
      <c r="I34" t="inlineStr">
        <is>
          <t>26-0032816</t>
        </is>
      </c>
      <c r="J34" t="inlineStr">
        <is>
          <t>HAZSIT||HAZARD_NONCHEM||ELEC_HAZARD_SHORT_CIRCUIT</t>
        </is>
      </c>
      <c r="K34" t="inlineStr"/>
      <c r="L34" t="inlineStr"/>
      <c r="M34" t="inlineStr">
        <is>
          <t>E SIXTH ST</t>
        </is>
      </c>
      <c r="N34" t="inlineStr"/>
      <c r="O34" t="inlineStr">
        <is>
          <t>MA</t>
        </is>
      </c>
      <c r="P34" t="inlineStr">
        <is>
          <t>02127</t>
        </is>
      </c>
      <c r="Q34" t="inlineStr">
        <is>
          <t>SUFFOLK</t>
        </is>
      </c>
      <c r="R34" t="inlineStr">
        <is>
          <t>RESIDENTIAL||MULTI_FAMILY_LOWRISE_DWELLING</t>
        </is>
      </c>
      <c r="S34" t="inlineStr"/>
      <c r="T34" t="inlineStr"/>
      <c r="U34" t="inlineStr"/>
      <c r="V34" t="inlineStr">
        <is>
          <t>FD25025316|26-0032816|1779075389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CONSUMER_PRODUCTS||OTHER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FD25025316</t>
        </is>
      </c>
      <c r="B35" t="inlineStr"/>
      <c r="C35" t="inlineStr">
        <is>
          <t>2026-05-15T20:45:38+00:00</t>
        </is>
      </c>
      <c r="D35" s="2">
        <f>IF(C35="","",INT(VALUE(C35)))</f>
        <v/>
      </c>
      <c r="E35" s="3">
        <f>IF(C35="","",MOD(VALUE(C35),1))</f>
        <v/>
      </c>
      <c r="F35">
        <f>IF(C35="","",MONTH(INT(VALUE(C35))))</f>
        <v/>
      </c>
      <c r="G35">
        <f>IF(C35="","",YEAR(INT(VALUE(C35))))</f>
        <v/>
      </c>
      <c r="H35">
        <f>IF(C35="","",HOUR(VALUE(C35)))</f>
        <v/>
      </c>
      <c r="I35" t="inlineStr">
        <is>
          <t>26-0032127</t>
        </is>
      </c>
      <c r="J35" t="inlineStr">
        <is>
          <t>HAZSIT||OVERPRESSURE||NO_RUPTURE</t>
        </is>
      </c>
      <c r="K35" t="inlineStr"/>
      <c r="L35" t="inlineStr"/>
      <c r="M35" t="inlineStr">
        <is>
          <t>DESIGN CENTER PL</t>
        </is>
      </c>
      <c r="N35" t="inlineStr"/>
      <c r="O35" t="inlineStr">
        <is>
          <t>MA</t>
        </is>
      </c>
      <c r="P35" t="inlineStr">
        <is>
          <t>02210</t>
        </is>
      </c>
      <c r="Q35" t="inlineStr">
        <is>
          <t>SUFFOLK</t>
        </is>
      </c>
      <c r="R35" t="inlineStr">
        <is>
          <t>COMMERCIAL||OFFICE_OTHER_TECHNICAL_SERVICES</t>
        </is>
      </c>
      <c r="S35" t="inlineStr"/>
      <c r="T35" t="inlineStr"/>
      <c r="U35" t="inlineStr"/>
      <c r="V35" t="inlineStr">
        <is>
          <t>FD25025316|26-0032127|1778877938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CONSUMER_PRODUCTS||POWER_BANK</t>
        </is>
      </c>
      <c r="AD35" t="inlineStr">
        <is>
          <t>UNKNOWN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FD25025316</t>
        </is>
      </c>
      <c r="B36" t="inlineStr"/>
      <c r="C36" t="inlineStr">
        <is>
          <t>2026-05-14T00:44:34+00:00</t>
        </is>
      </c>
      <c r="D36" s="2">
        <f>IF(C36="","",INT(VALUE(C36)))</f>
        <v/>
      </c>
      <c r="E36" s="3">
        <f>IF(C36="","",MOD(VALUE(C36),1))</f>
        <v/>
      </c>
      <c r="F36">
        <f>IF(C36="","",MONTH(INT(VALUE(C36))))</f>
        <v/>
      </c>
      <c r="G36">
        <f>IF(C36="","",YEAR(INT(VALUE(C36))))</f>
        <v/>
      </c>
      <c r="H36">
        <f>IF(C36="","",HOUR(VALUE(C36)))</f>
        <v/>
      </c>
      <c r="I36" t="inlineStr">
        <is>
          <t>26-0031746</t>
        </is>
      </c>
      <c r="J36" t="inlineStr">
        <is>
          <t>HAZSIT||INVESTIGATION||ODOR</t>
        </is>
      </c>
      <c r="K36" t="inlineStr"/>
      <c r="L36" t="inlineStr"/>
      <c r="M36" t="inlineStr">
        <is>
          <t>CAMBRIDGE ST / SOLDIERS FIELD RD</t>
        </is>
      </c>
      <c r="N36" t="inlineStr"/>
      <c r="O36" t="inlineStr">
        <is>
          <t>MA</t>
        </is>
      </c>
      <c r="P36" t="inlineStr">
        <is>
          <t>02134</t>
        </is>
      </c>
      <c r="Q36" t="inlineStr">
        <is>
          <t>SUFFOLK</t>
        </is>
      </c>
      <c r="R36" t="inlineStr">
        <is>
          <t>ROADWAY_ACCESS||STREET</t>
        </is>
      </c>
      <c r="S36" t="inlineStr"/>
      <c r="T36" t="inlineStr"/>
      <c r="U36" t="inlineStr"/>
      <c r="V36" t="inlineStr">
        <is>
          <t>FD25025316|26-0031746|1778719474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CONSUMER_PRODUCTS||OTHER</t>
        </is>
      </c>
      <c r="AD36" t="inlineStr">
        <is>
          <t>UNKNOWN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FD25025316</t>
        </is>
      </c>
      <c r="B37" t="inlineStr"/>
      <c r="C37" t="inlineStr">
        <is>
          <t>2026-05-11T14:57:12+00:00</t>
        </is>
      </c>
      <c r="D37" s="2">
        <f>IF(C37="","",INT(VALUE(C37)))</f>
        <v/>
      </c>
      <c r="E37" s="3">
        <f>IF(C37="","",MOD(VALUE(C37),1))</f>
        <v/>
      </c>
      <c r="F37">
        <f>IF(C37="","",MONTH(INT(VALUE(C37))))</f>
        <v/>
      </c>
      <c r="G37">
        <f>IF(C37="","",YEAR(INT(VALUE(C37))))</f>
        <v/>
      </c>
      <c r="H37">
        <f>IF(C37="","",HOUR(VALUE(C37)))</f>
        <v/>
      </c>
      <c r="I37" t="inlineStr">
        <is>
          <t>26-0031092</t>
        </is>
      </c>
      <c r="J37" t="inlineStr">
        <is>
          <t>FIRE||OUTSIDE_FIRE||UTILITY_INFRASTRUCTURE_FIRE</t>
        </is>
      </c>
      <c r="K37" t="inlineStr"/>
      <c r="L37" t="inlineStr"/>
      <c r="M37" t="inlineStr">
        <is>
          <t>WASHINGTON ST</t>
        </is>
      </c>
      <c r="N37" t="inlineStr"/>
      <c r="O37" t="inlineStr">
        <is>
          <t>MA</t>
        </is>
      </c>
      <c r="P37" t="inlineStr">
        <is>
          <t>02131</t>
        </is>
      </c>
      <c r="Q37" t="inlineStr">
        <is>
          <t>SUFFOLK</t>
        </is>
      </c>
      <c r="R37" t="inlineStr">
        <is>
          <t>ROADWAY_ACCESS||STREET</t>
        </is>
      </c>
      <c r="S37" t="inlineStr"/>
      <c r="T37" t="inlineStr"/>
      <c r="U37" t="inlineStr"/>
      <c r="V37" t="inlineStr">
        <is>
          <t>FD25025316|26-0031092|1778511432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CONSUMER_PRODUCTS||OTHER</t>
        </is>
      </c>
      <c r="AD37" t="inlineStr">
        <is>
          <t>UNKNOWN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FD25025316</t>
        </is>
      </c>
      <c r="B38" t="inlineStr"/>
      <c r="C38" t="inlineStr">
        <is>
          <t>2026-05-10T16:08:33+00:00</t>
        </is>
      </c>
      <c r="D38" s="2">
        <f>IF(C38="","",INT(VALUE(C38)))</f>
        <v/>
      </c>
      <c r="E38" s="3">
        <f>IF(C38="","",MOD(VALUE(C38),1))</f>
        <v/>
      </c>
      <c r="F38">
        <f>IF(C38="","",MONTH(INT(VALUE(C38))))</f>
        <v/>
      </c>
      <c r="G38">
        <f>IF(C38="","",YEAR(INT(VALUE(C38))))</f>
        <v/>
      </c>
      <c r="H38">
        <f>IF(C38="","",HOUR(VALUE(C38)))</f>
        <v/>
      </c>
      <c r="I38" t="inlineStr">
        <is>
          <t>26-0030881</t>
        </is>
      </c>
      <c r="J38" t="inlineStr">
        <is>
          <t>HAZSIT||HAZARD_NONCHEM||ELEC_HAZARD_SHORT_CIRCUIT</t>
        </is>
      </c>
      <c r="K38" t="inlineStr"/>
      <c r="L38" t="inlineStr"/>
      <c r="M38" t="inlineStr">
        <is>
          <t>MARLBOROUGH ST</t>
        </is>
      </c>
      <c r="N38" t="inlineStr"/>
      <c r="O38" t="inlineStr">
        <is>
          <t>MA</t>
        </is>
      </c>
      <c r="P38" t="inlineStr">
        <is>
          <t>02116</t>
        </is>
      </c>
      <c r="Q38" t="inlineStr">
        <is>
          <t>SUFFOLK</t>
        </is>
      </c>
      <c r="R38" t="inlineStr">
        <is>
          <t>RESIDENTIAL||MULTI_FAMILY_MIDRISE_DWELLING</t>
        </is>
      </c>
      <c r="S38" t="inlineStr"/>
      <c r="T38" t="inlineStr"/>
      <c r="U38" t="inlineStr"/>
      <c r="V38" t="inlineStr">
        <is>
          <t>FD25025316|26-0030881|1778429313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ENERGY_STORAGE_SYSTEM||OTHER</t>
        </is>
      </c>
      <c r="AD38" t="inlineStr">
        <is>
          <t>SOURCE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FD25025316</t>
        </is>
      </c>
      <c r="B39" t="inlineStr"/>
      <c r="C39" t="inlineStr">
        <is>
          <t>2026-05-08T12:28:57+00:00</t>
        </is>
      </c>
      <c r="D39" s="2">
        <f>IF(C39="","",INT(VALUE(C39)))</f>
        <v/>
      </c>
      <c r="E39" s="3">
        <f>IF(C39="","",MOD(VALUE(C39),1))</f>
        <v/>
      </c>
      <c r="F39">
        <f>IF(C39="","",MONTH(INT(VALUE(C39))))</f>
        <v/>
      </c>
      <c r="G39">
        <f>IF(C39="","",YEAR(INT(VALUE(C39))))</f>
        <v/>
      </c>
      <c r="H39">
        <f>IF(C39="","",HOUR(VALUE(C39)))</f>
        <v/>
      </c>
      <c r="I39" t="inlineStr">
        <is>
          <t>26-0030317</t>
        </is>
      </c>
      <c r="J39" t="inlineStr">
        <is>
          <t>HAZSIT||HAZARD_NONCHEM||ELEC_HAZARD_SHORT_CIRCUIT</t>
        </is>
      </c>
      <c r="K39" t="inlineStr">
        <is>
          <t>PUBSERV||CITIZEN_ASSIST||CITIZEN_ASSIST_SERVICE_CALL</t>
        </is>
      </c>
      <c r="L39" t="inlineStr"/>
      <c r="M39" t="inlineStr">
        <is>
          <t>BEACON ST</t>
        </is>
      </c>
      <c r="N39" t="inlineStr"/>
      <c r="O39" t="inlineStr">
        <is>
          <t>MA</t>
        </is>
      </c>
      <c r="P39" t="inlineStr">
        <is>
          <t>02108</t>
        </is>
      </c>
      <c r="Q39" t="inlineStr">
        <is>
          <t>SUFFOLK</t>
        </is>
      </c>
      <c r="R39" t="inlineStr">
        <is>
          <t>ROADWAY_ACCESS||SIDEWALK</t>
        </is>
      </c>
      <c r="S39" t="inlineStr"/>
      <c r="T39" t="inlineStr"/>
      <c r="U39" t="inlineStr"/>
      <c r="V39" t="inlineStr">
        <is>
          <t>FD25025316|26-0030317|1778243337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CONSUMER_PRODUCTS||POWER_BANK</t>
        </is>
      </c>
      <c r="AD39" t="inlineStr">
        <is>
          <t>UNKNOWN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FD25025316</t>
        </is>
      </c>
      <c r="B40" t="inlineStr"/>
      <c r="C40" t="inlineStr">
        <is>
          <t>2026-05-05T10:10:41+00:00</t>
        </is>
      </c>
      <c r="D40" s="2">
        <f>IF(C40="","",INT(VALUE(C40)))</f>
        <v/>
      </c>
      <c r="E40" s="3">
        <f>IF(C40="","",MOD(VALUE(C40),1))</f>
        <v/>
      </c>
      <c r="F40">
        <f>IF(C40="","",MONTH(INT(VALUE(C40))))</f>
        <v/>
      </c>
      <c r="G40">
        <f>IF(C40="","",YEAR(INT(VALUE(C40))))</f>
        <v/>
      </c>
      <c r="H40">
        <f>IF(C40="","",HOUR(VALUE(C40)))</f>
        <v/>
      </c>
      <c r="I40" t="inlineStr">
        <is>
          <t>26-0029544</t>
        </is>
      </c>
      <c r="J40" t="inlineStr">
        <is>
          <t>HAZSIT||OVERPRESSURE||RUPTURE_WITHOUT_FIRE</t>
        </is>
      </c>
      <c r="K40" t="inlineStr"/>
      <c r="L40" t="inlineStr"/>
      <c r="M40" t="inlineStr">
        <is>
          <t>WEST ST / WASHINGTON ST</t>
        </is>
      </c>
      <c r="N40" t="inlineStr"/>
      <c r="O40" t="inlineStr">
        <is>
          <t>MA</t>
        </is>
      </c>
      <c r="P40" t="inlineStr">
        <is>
          <t>02111</t>
        </is>
      </c>
      <c r="Q40" t="inlineStr">
        <is>
          <t>SUFFOLK</t>
        </is>
      </c>
      <c r="R40" t="inlineStr">
        <is>
          <t>ROADWAY_ACCESS||STREET</t>
        </is>
      </c>
      <c r="S40" t="inlineStr"/>
      <c r="T40" t="inlineStr"/>
      <c r="U40" t="inlineStr"/>
      <c r="V40" t="inlineStr">
        <is>
          <t>FD25025316|26-0029544|1777975841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ENERGY_STORAGE_SYSTEM||OTHER</t>
        </is>
      </c>
      <c r="AD40" t="inlineStr">
        <is>
          <t>UNKNOWN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FD25025316</t>
        </is>
      </c>
      <c r="B41" t="inlineStr"/>
      <c r="C41" t="inlineStr">
        <is>
          <t>2026-05-04T19:01:03+00:00</t>
        </is>
      </c>
      <c r="D41" s="2">
        <f>IF(C41="","",INT(VALUE(C41)))</f>
        <v/>
      </c>
      <c r="E41" s="3">
        <f>IF(C41="","",MOD(VALUE(C41),1))</f>
        <v/>
      </c>
      <c r="F41">
        <f>IF(C41="","",MONTH(INT(VALUE(C41))))</f>
        <v/>
      </c>
      <c r="G41">
        <f>IF(C41="","",YEAR(INT(VALUE(C41))))</f>
        <v/>
      </c>
      <c r="H41">
        <f>IF(C41="","",HOUR(VALUE(C41)))</f>
        <v/>
      </c>
      <c r="I41" t="inlineStr">
        <is>
          <t>26-0029380</t>
        </is>
      </c>
      <c r="J41" t="inlineStr">
        <is>
          <t>FIRE||OUTSIDE_FIRE||UTILITY_INFRASTRUCTURE_FIRE</t>
        </is>
      </c>
      <c r="K41" t="inlineStr"/>
      <c r="L41" t="inlineStr"/>
      <c r="M41" t="inlineStr">
        <is>
          <t>SWAN AVE</t>
        </is>
      </c>
      <c r="N41" t="inlineStr"/>
      <c r="O41" t="inlineStr">
        <is>
          <t>MA</t>
        </is>
      </c>
      <c r="P41" t="inlineStr">
        <is>
          <t>02128</t>
        </is>
      </c>
      <c r="Q41" t="inlineStr">
        <is>
          <t>SUFFOLK</t>
        </is>
      </c>
      <c r="R41" t="inlineStr">
        <is>
          <t>ROADWAY_ACCESS||STREET</t>
        </is>
      </c>
      <c r="S41" t="inlineStr"/>
      <c r="T41" t="inlineStr"/>
      <c r="U41" t="inlineStr"/>
      <c r="V41" t="inlineStr">
        <is>
          <t>FD25025316|26-0029380|1777921263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ENERGY_STORAGE_SYSTEM||OTHER</t>
        </is>
      </c>
      <c r="AD41" t="inlineStr">
        <is>
          <t>UNKNOWN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FD25025316</t>
        </is>
      </c>
      <c r="B42" t="inlineStr"/>
      <c r="C42" t="inlineStr">
        <is>
          <t>2026-05-03T19:23:28+00:00</t>
        </is>
      </c>
      <c r="D42" s="2">
        <f>IF(C42="","",INT(VALUE(C42)))</f>
        <v/>
      </c>
      <c r="E42" s="3">
        <f>IF(C42="","",MOD(VALUE(C42),1))</f>
        <v/>
      </c>
      <c r="F42">
        <f>IF(C42="","",MONTH(INT(VALUE(C42))))</f>
        <v/>
      </c>
      <c r="G42">
        <f>IF(C42="","",YEAR(INT(VALUE(C42))))</f>
        <v/>
      </c>
      <c r="H42">
        <f>IF(C42="","",HOUR(VALUE(C42)))</f>
        <v/>
      </c>
      <c r="I42" t="inlineStr">
        <is>
          <t>26-0029138</t>
        </is>
      </c>
      <c r="J42" t="inlineStr">
        <is>
          <t>HAZSIT||HAZARD_NONCHEM||ELEC_HAZARD_SHORT_CIRCUIT</t>
        </is>
      </c>
      <c r="K42" t="inlineStr"/>
      <c r="L42" t="inlineStr"/>
      <c r="M42" t="inlineStr">
        <is>
          <t>CHARLES ST</t>
        </is>
      </c>
      <c r="N42" t="inlineStr"/>
      <c r="O42" t="inlineStr">
        <is>
          <t>MA</t>
        </is>
      </c>
      <c r="P42" t="inlineStr">
        <is>
          <t>02114</t>
        </is>
      </c>
      <c r="Q42" t="inlineStr">
        <is>
          <t>SUFFOLK</t>
        </is>
      </c>
      <c r="R42" t="inlineStr">
        <is>
          <t>HEALTH_CARE||HOSPITAL_24_HOUR_MEDICAL_FACILITIES</t>
        </is>
      </c>
      <c r="S42" t="inlineStr"/>
      <c r="T42" t="inlineStr"/>
      <c r="U42" t="inlineStr"/>
      <c r="V42" t="inlineStr">
        <is>
          <t>FD25025316|26-0029138|1777836208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ELECTRIC_VEHICLE||OTHER||FULL_ELECTRIC</t>
        </is>
      </c>
      <c r="AD42" t="inlineStr">
        <is>
          <t>SOURCE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FD25025316</t>
        </is>
      </c>
      <c r="B43" t="inlineStr"/>
      <c r="C43" t="inlineStr">
        <is>
          <t>2026-04-26T04:48:41+00:00</t>
        </is>
      </c>
      <c r="D43" s="2">
        <f>IF(C43="","",INT(VALUE(C43)))</f>
        <v/>
      </c>
      <c r="E43" s="3">
        <f>IF(C43="","",MOD(VALUE(C43),1))</f>
        <v/>
      </c>
      <c r="F43">
        <f>IF(C43="","",MONTH(INT(VALUE(C43))))</f>
        <v/>
      </c>
      <c r="G43">
        <f>IF(C43="","",YEAR(INT(VALUE(C43))))</f>
        <v/>
      </c>
      <c r="H43">
        <f>IF(C43="","",HOUR(VALUE(C43)))</f>
        <v/>
      </c>
      <c r="I43" t="inlineStr">
        <is>
          <t>26-0027308</t>
        </is>
      </c>
      <c r="J43" t="inlineStr">
        <is>
          <t>FIRE||STRUCTURE_FIRE||ROOM_AND_CONTENTS_FIRE</t>
        </is>
      </c>
      <c r="K43" t="inlineStr"/>
      <c r="L43" t="inlineStr"/>
      <c r="M43" t="inlineStr">
        <is>
          <t>WESTERN AVE</t>
        </is>
      </c>
      <c r="N43" t="inlineStr"/>
      <c r="O43" t="inlineStr">
        <is>
          <t>MA</t>
        </is>
      </c>
      <c r="P43" t="inlineStr">
        <is>
          <t>02134</t>
        </is>
      </c>
      <c r="Q43" t="inlineStr">
        <is>
          <t>SUFFOLK</t>
        </is>
      </c>
      <c r="R43" t="inlineStr">
        <is>
          <t>RESIDENTIAL||MULTI_FAMILY_MIDRISE_DWELLING</t>
        </is>
      </c>
      <c r="S43" t="inlineStr"/>
      <c r="T43" t="inlineStr"/>
      <c r="U43" t="inlineStr"/>
      <c r="V43" t="inlineStr">
        <is>
          <t>FD25025316|26-0027308|1777178921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CONSUMER_PRODUCTS||CELL_PHONE</t>
        </is>
      </c>
      <c r="AD43" t="inlineStr">
        <is>
          <t>UNKNOWN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FD25025316</t>
        </is>
      </c>
      <c r="B44" t="inlineStr"/>
      <c r="C44" t="inlineStr">
        <is>
          <t>2026-04-14T00:00:07+00:00</t>
        </is>
      </c>
      <c r="D44" s="2">
        <f>IF(C44="","",INT(VALUE(C44)))</f>
        <v/>
      </c>
      <c r="E44" s="3">
        <f>IF(C44="","",MOD(VALUE(C44),1))</f>
        <v/>
      </c>
      <c r="F44">
        <f>IF(C44="","",MONTH(INT(VALUE(C44))))</f>
        <v/>
      </c>
      <c r="G44">
        <f>IF(C44="","",YEAR(INT(VALUE(C44))))</f>
        <v/>
      </c>
      <c r="H44">
        <f>IF(C44="","",HOUR(VALUE(C44)))</f>
        <v/>
      </c>
      <c r="I44" t="inlineStr">
        <is>
          <t>26-0024473</t>
        </is>
      </c>
      <c r="J44" t="inlineStr">
        <is>
          <t>FIRE||STRUCTURE_FIRE||STRUCTURAL_INVOLVEMENT_FIRE</t>
        </is>
      </c>
      <c r="K44" t="inlineStr"/>
      <c r="L44" t="inlineStr"/>
      <c r="M44" t="inlineStr">
        <is>
          <t>PARIS ST</t>
        </is>
      </c>
      <c r="N44" t="inlineStr"/>
      <c r="O44" t="inlineStr">
        <is>
          <t>MA</t>
        </is>
      </c>
      <c r="P44" t="inlineStr">
        <is>
          <t>02128</t>
        </is>
      </c>
      <c r="Q44" t="inlineStr">
        <is>
          <t>SUFFOLK</t>
        </is>
      </c>
      <c r="R44" t="inlineStr">
        <is>
          <t>RESIDENTIAL||MULTI_FAMILY_LOWRISE_DWELLING</t>
        </is>
      </c>
      <c r="S44" t="inlineStr"/>
      <c r="T44" t="inlineStr"/>
      <c r="U44" t="inlineStr"/>
      <c r="V44" t="inlineStr">
        <is>
          <t>FD25025316|26-0024473|1776124807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E_MOBILITY||ELECTRIC_SCOOTER_MOPED</t>
        </is>
      </c>
      <c r="AD44" t="inlineStr">
        <is>
          <t>SOURCE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FD25025316</t>
        </is>
      </c>
      <c r="B45" t="inlineStr"/>
      <c r="C45" t="inlineStr">
        <is>
          <t>2026-04-10T13:06:54+00:00</t>
        </is>
      </c>
      <c r="D45" s="2">
        <f>IF(C45="","",INT(VALUE(C45)))</f>
        <v/>
      </c>
      <c r="E45" s="3">
        <f>IF(C45="","",MOD(VALUE(C45),1))</f>
        <v/>
      </c>
      <c r="F45">
        <f>IF(C45="","",MONTH(INT(VALUE(C45))))</f>
        <v/>
      </c>
      <c r="G45">
        <f>IF(C45="","",YEAR(INT(VALUE(C45))))</f>
        <v/>
      </c>
      <c r="H45">
        <f>IF(C45="","",HOUR(VALUE(C45)))</f>
        <v/>
      </c>
      <c r="I45" t="inlineStr">
        <is>
          <t>26-0023593</t>
        </is>
      </c>
      <c r="J45" t="inlineStr">
        <is>
          <t>FIRE||TRANSPORTATION_FIRE||VEHICLE_FIRE_PASSENGER</t>
        </is>
      </c>
      <c r="K45" t="inlineStr"/>
      <c r="L45" t="inlineStr"/>
      <c r="M45" t="inlineStr">
        <is>
          <t>ADAMS ST</t>
        </is>
      </c>
      <c r="N45" t="inlineStr"/>
      <c r="O45" t="inlineStr">
        <is>
          <t>MA</t>
        </is>
      </c>
      <c r="P45" t="inlineStr">
        <is>
          <t>02122</t>
        </is>
      </c>
      <c r="Q45" t="inlineStr">
        <is>
          <t>SUFFOLK</t>
        </is>
      </c>
      <c r="R45" t="inlineStr">
        <is>
          <t>ROADWAY_ACCESS||STREET</t>
        </is>
      </c>
      <c r="S45" t="inlineStr"/>
      <c r="T45" t="inlineStr"/>
      <c r="U45" t="inlineStr"/>
      <c r="V45" t="inlineStr">
        <is>
          <t>FD25025316|26-0023593|1775826414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E_MOBILITY||ELECTRIC_SCOOTER_MOPED</t>
        </is>
      </c>
      <c r="AD45" t="inlineStr">
        <is>
          <t>SOURCE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FD25025316</t>
        </is>
      </c>
      <c r="B46" t="inlineStr"/>
      <c r="C46" t="inlineStr">
        <is>
          <t>2026-03-25T22:36:03+00:00</t>
        </is>
      </c>
      <c r="D46" s="2">
        <f>IF(C46="","",INT(VALUE(C46)))</f>
        <v/>
      </c>
      <c r="E46" s="3">
        <f>IF(C46="","",MOD(VALUE(C46),1))</f>
        <v/>
      </c>
      <c r="F46">
        <f>IF(C46="","",MONTH(INT(VALUE(C46))))</f>
        <v/>
      </c>
      <c r="G46">
        <f>IF(C46="","",YEAR(INT(VALUE(C46))))</f>
        <v/>
      </c>
      <c r="H46">
        <f>IF(C46="","",HOUR(VALUE(C46)))</f>
        <v/>
      </c>
      <c r="I46" t="inlineStr">
        <is>
          <t>26-0020224</t>
        </is>
      </c>
      <c r="J46" t="inlineStr">
        <is>
          <t>HAZSIT||HAZARD_NONCHEM||ELEC_HAZARD_SHORT_CIRCUIT</t>
        </is>
      </c>
      <c r="K46" t="inlineStr"/>
      <c r="L46" t="inlineStr"/>
      <c r="M46" t="inlineStr">
        <is>
          <t>COLUMBUS AVE</t>
        </is>
      </c>
      <c r="N46" t="inlineStr"/>
      <c r="O46" t="inlineStr">
        <is>
          <t>MA</t>
        </is>
      </c>
      <c r="P46" t="inlineStr">
        <is>
          <t>02119</t>
        </is>
      </c>
      <c r="Q46" t="inlineStr">
        <is>
          <t>SUFFOLK</t>
        </is>
      </c>
      <c r="R46" t="inlineStr">
        <is>
          <t>EDUCATION||PREK_DAYCARE</t>
        </is>
      </c>
      <c r="S46" t="inlineStr"/>
      <c r="T46" t="inlineStr"/>
      <c r="U46" t="inlineStr"/>
      <c r="V46" t="inlineStr">
        <is>
          <t>FD25025316|26-0020224|1774478163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CONSUMER_PRODUCTS||APPLIANCE_TOOL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FD25025316</t>
        </is>
      </c>
      <c r="B47" t="inlineStr"/>
      <c r="C47" t="inlineStr">
        <is>
          <t>2026-03-24T23:57:30+00:00</t>
        </is>
      </c>
      <c r="D47" s="2">
        <f>IF(C47="","",INT(VALUE(C47)))</f>
        <v/>
      </c>
      <c r="E47" s="3">
        <f>IF(C47="","",MOD(VALUE(C47),1))</f>
        <v/>
      </c>
      <c r="F47">
        <f>IF(C47="","",MONTH(INT(VALUE(C47))))</f>
        <v/>
      </c>
      <c r="G47">
        <f>IF(C47="","",YEAR(INT(VALUE(C47))))</f>
        <v/>
      </c>
      <c r="H47">
        <f>IF(C47="","",HOUR(VALUE(C47)))</f>
        <v/>
      </c>
      <c r="I47" t="inlineStr">
        <is>
          <t>26-0020014</t>
        </is>
      </c>
      <c r="J47" t="inlineStr">
        <is>
          <t>HAZSIT||HAZARDOUS_MATERIALS||GAS_LEAK_ODOR</t>
        </is>
      </c>
      <c r="K47" t="inlineStr"/>
      <c r="L47" t="inlineStr"/>
      <c r="M47" t="inlineStr">
        <is>
          <t>SHAWMUT AVE</t>
        </is>
      </c>
      <c r="N47" t="inlineStr"/>
      <c r="O47" t="inlineStr">
        <is>
          <t>MA</t>
        </is>
      </c>
      <c r="P47" t="inlineStr">
        <is>
          <t>02118</t>
        </is>
      </c>
      <c r="Q47" t="inlineStr">
        <is>
          <t>SUFFOLK</t>
        </is>
      </c>
      <c r="R47" t="inlineStr">
        <is>
          <t>RESIDENTIAL||MULTI_FAMILY_LOWRISE_DWELLING</t>
        </is>
      </c>
      <c r="S47" t="inlineStr"/>
      <c r="T47" t="inlineStr"/>
      <c r="U47" t="inlineStr"/>
      <c r="V47" t="inlineStr">
        <is>
          <t>FD25025316|26-0020014|1774396650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CONSUMER_PRODUCTS||APPLIANCE_TOOL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FD25025316</t>
        </is>
      </c>
      <c r="B48" t="inlineStr"/>
      <c r="C48" t="inlineStr">
        <is>
          <t>2026-03-18T13:08:59+00:00</t>
        </is>
      </c>
      <c r="D48" s="2">
        <f>IF(C48="","",INT(VALUE(C48)))</f>
        <v/>
      </c>
      <c r="E48" s="3">
        <f>IF(C48="","",MOD(VALUE(C48),1))</f>
        <v/>
      </c>
      <c r="F48">
        <f>IF(C48="","",MONTH(INT(VALUE(C48))))</f>
        <v/>
      </c>
      <c r="G48">
        <f>IF(C48="","",YEAR(INT(VALUE(C48))))</f>
        <v/>
      </c>
      <c r="H48">
        <f>IF(C48="","",HOUR(VALUE(C48)))</f>
        <v/>
      </c>
      <c r="I48" t="inlineStr">
        <is>
          <t>26-0018564</t>
        </is>
      </c>
      <c r="J48" t="inlineStr">
        <is>
          <t>FIRE||TRANSPORTATION_FIRE||POWERED_MOBILITY_DEVICE_FIRE</t>
        </is>
      </c>
      <c r="K48" t="inlineStr"/>
      <c r="L48" t="inlineStr"/>
      <c r="M48" t="inlineStr">
        <is>
          <t>AVERY ST</t>
        </is>
      </c>
      <c r="N48" t="inlineStr"/>
      <c r="O48" t="inlineStr">
        <is>
          <t>MA</t>
        </is>
      </c>
      <c r="P48" t="inlineStr">
        <is>
          <t>02111</t>
        </is>
      </c>
      <c r="Q48" t="inlineStr">
        <is>
          <t>SUFFOLK</t>
        </is>
      </c>
      <c r="R48" t="inlineStr">
        <is>
          <t>RESIDENTIAL||TEMPORARY_LODGING_HOTEL_MOTEL</t>
        </is>
      </c>
      <c r="S48" t="inlineStr"/>
      <c r="T48" t="inlineStr"/>
      <c r="U48" t="inlineStr"/>
      <c r="V48" t="inlineStr">
        <is>
          <t>FD25025316|26-0018564|1773839339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E_MOBILITY||POWER_ASSISTED_BICYCLE</t>
        </is>
      </c>
      <c r="AD48" t="inlineStr">
        <is>
          <t>SOURCE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FD25025316</t>
        </is>
      </c>
      <c r="B49" t="inlineStr"/>
      <c r="C49" t="inlineStr">
        <is>
          <t>2026-03-16T13:37:56+00:00</t>
        </is>
      </c>
      <c r="D49" s="2">
        <f>IF(C49="","",INT(VALUE(C49)))</f>
        <v/>
      </c>
      <c r="E49" s="3">
        <f>IF(C49="","",MOD(VALUE(C49),1))</f>
        <v/>
      </c>
      <c r="F49">
        <f>IF(C49="","",MONTH(INT(VALUE(C49))))</f>
        <v/>
      </c>
      <c r="G49">
        <f>IF(C49="","",YEAR(INT(VALUE(C49))))</f>
        <v/>
      </c>
      <c r="H49">
        <f>IF(C49="","",HOUR(VALUE(C49)))</f>
        <v/>
      </c>
      <c r="I49" t="inlineStr">
        <is>
          <t>26-0017996</t>
        </is>
      </c>
      <c r="J49" t="inlineStr">
        <is>
          <t>HAZSIT||HAZARD_NONCHEM||ELEC_HAZARD_SHORT_CIRCUIT</t>
        </is>
      </c>
      <c r="K49" t="inlineStr"/>
      <c r="L49" t="inlineStr"/>
      <c r="M49" t="inlineStr">
        <is>
          <t>COLUMBIA RD</t>
        </is>
      </c>
      <c r="N49" t="inlineStr"/>
      <c r="O49" t="inlineStr">
        <is>
          <t>MA</t>
        </is>
      </c>
      <c r="P49" t="inlineStr">
        <is>
          <t>02121</t>
        </is>
      </c>
      <c r="Q49" t="inlineStr">
        <is>
          <t>SUFFOLK</t>
        </is>
      </c>
      <c r="R49" t="inlineStr">
        <is>
          <t>OUTDOOR||GROUND_VACANT_LAND</t>
        </is>
      </c>
      <c r="S49" t="inlineStr"/>
      <c r="T49" t="inlineStr"/>
      <c r="U49" t="inlineStr"/>
      <c r="V49" t="inlineStr">
        <is>
          <t>FD25025316|26-0017996|1773668276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ENERGY_STORAGE_SYSTEM||OTHER</t>
        </is>
      </c>
      <c r="AD49" t="inlineStr">
        <is>
          <t>UNKNOWN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FD25025316</t>
        </is>
      </c>
      <c r="B50" t="inlineStr"/>
      <c r="C50" t="inlineStr">
        <is>
          <t>2026-03-11T00:53:01+00:00</t>
        </is>
      </c>
      <c r="D50" s="2">
        <f>IF(C50="","",INT(VALUE(C50)))</f>
        <v/>
      </c>
      <c r="E50" s="3">
        <f>IF(C50="","",MOD(VALUE(C50),1))</f>
        <v/>
      </c>
      <c r="F50">
        <f>IF(C50="","",MONTH(INT(VALUE(C50))))</f>
        <v/>
      </c>
      <c r="G50">
        <f>IF(C50="","",YEAR(INT(VALUE(C50))))</f>
        <v/>
      </c>
      <c r="H50">
        <f>IF(C50="","",HOUR(VALUE(C50)))</f>
        <v/>
      </c>
      <c r="I50" t="inlineStr">
        <is>
          <t>26-0016714</t>
        </is>
      </c>
      <c r="J50" t="inlineStr">
        <is>
          <t>FIRE||OUTSIDE_FIRE||UTILITY_INFRASTRUCTURE_FIRE</t>
        </is>
      </c>
      <c r="K50" t="inlineStr"/>
      <c r="L50" t="inlineStr"/>
      <c r="M50" t="inlineStr">
        <is>
          <t>TAFTS AVE</t>
        </is>
      </c>
      <c r="N50" t="inlineStr"/>
      <c r="O50" t="inlineStr">
        <is>
          <t>MA</t>
        </is>
      </c>
      <c r="P50" t="inlineStr"/>
      <c r="Q50" t="inlineStr">
        <is>
          <t>SUFFOLK</t>
        </is>
      </c>
      <c r="R50" t="inlineStr">
        <is>
          <t>UTILITY_MISC||WATER_SANITATION_FACILITY_INFRASTRUCTURE</t>
        </is>
      </c>
      <c r="S50" t="inlineStr"/>
      <c r="T50" t="inlineStr"/>
      <c r="U50" t="inlineStr"/>
      <c r="V50" t="inlineStr">
        <is>
          <t>FD25025316|26-0016714|1773190381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CONSUMER_PRODUCTS||APPLIANCE_TOOL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FD25025316</t>
        </is>
      </c>
      <c r="B51" t="inlineStr"/>
      <c r="C51" t="inlineStr">
        <is>
          <t>2026-03-01T19:55:34+00:00</t>
        </is>
      </c>
      <c r="D51" s="2">
        <f>IF(C51="","",INT(VALUE(C51)))</f>
        <v/>
      </c>
      <c r="E51" s="3">
        <f>IF(C51="","",MOD(VALUE(C51),1))</f>
        <v/>
      </c>
      <c r="F51">
        <f>IF(C51="","",MONTH(INT(VALUE(C51))))</f>
        <v/>
      </c>
      <c r="G51">
        <f>IF(C51="","",YEAR(INT(VALUE(C51))))</f>
        <v/>
      </c>
      <c r="H51">
        <f>IF(C51="","",HOUR(VALUE(C51)))</f>
        <v/>
      </c>
      <c r="I51" t="inlineStr">
        <is>
          <t>26-0014547</t>
        </is>
      </c>
      <c r="J51" t="inlineStr">
        <is>
          <t>FIRE||TRANSPORTATION_FIRE||POWERED_MOBILITY_DEVICE_FIRE</t>
        </is>
      </c>
      <c r="K51" t="inlineStr"/>
      <c r="L51" t="inlineStr"/>
      <c r="M51" t="inlineStr">
        <is>
          <t>BAY STATE RD</t>
        </is>
      </c>
      <c r="N51" t="inlineStr"/>
      <c r="O51" t="inlineStr">
        <is>
          <t>MA</t>
        </is>
      </c>
      <c r="P51" t="inlineStr">
        <is>
          <t>02215</t>
        </is>
      </c>
      <c r="Q51" t="inlineStr">
        <is>
          <t>SUFFOLK</t>
        </is>
      </c>
      <c r="R51" t="inlineStr">
        <is>
          <t>RESIDENTIAL||MULTI_FAMILY_MIDRISE_DWELLING</t>
        </is>
      </c>
      <c r="S51" t="inlineStr"/>
      <c r="T51" t="inlineStr"/>
      <c r="U51" t="inlineStr"/>
      <c r="V51" t="inlineStr">
        <is>
          <t>FD25025316|26-0014547|1772394934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E_MOBILITY||ELECTRIC_SCOOTER_MOPED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0</v>
      </c>
      <c r="AU51" t="n">
        <v>0</v>
      </c>
      <c r="AV51" t="n">
        <v>0</v>
      </c>
      <c r="AW51" t="n">
        <v>0</v>
      </c>
    </row>
    <row r="52">
      <c r="A52" t="inlineStr">
        <is>
          <t>FD25025316</t>
        </is>
      </c>
      <c r="B52" t="inlineStr"/>
      <c r="C52" t="inlineStr">
        <is>
          <t>2026-02-25T15:01:03+00:00</t>
        </is>
      </c>
      <c r="D52" s="2">
        <f>IF(C52="","",INT(VALUE(C52)))</f>
        <v/>
      </c>
      <c r="E52" s="3">
        <f>IF(C52="","",MOD(VALUE(C52),1))</f>
        <v/>
      </c>
      <c r="F52">
        <f>IF(C52="","",MONTH(INT(VALUE(C52))))</f>
        <v/>
      </c>
      <c r="G52">
        <f>IF(C52="","",YEAR(INT(VALUE(C52))))</f>
        <v/>
      </c>
      <c r="H52">
        <f>IF(C52="","",HOUR(VALUE(C52)))</f>
        <v/>
      </c>
      <c r="I52" t="inlineStr">
        <is>
          <t>26-0013585</t>
        </is>
      </c>
      <c r="J52" t="inlineStr">
        <is>
          <t>FIRE||OUTSIDE_FIRE||TRASH_RUBBISH_FIRE</t>
        </is>
      </c>
      <c r="K52" t="inlineStr"/>
      <c r="L52" t="inlineStr"/>
      <c r="M52" t="inlineStr">
        <is>
          <t>BUNKER HILL INDUSTRIAL PARK</t>
        </is>
      </c>
      <c r="N52" t="inlineStr"/>
      <c r="O52" t="inlineStr">
        <is>
          <t>MA</t>
        </is>
      </c>
      <c r="P52" t="inlineStr">
        <is>
          <t>02129</t>
        </is>
      </c>
      <c r="Q52" t="inlineStr">
        <is>
          <t>SUFFOLK</t>
        </is>
      </c>
      <c r="R52" t="inlineStr">
        <is>
          <t>UTILITY_MISC||TRASH_RECYCLING_FACILITY</t>
        </is>
      </c>
      <c r="S52" t="inlineStr"/>
      <c r="T52" t="inlineStr"/>
      <c r="U52" t="inlineStr"/>
      <c r="V52" t="inlineStr">
        <is>
          <t>FD25025316|26-0013585|1772031663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ENERGY_STORAGE_SYSTEM||BATTERY</t>
        </is>
      </c>
      <c r="AD52" t="inlineStr">
        <is>
          <t>SOURCE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FD25025316</t>
        </is>
      </c>
      <c r="B53" t="inlineStr"/>
      <c r="C53" t="inlineStr">
        <is>
          <t>2026-02-24T04:43:18+00:00</t>
        </is>
      </c>
      <c r="D53" s="2">
        <f>IF(C53="","",INT(VALUE(C53)))</f>
        <v/>
      </c>
      <c r="E53" s="3">
        <f>IF(C53="","",MOD(VALUE(C53),1))</f>
        <v/>
      </c>
      <c r="F53">
        <f>IF(C53="","",MONTH(INT(VALUE(C53))))</f>
        <v/>
      </c>
      <c r="G53">
        <f>IF(C53="","",YEAR(INT(VALUE(C53))))</f>
        <v/>
      </c>
      <c r="H53">
        <f>IF(C53="","",HOUR(VALUE(C53)))</f>
        <v/>
      </c>
      <c r="I53" t="inlineStr">
        <is>
          <t>26-0013240</t>
        </is>
      </c>
      <c r="J53" t="inlineStr">
        <is>
          <t>HAZSIT||HAZARD_NONCHEM||ELEC_HAZARD_SHORT_CIRCUIT</t>
        </is>
      </c>
      <c r="K53" t="inlineStr"/>
      <c r="L53" t="inlineStr"/>
      <c r="M53" t="inlineStr">
        <is>
          <t>COLBORNE RD</t>
        </is>
      </c>
      <c r="N53" t="inlineStr"/>
      <c r="O53" t="inlineStr">
        <is>
          <t>MA</t>
        </is>
      </c>
      <c r="P53" t="inlineStr">
        <is>
          <t>02135</t>
        </is>
      </c>
      <c r="Q53" t="inlineStr">
        <is>
          <t>SUFFOLK</t>
        </is>
      </c>
      <c r="R53" t="inlineStr">
        <is>
          <t>RESIDENTIAL||MULTI_FAMILY_LOWRISE_DWELLING</t>
        </is>
      </c>
      <c r="S53" t="inlineStr"/>
      <c r="T53" t="inlineStr"/>
      <c r="U53" t="inlineStr"/>
      <c r="V53" t="inlineStr">
        <is>
          <t>FD25025316|26-0013240|1771908198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CONSUMER_PRODUCTS||POWER_BANK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0</v>
      </c>
      <c r="AU53" t="n">
        <v>0</v>
      </c>
      <c r="AV53" t="n">
        <v>0</v>
      </c>
      <c r="AW53" t="n">
        <v>0</v>
      </c>
    </row>
    <row r="54">
      <c r="A54" t="inlineStr">
        <is>
          <t>FD25025316</t>
        </is>
      </c>
      <c r="B54" t="inlineStr"/>
      <c r="C54" t="inlineStr">
        <is>
          <t>2026-02-23T13:00:37+00:00</t>
        </is>
      </c>
      <c r="D54" s="2">
        <f>IF(C54="","",INT(VALUE(C54)))</f>
        <v/>
      </c>
      <c r="E54" s="3">
        <f>IF(C54="","",MOD(VALUE(C54),1))</f>
        <v/>
      </c>
      <c r="F54">
        <f>IF(C54="","",MONTH(INT(VALUE(C54))))</f>
        <v/>
      </c>
      <c r="G54">
        <f>IF(C54="","",YEAR(INT(VALUE(C54))))</f>
        <v/>
      </c>
      <c r="H54">
        <f>IF(C54="","",HOUR(VALUE(C54)))</f>
        <v/>
      </c>
      <c r="I54" t="inlineStr">
        <is>
          <t>26-0013027</t>
        </is>
      </c>
      <c r="J54" t="inlineStr">
        <is>
          <t>HAZSIT||HAZARDOUS_MATERIALS||CARBON_MONOXIDE_RELEASE</t>
        </is>
      </c>
      <c r="K54" t="inlineStr"/>
      <c r="L54" t="inlineStr"/>
      <c r="M54" t="inlineStr">
        <is>
          <t>NEPONSET VALLEY PKWY</t>
        </is>
      </c>
      <c r="N54" t="inlineStr"/>
      <c r="O54" t="inlineStr">
        <is>
          <t>MA</t>
        </is>
      </c>
      <c r="P54" t="inlineStr">
        <is>
          <t>02136</t>
        </is>
      </c>
      <c r="Q54" t="inlineStr">
        <is>
          <t>SUFFOLK</t>
        </is>
      </c>
      <c r="R54" t="inlineStr">
        <is>
          <t>RESIDENTIAL||DETATCHED_SINGLE_FAMILY_DWELLING</t>
        </is>
      </c>
      <c r="S54" t="inlineStr"/>
      <c r="T54" t="inlineStr"/>
      <c r="U54" t="inlineStr"/>
      <c r="V54" t="inlineStr">
        <is>
          <t>FD25025316|26-0013027|1771851637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CONSUMER_PRODUCTS||OTHER||CONSUMER_PRODUCTS||OTHER||CONSUMER_PRODUCTS||OTHER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FD25025316</t>
        </is>
      </c>
      <c r="B55" t="inlineStr"/>
      <c r="C55" t="inlineStr">
        <is>
          <t>2026-02-23T02:45:55+00:00</t>
        </is>
      </c>
      <c r="D55" s="2">
        <f>IF(C55="","",INT(VALUE(C55)))</f>
        <v/>
      </c>
      <c r="E55" s="3">
        <f>IF(C55="","",MOD(VALUE(C55),1))</f>
        <v/>
      </c>
      <c r="F55">
        <f>IF(C55="","",MONTH(INT(VALUE(C55))))</f>
        <v/>
      </c>
      <c r="G55">
        <f>IF(C55="","",YEAR(INT(VALUE(C55))))</f>
        <v/>
      </c>
      <c r="H55">
        <f>IF(C55="","",HOUR(VALUE(C55)))</f>
        <v/>
      </c>
      <c r="I55" t="inlineStr">
        <is>
          <t>26-0012945</t>
        </is>
      </c>
      <c r="J55" t="inlineStr">
        <is>
          <t>FIRE||OUTSIDE_FIRE||DUMPSTER_OUTDOOR_CONTAINER_FIRE</t>
        </is>
      </c>
      <c r="K55" t="inlineStr"/>
      <c r="L55" t="inlineStr"/>
      <c r="M55" t="inlineStr">
        <is>
          <t>WASHINGTON ST</t>
        </is>
      </c>
      <c r="N55" t="inlineStr"/>
      <c r="O55" t="inlineStr">
        <is>
          <t>MA</t>
        </is>
      </c>
      <c r="P55" t="inlineStr">
        <is>
          <t>02135</t>
        </is>
      </c>
      <c r="Q55" t="inlineStr">
        <is>
          <t>SUFFOLK</t>
        </is>
      </c>
      <c r="R55" t="inlineStr">
        <is>
          <t>RESIDENTIAL||MULTI_FAMILY_MIDRISE_DWELLING</t>
        </is>
      </c>
      <c r="S55" t="inlineStr"/>
      <c r="T55" t="inlineStr"/>
      <c r="U55" t="inlineStr"/>
      <c r="V55" t="inlineStr">
        <is>
          <t>FD25025316|26-0012945|1771814755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CONSUMER_PRODUCTS||OTHER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FD25025316</t>
        </is>
      </c>
      <c r="B56" t="inlineStr"/>
      <c r="C56" t="inlineStr">
        <is>
          <t>2026-02-11T15:41:27+00:00</t>
        </is>
      </c>
      <c r="D56" s="2">
        <f>IF(C56="","",INT(VALUE(C56)))</f>
        <v/>
      </c>
      <c r="E56" s="3">
        <f>IF(C56="","",MOD(VALUE(C56),1))</f>
        <v/>
      </c>
      <c r="F56">
        <f>IF(C56="","",MONTH(INT(VALUE(C56))))</f>
        <v/>
      </c>
      <c r="G56">
        <f>IF(C56="","",YEAR(INT(VALUE(C56))))</f>
        <v/>
      </c>
      <c r="H56">
        <f>IF(C56="","",HOUR(VALUE(C56)))</f>
        <v/>
      </c>
      <c r="I56" t="inlineStr">
        <is>
          <t>26-0010329</t>
        </is>
      </c>
      <c r="J56" t="inlineStr">
        <is>
          <t>HAZSIT||HAZARDOUS_MATERIALS||HAZMAT_RELEASE_TRANSPORT</t>
        </is>
      </c>
      <c r="K56" t="inlineStr">
        <is>
          <t>FIRE||TRANSPORTATION_FIRE||VEHICLE_FIRE_COMMERCIAL</t>
        </is>
      </c>
      <c r="L56" t="inlineStr"/>
      <c r="M56" t="inlineStr">
        <is>
          <t>CRISPUS ATTUCKS PL</t>
        </is>
      </c>
      <c r="N56" t="inlineStr"/>
      <c r="O56" t="inlineStr">
        <is>
          <t>MA</t>
        </is>
      </c>
      <c r="P56" t="inlineStr">
        <is>
          <t>02119</t>
        </is>
      </c>
      <c r="Q56" t="inlineStr">
        <is>
          <t>SUFFOLK</t>
        </is>
      </c>
      <c r="R56" t="inlineStr">
        <is>
          <t>ROADWAY_ACCESS||STREET</t>
        </is>
      </c>
      <c r="S56" t="inlineStr"/>
      <c r="T56" t="inlineStr"/>
      <c r="U56" t="inlineStr"/>
      <c r="V56" t="inlineStr">
        <is>
          <t>FD25025316|26-0010329|1770824487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CONSUMER_PRODUCTS||COMPUTER_TABLET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FD25025316</t>
        </is>
      </c>
      <c r="B57" t="inlineStr"/>
      <c r="C57" t="inlineStr">
        <is>
          <t>2026-02-09T09:23:45+00:00</t>
        </is>
      </c>
      <c r="D57" s="2">
        <f>IF(C57="","",INT(VALUE(C57)))</f>
        <v/>
      </c>
      <c r="E57" s="3">
        <f>IF(C57="","",MOD(VALUE(C57),1))</f>
        <v/>
      </c>
      <c r="F57">
        <f>IF(C57="","",MONTH(INT(VALUE(C57))))</f>
        <v/>
      </c>
      <c r="G57">
        <f>IF(C57="","",YEAR(INT(VALUE(C57))))</f>
        <v/>
      </c>
      <c r="H57">
        <f>IF(C57="","",HOUR(VALUE(C57)))</f>
        <v/>
      </c>
      <c r="I57" t="inlineStr">
        <is>
          <t>26-0009701</t>
        </is>
      </c>
      <c r="J57" t="inlineStr">
        <is>
          <t>HAZSIT||HAZARD_NONCHEM||ELEC_HAZARD_SHORT_CIRCUIT</t>
        </is>
      </c>
      <c r="K57" t="inlineStr"/>
      <c r="L57" t="inlineStr"/>
      <c r="M57" t="inlineStr">
        <is>
          <t>WASHINGTON ST</t>
        </is>
      </c>
      <c r="N57" t="inlineStr"/>
      <c r="O57" t="inlineStr">
        <is>
          <t>MA</t>
        </is>
      </c>
      <c r="P57" t="inlineStr">
        <is>
          <t>02119</t>
        </is>
      </c>
      <c r="Q57" t="inlineStr">
        <is>
          <t>SUFFOLK</t>
        </is>
      </c>
      <c r="R57" t="inlineStr">
        <is>
          <t>RESIDENTIAL||MULTI_FAMILY_LOWRISE_DWELLING</t>
        </is>
      </c>
      <c r="S57" t="inlineStr"/>
      <c r="T57" t="inlineStr"/>
      <c r="U57" t="inlineStr"/>
      <c r="V57" t="inlineStr">
        <is>
          <t>FD25025316|26-0009701|1770629025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CONSUMER_PRODUCTS||OTHER</t>
        </is>
      </c>
      <c r="AD57" t="inlineStr">
        <is>
          <t>UNKNOWN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FD25025316</t>
        </is>
      </c>
      <c r="B58" t="inlineStr"/>
      <c r="C58" t="inlineStr">
        <is>
          <t>2026-02-08T21:48:49+00:00</t>
        </is>
      </c>
      <c r="D58" s="2">
        <f>IF(C58="","",INT(VALUE(C58)))</f>
        <v/>
      </c>
      <c r="E58" s="3">
        <f>IF(C58="","",MOD(VALUE(C58),1))</f>
        <v/>
      </c>
      <c r="F58">
        <f>IF(C58="","",MONTH(INT(VALUE(C58))))</f>
        <v/>
      </c>
      <c r="G58">
        <f>IF(C58="","",YEAR(INT(VALUE(C58))))</f>
        <v/>
      </c>
      <c r="H58">
        <f>IF(C58="","",HOUR(VALUE(C58)))</f>
        <v/>
      </c>
      <c r="I58" t="inlineStr">
        <is>
          <t>26-0009585</t>
        </is>
      </c>
      <c r="J58" t="inlineStr">
        <is>
          <t>HAZSIT||HAZARD_NONCHEM||ELEC_HAZARD_SHORT_CIRCUIT</t>
        </is>
      </c>
      <c r="K58" t="inlineStr"/>
      <c r="L58" t="inlineStr"/>
      <c r="M58" t="inlineStr">
        <is>
          <t>AVERY ST</t>
        </is>
      </c>
      <c r="N58" t="inlineStr"/>
      <c r="O58" t="inlineStr">
        <is>
          <t>MA</t>
        </is>
      </c>
      <c r="P58" t="inlineStr">
        <is>
          <t>02111</t>
        </is>
      </c>
      <c r="Q58" t="inlineStr">
        <is>
          <t>SUFFOLK</t>
        </is>
      </c>
      <c r="R58" t="inlineStr">
        <is>
          <t>RESIDENTIAL||TEMPORARY_LODGING_HOTEL_MOTEL</t>
        </is>
      </c>
      <c r="S58" t="inlineStr"/>
      <c r="T58" t="inlineStr"/>
      <c r="U58" t="inlineStr"/>
      <c r="V58" t="inlineStr">
        <is>
          <t>FD25025316|26-0009585|1770587329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CONSUMER_PRODUCTS||APPLIANCE_TOOL</t>
        </is>
      </c>
      <c r="AD58" t="inlineStr">
        <is>
          <t>UNKNOWN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FD25025316</t>
        </is>
      </c>
      <c r="B59" t="inlineStr"/>
      <c r="C59" t="inlineStr">
        <is>
          <t>2026-02-07T16:09:36+00:00</t>
        </is>
      </c>
      <c r="D59" s="2">
        <f>IF(C59="","",INT(VALUE(C59)))</f>
        <v/>
      </c>
      <c r="E59" s="3">
        <f>IF(C59="","",MOD(VALUE(C59),1))</f>
        <v/>
      </c>
      <c r="F59">
        <f>IF(C59="","",MONTH(INT(VALUE(C59))))</f>
        <v/>
      </c>
      <c r="G59">
        <f>IF(C59="","",YEAR(INT(VALUE(C59))))</f>
        <v/>
      </c>
      <c r="H59">
        <f>IF(C59="","",HOUR(VALUE(C59)))</f>
        <v/>
      </c>
      <c r="I59" t="inlineStr">
        <is>
          <t>26-0009270</t>
        </is>
      </c>
      <c r="J59" t="inlineStr">
        <is>
          <t>FIRE||TRANSPORTATION_FIRE||VEHICLE_FIRE_COMMERCIAL</t>
        </is>
      </c>
      <c r="K59" t="inlineStr"/>
      <c r="L59" t="inlineStr"/>
      <c r="M59" t="inlineStr">
        <is>
          <t>SEAPORT BLVD / NORTHERN AVE</t>
        </is>
      </c>
      <c r="N59" t="inlineStr"/>
      <c r="O59" t="inlineStr">
        <is>
          <t>MA</t>
        </is>
      </c>
      <c r="P59" t="inlineStr">
        <is>
          <t>02210</t>
        </is>
      </c>
      <c r="Q59" t="inlineStr">
        <is>
          <t>SUFFOLK</t>
        </is>
      </c>
      <c r="R59" t="inlineStr">
        <is>
          <t>ROADWAY_ACCESS||STREET</t>
        </is>
      </c>
      <c r="S59" t="inlineStr"/>
      <c r="T59" t="inlineStr"/>
      <c r="U59" t="inlineStr"/>
      <c r="V59" t="inlineStr">
        <is>
          <t>FD25025316|26-0009270|1770480576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ELECTRIC_VEHICLE||OTHER||FULL_ELECTRIC</t>
        </is>
      </c>
      <c r="AD59" t="inlineStr">
        <is>
          <t>SOURCE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FD25025316</t>
        </is>
      </c>
      <c r="B60" t="inlineStr"/>
      <c r="C60" t="inlineStr">
        <is>
          <t>2026-02-01T23:14:24+00:00</t>
        </is>
      </c>
      <c r="D60" s="2">
        <f>IF(C60="","",INT(VALUE(C60)))</f>
        <v/>
      </c>
      <c r="E60" s="3">
        <f>IF(C60="","",MOD(VALUE(C60),1))</f>
        <v/>
      </c>
      <c r="F60">
        <f>IF(C60="","",MONTH(INT(VALUE(C60))))</f>
        <v/>
      </c>
      <c r="G60">
        <f>IF(C60="","",YEAR(INT(VALUE(C60))))</f>
        <v/>
      </c>
      <c r="H60">
        <f>IF(C60="","",HOUR(VALUE(C60)))</f>
        <v/>
      </c>
      <c r="I60" t="inlineStr">
        <is>
          <t>26-0007746</t>
        </is>
      </c>
      <c r="J60" t="inlineStr">
        <is>
          <t>FIRE||TRANSPORTATION_FIRE||VEHICLE_FIRE_PASSENGER</t>
        </is>
      </c>
      <c r="K60" t="inlineStr"/>
      <c r="L60" t="inlineStr"/>
      <c r="M60" t="inlineStr">
        <is>
          <t>W SCHOOL ST</t>
        </is>
      </c>
      <c r="N60" t="inlineStr"/>
      <c r="O60" t="inlineStr">
        <is>
          <t>MA</t>
        </is>
      </c>
      <c r="P60" t="inlineStr">
        <is>
          <t>02129</t>
        </is>
      </c>
      <c r="Q60" t="inlineStr">
        <is>
          <t>SUFFOLK</t>
        </is>
      </c>
      <c r="R60" t="inlineStr">
        <is>
          <t>ROADWAY_ACCESS||STREET</t>
        </is>
      </c>
      <c r="S60" t="inlineStr"/>
      <c r="T60" t="inlineStr"/>
      <c r="U60" t="inlineStr"/>
      <c r="V60" t="inlineStr">
        <is>
          <t>FD25025316|26-0007746|1769987664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CONSUMER_PRODUCTS||OTHER||CONSUMER_PRODUCTS||OTHER</t>
        </is>
      </c>
      <c r="AD60" t="inlineStr">
        <is>
          <t>UNKNOWN||UNKNOWN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FD25025316</t>
        </is>
      </c>
      <c r="B61" t="inlineStr"/>
      <c r="C61" t="inlineStr">
        <is>
          <t>2026-02-01T17:57:23+00:00</t>
        </is>
      </c>
      <c r="D61" s="2">
        <f>IF(C61="","",INT(VALUE(C61)))</f>
        <v/>
      </c>
      <c r="E61" s="3">
        <f>IF(C61="","",MOD(VALUE(C61),1))</f>
        <v/>
      </c>
      <c r="F61">
        <f>IF(C61="","",MONTH(INT(VALUE(C61))))</f>
        <v/>
      </c>
      <c r="G61">
        <f>IF(C61="","",YEAR(INT(VALUE(C61))))</f>
        <v/>
      </c>
      <c r="H61">
        <f>IF(C61="","",HOUR(VALUE(C61)))</f>
        <v/>
      </c>
      <c r="I61" t="inlineStr">
        <is>
          <t>26-0007681</t>
        </is>
      </c>
      <c r="J61" t="inlineStr">
        <is>
          <t>PUBSERV||OTHER||MOVE_UP</t>
        </is>
      </c>
      <c r="K61" t="inlineStr"/>
      <c r="L61" t="inlineStr"/>
      <c r="M61" t="inlineStr"/>
      <c r="N61" t="inlineStr"/>
      <c r="O61" t="inlineStr">
        <is>
          <t>MA</t>
        </is>
      </c>
      <c r="P61" t="inlineStr"/>
      <c r="Q61" t="inlineStr">
        <is>
          <t>SUFFOLK</t>
        </is>
      </c>
      <c r="R61" t="inlineStr">
        <is>
          <t>RESIDENTIAL||MULTI_FAMILY_LOWRISE_DWELLING</t>
        </is>
      </c>
      <c r="S61" t="inlineStr"/>
      <c r="T61" t="inlineStr"/>
      <c r="U61" t="inlineStr"/>
      <c r="V61" t="inlineStr">
        <is>
          <t>FD25025316|26-0007681|1769968643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CONSUMER_PRODUCTS||OTHER</t>
        </is>
      </c>
      <c r="AD61" t="inlineStr">
        <is>
          <t>UNKNOWN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FD25025316</t>
        </is>
      </c>
      <c r="B62" t="inlineStr"/>
      <c r="C62" t="inlineStr">
        <is>
          <t>2026-01-22T03:37:16+00:00</t>
        </is>
      </c>
      <c r="D62" s="2">
        <f>IF(C62="","",INT(VALUE(C62)))</f>
        <v/>
      </c>
      <c r="E62" s="3">
        <f>IF(C62="","",MOD(VALUE(C62),1))</f>
        <v/>
      </c>
      <c r="F62">
        <f>IF(C62="","",MONTH(INT(VALUE(C62))))</f>
        <v/>
      </c>
      <c r="G62">
        <f>IF(C62="","",YEAR(INT(VALUE(C62))))</f>
        <v/>
      </c>
      <c r="H62">
        <f>IF(C62="","",HOUR(VALUE(C62)))</f>
        <v/>
      </c>
      <c r="I62" t="inlineStr">
        <is>
          <t>26-0004796</t>
        </is>
      </c>
      <c r="J62" t="inlineStr">
        <is>
          <t>HAZSIT||HAZARD_NONCHEM||ELEC_HAZARD_SHORT_CIRCUIT</t>
        </is>
      </c>
      <c r="K62" t="inlineStr"/>
      <c r="L62" t="inlineStr"/>
      <c r="M62" t="inlineStr">
        <is>
          <t>E THIRD ST</t>
        </is>
      </c>
      <c r="N62" t="inlineStr"/>
      <c r="O62" t="inlineStr">
        <is>
          <t>MA</t>
        </is>
      </c>
      <c r="P62" t="inlineStr">
        <is>
          <t>02127</t>
        </is>
      </c>
      <c r="Q62" t="inlineStr">
        <is>
          <t>SUFFOLK</t>
        </is>
      </c>
      <c r="R62" t="inlineStr">
        <is>
          <t>RESIDENTIAL||MULTI_FAMILY_LOWRISE_DWELLING</t>
        </is>
      </c>
      <c r="S62" t="inlineStr"/>
      <c r="T62" t="inlineStr"/>
      <c r="U62" t="inlineStr"/>
      <c r="V62" t="inlineStr">
        <is>
          <t>FD25025316|26-0004796|1769053036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ENERGY_STORAGE_SYSTEM||BATTERY</t>
        </is>
      </c>
      <c r="AD62" t="inlineStr">
        <is>
          <t>SOURCE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FD25025316</t>
        </is>
      </c>
      <c r="B63" t="inlineStr"/>
      <c r="C63" t="inlineStr">
        <is>
          <t>2026-01-20T10:38:16+00:00</t>
        </is>
      </c>
      <c r="D63" s="2">
        <f>IF(C63="","",INT(VALUE(C63)))</f>
        <v/>
      </c>
      <c r="E63" s="3">
        <f>IF(C63="","",MOD(VALUE(C63),1))</f>
        <v/>
      </c>
      <c r="F63">
        <f>IF(C63="","",MONTH(INT(VALUE(C63))))</f>
        <v/>
      </c>
      <c r="G63">
        <f>IF(C63="","",YEAR(INT(VALUE(C63))))</f>
        <v/>
      </c>
      <c r="H63">
        <f>IF(C63="","",HOUR(VALUE(C63)))</f>
        <v/>
      </c>
      <c r="I63" t="inlineStr">
        <is>
          <t>26-0004380</t>
        </is>
      </c>
      <c r="J63" t="inlineStr">
        <is>
          <t>HAZSIT||INVESTIGATION||SMOKE_INVESTIGATION</t>
        </is>
      </c>
      <c r="K63" t="inlineStr"/>
      <c r="L63" t="inlineStr"/>
      <c r="M63" t="inlineStr">
        <is>
          <t>WASHINGTON ST</t>
        </is>
      </c>
      <c r="N63" t="inlineStr"/>
      <c r="O63" t="inlineStr">
        <is>
          <t>MA</t>
        </is>
      </c>
      <c r="P63" t="inlineStr">
        <is>
          <t>02135</t>
        </is>
      </c>
      <c r="Q63" t="inlineStr">
        <is>
          <t>SUFFOLK</t>
        </is>
      </c>
      <c r="R63" t="inlineStr">
        <is>
          <t>RESIDENTIAL||MULTI_FAMILY_LOWRISE_DWELLING</t>
        </is>
      </c>
      <c r="S63" t="inlineStr"/>
      <c r="T63" t="inlineStr"/>
      <c r="U63" t="inlineStr"/>
      <c r="V63" t="inlineStr">
        <is>
          <t>FD25025316|26-0004380|1768905496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CONSUMER_PRODUCTS||APPLIANCE_TOOL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FD25025316</t>
        </is>
      </c>
      <c r="B64" t="inlineStr"/>
      <c r="C64" t="inlineStr">
        <is>
          <t>2026-01-20T05:00:21+00:00</t>
        </is>
      </c>
      <c r="D64" s="2">
        <f>IF(C64="","",INT(VALUE(C64)))</f>
        <v/>
      </c>
      <c r="E64" s="3">
        <f>IF(C64="","",MOD(VALUE(C64),1))</f>
        <v/>
      </c>
      <c r="F64">
        <f>IF(C64="","",MONTH(INT(VALUE(C64))))</f>
        <v/>
      </c>
      <c r="G64">
        <f>IF(C64="","",YEAR(INT(VALUE(C64))))</f>
        <v/>
      </c>
      <c r="H64">
        <f>IF(C64="","",HOUR(VALUE(C64)))</f>
        <v/>
      </c>
      <c r="I64" t="inlineStr">
        <is>
          <t>26-0004356</t>
        </is>
      </c>
      <c r="J64" t="inlineStr">
        <is>
          <t>MEDICAL||INJURY||MOTOR_VEHICLE_COLLISION</t>
        </is>
      </c>
      <c r="K64" t="inlineStr"/>
      <c r="L64" t="inlineStr"/>
      <c r="M64" t="inlineStr">
        <is>
          <t>BENNINGTON ST / BYRON ST</t>
        </is>
      </c>
      <c r="N64" t="inlineStr"/>
      <c r="O64" t="inlineStr">
        <is>
          <t>MA</t>
        </is>
      </c>
      <c r="P64" t="inlineStr">
        <is>
          <t>02128</t>
        </is>
      </c>
      <c r="Q64" t="inlineStr">
        <is>
          <t>SUFFOLK</t>
        </is>
      </c>
      <c r="R64" t="inlineStr">
        <is>
          <t>ROADWAY_ACCESS||STREET</t>
        </is>
      </c>
      <c r="S64" t="inlineStr"/>
      <c r="T64" t="inlineStr"/>
      <c r="U64" t="inlineStr"/>
      <c r="V64" t="inlineStr">
        <is>
          <t>FD25025316|26-0004356|1768885221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ENERGY_STORAGE_SYSTEM||BATTERY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</v>
      </c>
      <c r="AU64" t="n">
        <v>0</v>
      </c>
      <c r="AV64" t="n">
        <v>0</v>
      </c>
      <c r="AW64" t="n">
        <v>0</v>
      </c>
    </row>
    <row r="65">
      <c r="A65" t="inlineStr">
        <is>
          <t>FD25025316</t>
        </is>
      </c>
      <c r="B65" t="inlineStr"/>
      <c r="C65" t="inlineStr">
        <is>
          <t>2026-01-14T23:42:12+00:00</t>
        </is>
      </c>
      <c r="D65" s="2">
        <f>IF(C65="","",INT(VALUE(C65)))</f>
        <v/>
      </c>
      <c r="E65" s="3">
        <f>IF(C65="","",MOD(VALUE(C65),1))</f>
        <v/>
      </c>
      <c r="F65">
        <f>IF(C65="","",MONTH(INT(VALUE(C65))))</f>
        <v/>
      </c>
      <c r="G65">
        <f>IF(C65="","",YEAR(INT(VALUE(C65))))</f>
        <v/>
      </c>
      <c r="H65">
        <f>IF(C65="","",HOUR(VALUE(C65)))</f>
        <v/>
      </c>
      <c r="I65" t="inlineStr">
        <is>
          <t>26-0003216</t>
        </is>
      </c>
      <c r="J65" t="inlineStr">
        <is>
          <t>FIRE||STRUCTURE_FIRE||CONFINED_COOKING_APPLIANCE_FIRE</t>
        </is>
      </c>
      <c r="K65" t="inlineStr"/>
      <c r="L65" t="inlineStr"/>
      <c r="M65" t="inlineStr">
        <is>
          <t>NASHUA ST</t>
        </is>
      </c>
      <c r="N65" t="inlineStr"/>
      <c r="O65" t="inlineStr">
        <is>
          <t>MA</t>
        </is>
      </c>
      <c r="P65" t="inlineStr">
        <is>
          <t>02114</t>
        </is>
      </c>
      <c r="Q65" t="inlineStr">
        <is>
          <t>SUFFOLK</t>
        </is>
      </c>
      <c r="R65" t="inlineStr">
        <is>
          <t>RESIDENTIAL||MULTI_FAMILY_HIGHRISE_DWELLING</t>
        </is>
      </c>
      <c r="S65" t="inlineStr"/>
      <c r="T65" t="inlineStr"/>
      <c r="U65" t="inlineStr"/>
      <c r="V65" t="inlineStr">
        <is>
          <t>FD25025316|26-0003216|1768434132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CONSUMER_PRODUCTS||ELECTRONIC_CIGARETTE</t>
        </is>
      </c>
      <c r="AD65" t="inlineStr">
        <is>
          <t>UNKNOWN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</v>
      </c>
      <c r="AU65" t="n">
        <v>0</v>
      </c>
      <c r="AV65" t="n">
        <v>0</v>
      </c>
      <c r="AW65" t="n">
        <v>0</v>
      </c>
    </row>
    <row r="66">
      <c r="A66" t="inlineStr">
        <is>
          <t>FD25025316</t>
        </is>
      </c>
      <c r="B66" t="inlineStr"/>
      <c r="C66" t="inlineStr">
        <is>
          <t>2026-01-03T20:06:58+00:00</t>
        </is>
      </c>
      <c r="D66" s="2">
        <f>IF(C66="","",INT(VALUE(C66)))</f>
        <v/>
      </c>
      <c r="E66" s="3">
        <f>IF(C66="","",MOD(VALUE(C66),1))</f>
        <v/>
      </c>
      <c r="F66">
        <f>IF(C66="","",MONTH(INT(VALUE(C66))))</f>
        <v/>
      </c>
      <c r="G66">
        <f>IF(C66="","",YEAR(INT(VALUE(C66))))</f>
        <v/>
      </c>
      <c r="H66">
        <f>IF(C66="","",HOUR(VALUE(C66)))</f>
        <v/>
      </c>
      <c r="I66" t="inlineStr">
        <is>
          <t>26-000619</t>
        </is>
      </c>
      <c r="J66" t="inlineStr">
        <is>
          <t>HAZSIT||HAZARDOUS_MATERIALS||HAZMAT_RELEASE_FACILITY</t>
        </is>
      </c>
      <c r="K66" t="inlineStr">
        <is>
          <t>HAZSIT||HAZARD_NONCHEM||MOTOR_VEHICLE_COLLISION</t>
        </is>
      </c>
      <c r="L66" t="inlineStr"/>
      <c r="M66" t="inlineStr">
        <is>
          <t>CENTRE ST</t>
        </is>
      </c>
      <c r="N66" t="inlineStr"/>
      <c r="O66" t="inlineStr">
        <is>
          <t>MA</t>
        </is>
      </c>
      <c r="P66" t="inlineStr">
        <is>
          <t>02132</t>
        </is>
      </c>
      <c r="Q66" t="inlineStr">
        <is>
          <t>SUFFOLK</t>
        </is>
      </c>
      <c r="R66" t="inlineStr">
        <is>
          <t>OUTDOOR||PLAYGROUND_PARK_RECREATIONAL_AREA</t>
        </is>
      </c>
      <c r="S66" t="inlineStr"/>
      <c r="T66" t="inlineStr"/>
      <c r="U66" t="inlineStr"/>
      <c r="V66" t="inlineStr">
        <is>
          <t>FD25025316|26-000619|1767470818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CONSUMER_PRODUCTS||OTHER</t>
        </is>
      </c>
      <c r="AD66" t="inlineStr">
        <is>
          <t>UNKNOWN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FD25025316</t>
        </is>
      </c>
      <c r="B67" t="inlineStr"/>
      <c r="C67" t="inlineStr">
        <is>
          <t>2026-01-03T08:52:45+00:00</t>
        </is>
      </c>
      <c r="D67" s="2">
        <f>IF(C67="","",INT(VALUE(C67)))</f>
        <v/>
      </c>
      <c r="E67" s="3">
        <f>IF(C67="","",MOD(VALUE(C67),1))</f>
        <v/>
      </c>
      <c r="F67">
        <f>IF(C67="","",MONTH(INT(VALUE(C67))))</f>
        <v/>
      </c>
      <c r="G67">
        <f>IF(C67="","",YEAR(INT(VALUE(C67))))</f>
        <v/>
      </c>
      <c r="H67">
        <f>IF(C67="","",HOUR(VALUE(C67)))</f>
        <v/>
      </c>
      <c r="I67" t="inlineStr">
        <is>
          <t>26-000514</t>
        </is>
      </c>
      <c r="J67" t="inlineStr">
        <is>
          <t>HAZSIT||INVESTIGATION||SMOKE_INVESTIGATION</t>
        </is>
      </c>
      <c r="K67" t="inlineStr"/>
      <c r="L67" t="inlineStr"/>
      <c r="M67" t="inlineStr">
        <is>
          <t>1208 VFW PKWY</t>
        </is>
      </c>
      <c r="N67" t="inlineStr"/>
      <c r="O67" t="inlineStr">
        <is>
          <t>MA</t>
        </is>
      </c>
      <c r="P67" t="inlineStr">
        <is>
          <t>02132</t>
        </is>
      </c>
      <c r="Q67" t="inlineStr">
        <is>
          <t>SUFFOLK</t>
        </is>
      </c>
      <c r="R67" t="inlineStr">
        <is>
          <t>RESIDENTIAL||MULTI_FAMILY_LOWRISE_DWELLING</t>
        </is>
      </c>
      <c r="S67" t="inlineStr"/>
      <c r="T67" t="inlineStr"/>
      <c r="U67" t="inlineStr"/>
      <c r="V67" t="inlineStr">
        <is>
          <t>FD25025316|26-000514|1767430365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CONSUMER_PRODUCTS||APPLIANCE_TOOL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FD25025316</t>
        </is>
      </c>
      <c r="B68" t="inlineStr"/>
      <c r="C68" t="inlineStr">
        <is>
          <t>2026-01-02T12:16:47+00:00</t>
        </is>
      </c>
      <c r="D68" s="2">
        <f>IF(C68="","",INT(VALUE(C68)))</f>
        <v/>
      </c>
      <c r="E68" s="3">
        <f>IF(C68="","",MOD(VALUE(C68),1))</f>
        <v/>
      </c>
      <c r="F68">
        <f>IF(C68="","",MONTH(INT(VALUE(C68))))</f>
        <v/>
      </c>
      <c r="G68">
        <f>IF(C68="","",YEAR(INT(VALUE(C68))))</f>
        <v/>
      </c>
      <c r="H68">
        <f>IF(C68="","",HOUR(VALUE(C68)))</f>
        <v/>
      </c>
      <c r="I68" t="inlineStr">
        <is>
          <t>26-000315</t>
        </is>
      </c>
      <c r="J68" t="inlineStr">
        <is>
          <t>HAZSIT||INVESTIGATION||SMOKE_INVESTIGATION</t>
        </is>
      </c>
      <c r="K68" t="inlineStr"/>
      <c r="L68" t="inlineStr"/>
      <c r="M68" t="inlineStr">
        <is>
          <t>31 HAROLD ST</t>
        </is>
      </c>
      <c r="N68" t="inlineStr"/>
      <c r="O68" t="inlineStr">
        <is>
          <t>MA</t>
        </is>
      </c>
      <c r="P68" t="inlineStr">
        <is>
          <t>02119</t>
        </is>
      </c>
      <c r="Q68" t="inlineStr">
        <is>
          <t>SUFFOLK</t>
        </is>
      </c>
      <c r="R68" t="inlineStr">
        <is>
          <t>RESIDENTIAL||MULTI_FAMILY_LOWRISE_DWELLING</t>
        </is>
      </c>
      <c r="S68" t="inlineStr"/>
      <c r="T68" t="inlineStr"/>
      <c r="U68" t="inlineStr"/>
      <c r="V68" t="inlineStr">
        <is>
          <t>FD25025316|26-000315|1767356207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CONSUMER_PRODUCTS||CELL_PHONE</t>
        </is>
      </c>
      <c r="AD68" t="inlineStr">
        <is>
          <t>UNKNOWN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FD25025316</t>
        </is>
      </c>
      <c r="B69" t="inlineStr"/>
      <c r="C69" t="inlineStr">
        <is>
          <t>2026-01-01T21:21:54+00:00</t>
        </is>
      </c>
      <c r="D69" s="2">
        <f>IF(C69="","",INT(VALUE(C69)))</f>
        <v/>
      </c>
      <c r="E69" s="3">
        <f>IF(C69="","",MOD(VALUE(C69),1))</f>
        <v/>
      </c>
      <c r="F69">
        <f>IF(C69="","",MONTH(INT(VALUE(C69))))</f>
        <v/>
      </c>
      <c r="G69">
        <f>IF(C69="","",YEAR(INT(VALUE(C69))))</f>
        <v/>
      </c>
      <c r="H69">
        <f>IF(C69="","",HOUR(VALUE(C69)))</f>
        <v/>
      </c>
      <c r="I69" t="inlineStr">
        <is>
          <t>26-000179</t>
        </is>
      </c>
      <c r="J69" t="inlineStr">
        <is>
          <t>FIRE||OUTSIDE_FIRE||OTHER_OUTSIDE_FIRE</t>
        </is>
      </c>
      <c r="K69" t="inlineStr">
        <is>
          <t>HAZSIT||HAZARD_NONCHEM||ELEC_HAZARD_SHORT_CIRCUIT</t>
        </is>
      </c>
      <c r="L69" t="inlineStr"/>
      <c r="M69" t="inlineStr">
        <is>
          <t>35 BRADSHAW ST</t>
        </is>
      </c>
      <c r="N69" t="inlineStr"/>
      <c r="O69" t="inlineStr">
        <is>
          <t>MA</t>
        </is>
      </c>
      <c r="P69" t="inlineStr">
        <is>
          <t>02121</t>
        </is>
      </c>
      <c r="Q69" t="inlineStr">
        <is>
          <t>SUFFOLK</t>
        </is>
      </c>
      <c r="R69" t="inlineStr">
        <is>
          <t>RESIDENTIAL||ATTACHED_SINGLE_FAMILY_DWELLING</t>
        </is>
      </c>
      <c r="S69" t="inlineStr"/>
      <c r="T69" t="inlineStr"/>
      <c r="U69" t="inlineStr"/>
      <c r="V69" t="inlineStr">
        <is>
          <t>FD25025316|26-000179|1767302514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E_MOBILITY||ELECTRIC_SCOOTER_MOPED</t>
        </is>
      </c>
      <c r="AD69" t="inlineStr">
        <is>
          <t>SOURCE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FD25025316</t>
        </is>
      </c>
      <c r="B70" t="inlineStr"/>
      <c r="C70" t="inlineStr">
        <is>
          <t>2026-01-01T03:58:23+00:00</t>
        </is>
      </c>
      <c r="D70" s="2">
        <f>IF(C70="","",INT(VALUE(C70)))</f>
        <v/>
      </c>
      <c r="E70" s="3">
        <f>IF(C70="","",MOD(VALUE(C70),1))</f>
        <v/>
      </c>
      <c r="F70">
        <f>IF(C70="","",MONTH(INT(VALUE(C70))))</f>
        <v/>
      </c>
      <c r="G70">
        <f>IF(C70="","",YEAR(INT(VALUE(C70))))</f>
        <v/>
      </c>
      <c r="H70">
        <f>IF(C70="","",HOUR(VALUE(C70)))</f>
        <v/>
      </c>
      <c r="I70" t="inlineStr">
        <is>
          <t>25-0094184</t>
        </is>
      </c>
      <c r="J70" t="inlineStr">
        <is>
          <t>HAZSIT||HAZARD_NONCHEM||ELEC_HAZARD_SHORT_CIRCUIT</t>
        </is>
      </c>
      <c r="K70" t="inlineStr">
        <is>
          <t>PUBSERV||CITIZEN_ASSIST||CITIZEN_ASSIST_SERVICE_CALL</t>
        </is>
      </c>
      <c r="L70" t="inlineStr"/>
      <c r="M70" t="inlineStr">
        <is>
          <t>28 BALLOU AVE</t>
        </is>
      </c>
      <c r="N70" t="inlineStr"/>
      <c r="O70" t="inlineStr">
        <is>
          <t>MA</t>
        </is>
      </c>
      <c r="P70" t="inlineStr">
        <is>
          <t>02124</t>
        </is>
      </c>
      <c r="Q70" t="inlineStr">
        <is>
          <t>SUFFOLK</t>
        </is>
      </c>
      <c r="R70" t="inlineStr">
        <is>
          <t>RESIDENTIAL||MULTI_FAMILY_LOWRISE_DWELLING</t>
        </is>
      </c>
      <c r="S70" t="inlineStr"/>
      <c r="T70" t="inlineStr"/>
      <c r="U70" t="inlineStr"/>
      <c r="V70" t="inlineStr">
        <is>
          <t>FD25025316|25-0094184|1767239903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CONSUMER_PRODUCTS||APPLIANCE_TOOL</t>
        </is>
      </c>
      <c r="AD70" t="inlineStr">
        <is>
          <t>UNKNOWN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0</v>
      </c>
      <c r="AU70" t="n">
        <v>0</v>
      </c>
      <c r="AV70" t="n">
        <v>0</v>
      </c>
      <c r="AW70" t="n">
        <v>0</v>
      </c>
    </row>
    <row r="71">
      <c r="A71" t="inlineStr">
        <is>
          <t>FD25025316</t>
        </is>
      </c>
      <c r="B71" t="inlineStr"/>
      <c r="C71" t="inlineStr">
        <is>
          <t>2025-12-29T14:33:03+00:00</t>
        </is>
      </c>
      <c r="D71" s="2">
        <f>IF(C71="","",INT(VALUE(C71)))</f>
        <v/>
      </c>
      <c r="E71" s="3">
        <f>IF(C71="","",MOD(VALUE(C71),1))</f>
        <v/>
      </c>
      <c r="F71">
        <f>IF(C71="","",MONTH(INT(VALUE(C71))))</f>
        <v/>
      </c>
      <c r="G71">
        <f>IF(C71="","",YEAR(INT(VALUE(C71))))</f>
        <v/>
      </c>
      <c r="H71">
        <f>IF(C71="","",HOUR(VALUE(C71)))</f>
        <v/>
      </c>
      <c r="I71" t="inlineStr">
        <is>
          <t>25-0093456</t>
        </is>
      </c>
      <c r="J71" t="inlineStr">
        <is>
          <t>HAZSIT||OVERPRESSURE||RUPTURE_WITHOUT_FIRE</t>
        </is>
      </c>
      <c r="K71" t="inlineStr"/>
      <c r="L71" t="inlineStr"/>
      <c r="M71" t="inlineStr">
        <is>
          <t>107 AVENUE LOUIS PASTEUR</t>
        </is>
      </c>
      <c r="N71" t="inlineStr"/>
      <c r="O71" t="inlineStr">
        <is>
          <t>MA</t>
        </is>
      </c>
      <c r="P71" t="inlineStr">
        <is>
          <t>02115</t>
        </is>
      </c>
      <c r="Q71" t="inlineStr">
        <is>
          <t>SUFFOLK</t>
        </is>
      </c>
      <c r="R71" t="inlineStr">
        <is>
          <t>EDUCATION||COLLEGES_UNIVERSITIES</t>
        </is>
      </c>
      <c r="S71" t="inlineStr"/>
      <c r="T71" t="inlineStr"/>
      <c r="U71" t="inlineStr"/>
      <c r="V71" t="inlineStr">
        <is>
          <t>FD25025316|25-0093456|1767018783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CONSUMER_PRODUCTS||OTHER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FD25025316</t>
        </is>
      </c>
      <c r="B72" t="inlineStr"/>
      <c r="C72" t="inlineStr">
        <is>
          <t>2025-12-24T10:47:28+00:00</t>
        </is>
      </c>
      <c r="D72" s="2">
        <f>IF(C72="","",INT(VALUE(C72)))</f>
        <v/>
      </c>
      <c r="E72" s="3">
        <f>IF(C72="","",MOD(VALUE(C72),1))</f>
        <v/>
      </c>
      <c r="F72">
        <f>IF(C72="","",MONTH(INT(VALUE(C72))))</f>
        <v/>
      </c>
      <c r="G72">
        <f>IF(C72="","",YEAR(INT(VALUE(C72))))</f>
        <v/>
      </c>
      <c r="H72">
        <f>IF(C72="","",HOUR(VALUE(C72)))</f>
        <v/>
      </c>
      <c r="I72" t="inlineStr">
        <is>
          <t>25-0092330</t>
        </is>
      </c>
      <c r="J72" t="inlineStr">
        <is>
          <t>PUBSERV||OTHER||MOVE_UP</t>
        </is>
      </c>
      <c r="K72" t="inlineStr">
        <is>
          <t>RESCUE||OUTSIDE||CONFINED_SPACE_RESCUE</t>
        </is>
      </c>
      <c r="L72" t="inlineStr">
        <is>
          <t>FIRE||STRUCTURE_FIRE||STRUCTURAL_INVOLVEMENT_FIRE</t>
        </is>
      </c>
      <c r="M72" t="inlineStr"/>
      <c r="N72" t="inlineStr"/>
      <c r="O72" t="inlineStr">
        <is>
          <t>MA</t>
        </is>
      </c>
      <c r="P72" t="inlineStr"/>
      <c r="Q72" t="inlineStr">
        <is>
          <t>SUFFOLK</t>
        </is>
      </c>
      <c r="R72" t="inlineStr">
        <is>
          <t>RESIDENTIAL||ATTACHED_SINGLE_FAMILY_DWELLING</t>
        </is>
      </c>
      <c r="S72" t="inlineStr"/>
      <c r="T72" t="inlineStr"/>
      <c r="U72" t="inlineStr"/>
      <c r="V72" t="inlineStr">
        <is>
          <t>FD25025316|25-0092330|1766573248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ENERGY_STORAGE_SYSTEM||OTHER</t>
        </is>
      </c>
      <c r="AD72" t="inlineStr">
        <is>
          <t>TARGET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FD25025316</t>
        </is>
      </c>
      <c r="B73" t="inlineStr"/>
      <c r="C73" t="inlineStr">
        <is>
          <t>2025-12-20T16:50:05+00:00</t>
        </is>
      </c>
      <c r="D73" s="2">
        <f>IF(C73="","",INT(VALUE(C73)))</f>
        <v/>
      </c>
      <c r="E73" s="3">
        <f>IF(C73="","",MOD(VALUE(C73),1))</f>
        <v/>
      </c>
      <c r="F73">
        <f>IF(C73="","",MONTH(INT(VALUE(C73))))</f>
        <v/>
      </c>
      <c r="G73">
        <f>IF(C73="","",YEAR(INT(VALUE(C73))))</f>
        <v/>
      </c>
      <c r="H73">
        <f>IF(C73="","",HOUR(VALUE(C73)))</f>
        <v/>
      </c>
      <c r="I73" t="inlineStr">
        <is>
          <t>25-0091500</t>
        </is>
      </c>
      <c r="J73" t="inlineStr">
        <is>
          <t>HAZSIT||HAZARD_NONCHEM||ELEC_HAZARD_SHORT_CIRCUIT</t>
        </is>
      </c>
      <c r="K73" t="inlineStr"/>
      <c r="L73" t="inlineStr"/>
      <c r="M73" t="inlineStr">
        <is>
          <t>496 COLUMBUS AVE</t>
        </is>
      </c>
      <c r="N73" t="inlineStr"/>
      <c r="O73" t="inlineStr">
        <is>
          <t>MA</t>
        </is>
      </c>
      <c r="P73" t="inlineStr">
        <is>
          <t>02118</t>
        </is>
      </c>
      <c r="Q73" t="inlineStr">
        <is>
          <t>SUFFOLK</t>
        </is>
      </c>
      <c r="R73" t="inlineStr">
        <is>
          <t>RESIDENTIAL||MULTI_FAMILY_MIDRISE_DWELLING</t>
        </is>
      </c>
      <c r="S73" t="inlineStr"/>
      <c r="T73" t="inlineStr"/>
      <c r="U73" t="inlineStr"/>
      <c r="V73" t="inlineStr">
        <is>
          <t>FD25025316|25-0091500|1766249405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CONSUMER_PRODUCTS||OTHER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FD25025316</t>
        </is>
      </c>
      <c r="B74" t="inlineStr"/>
      <c r="C74" t="inlineStr">
        <is>
          <t>2025-12-19T16:21:56+00:00</t>
        </is>
      </c>
      <c r="D74" s="2">
        <f>IF(C74="","",INT(VALUE(C74)))</f>
        <v/>
      </c>
      <c r="E74" s="3">
        <f>IF(C74="","",MOD(VALUE(C74),1))</f>
        <v/>
      </c>
      <c r="F74">
        <f>IF(C74="","",MONTH(INT(VALUE(C74))))</f>
        <v/>
      </c>
      <c r="G74">
        <f>IF(C74="","",YEAR(INT(VALUE(C74))))</f>
        <v/>
      </c>
      <c r="H74">
        <f>IF(C74="","",HOUR(VALUE(C74)))</f>
        <v/>
      </c>
      <c r="I74" t="inlineStr">
        <is>
          <t>25-0091169</t>
        </is>
      </c>
      <c r="J74" t="inlineStr">
        <is>
          <t>PUBSERV||DISASTER_WEATHER||DAMAGE_ASSESSMENT</t>
        </is>
      </c>
      <c r="K74" t="inlineStr"/>
      <c r="L74" t="inlineStr"/>
      <c r="M74" t="inlineStr">
        <is>
          <t>718 BEECHMONT ST</t>
        </is>
      </c>
      <c r="N74" t="inlineStr"/>
      <c r="O74" t="inlineStr">
        <is>
          <t>MA</t>
        </is>
      </c>
      <c r="P74" t="inlineStr">
        <is>
          <t>02136</t>
        </is>
      </c>
      <c r="Q74" t="inlineStr">
        <is>
          <t>SUFFOLK</t>
        </is>
      </c>
      <c r="R74" t="inlineStr">
        <is>
          <t>ROADWAY_ACCESS||STREET</t>
        </is>
      </c>
      <c r="S74" t="inlineStr"/>
      <c r="T74" t="inlineStr"/>
      <c r="U74" t="inlineStr"/>
      <c r="V74" t="inlineStr">
        <is>
          <t>FD25025316|25-0091169|1766161316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CONSUMER_PRODUCTS||OTHER</t>
        </is>
      </c>
      <c r="AD74" t="inlineStr">
        <is>
          <t>UNKNOWN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0</v>
      </c>
      <c r="AU74" t="n">
        <v>0</v>
      </c>
      <c r="AV74" t="n">
        <v>0</v>
      </c>
      <c r="AW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Incidents Reported</t>
        </is>
      </c>
      <c r="B2" t="n">
        <v>73</v>
      </c>
    </row>
    <row r="3">
      <c r="A3" t="inlineStr">
        <is>
          <t>Battery-Related Structure Fires</t>
        </is>
      </c>
      <c r="B3" t="n">
        <v>0</v>
      </c>
    </row>
    <row r="4">
      <c r="A4" t="inlineStr">
        <is>
          <t>Battery-Related Outside Fires</t>
        </is>
      </c>
      <c r="B4" t="n">
        <v>0</v>
      </c>
    </row>
    <row r="5">
      <c r="A5" t="inlineStr">
        <is>
          <t>Electric Vehicle Related</t>
        </is>
      </c>
      <c r="B5" t="n">
        <v>0</v>
      </c>
    </row>
    <row r="6">
      <c r="A6" t="inlineStr">
        <is>
          <t>Incidents with Electric Hazards</t>
        </is>
      </c>
      <c r="B6" t="n">
        <v>73</v>
      </c>
    </row>
    <row r="7">
      <c r="A7" t="inlineStr">
        <is>
          <t>Thermal Runaway Events</t>
        </is>
      </c>
      <c r="B7" t="n">
        <v>0</v>
      </c>
    </row>
    <row r="8">
      <c r="A8" t="inlineStr">
        <is>
          <t>Incidents with Original Battery Info</t>
        </is>
      </c>
      <c r="B8" t="n">
        <v>0</v>
      </c>
    </row>
    <row r="9">
      <c r="A9" t="inlineStr">
        <is>
          <t>Incidents with Battery Chemistry Info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4" t="inlineStr">
        <is>
          <t>Report source</t>
        </is>
      </c>
      <c r="B1" s="4" t="inlineStr">
        <is>
          <t>IncidentPull_LithiumIonBatteries.py</t>
        </is>
      </c>
    </row>
    <row r="2">
      <c r="A2" t="inlineStr">
        <is>
          <t>Report date/range</t>
        </is>
      </c>
      <c r="B2" t="inlineStr">
        <is>
          <t>2025-12-19T16:21:56+00:00 through 2026-09-01T02:54:51+00:00 (observed incident timestamps)</t>
        </is>
      </c>
    </row>
    <row r="3">
      <c r="A3" t="inlineStr">
        <is>
          <t>Generated at</t>
        </is>
      </c>
      <c r="B3" t="inlineStr">
        <is>
          <t>2026-09-01T15:10:12-04:00</t>
        </is>
      </c>
    </row>
    <row r="5">
      <c r="A5" s="4" t="inlineStr">
        <is>
          <t>Report Type</t>
        </is>
      </c>
      <c r="B5" s="4" t="inlineStr">
        <is>
          <t>Lithium-ion Battery Fires</t>
        </is>
      </c>
    </row>
    <row r="6">
      <c r="A6" t="inlineStr">
        <is>
          <t>Date Range</t>
        </is>
      </c>
      <c r="B6" t="inlineStr">
        <is>
          <t>All Records</t>
        </is>
      </c>
    </row>
    <row r="7">
      <c r="A7" t="inlineStr">
        <is>
          <t>Entity Filter</t>
        </is>
      </c>
      <c r="B7" t="inlineStr">
        <is>
          <t>FD25025316</t>
        </is>
      </c>
    </row>
    <row r="8">
      <c r="A8" t="inlineStr">
        <is>
          <t>Included sheets</t>
        </is>
      </c>
      <c r="B8" t="inlineStr">
        <is>
          <t>Incident Details, Summary, Report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2026-09-01T19:10:12Z</dcterms:created>
  <dcterms:modified xsi:type="dcterms:W3CDTF">2026-09-01T19:10:12Z</dcterms:modified>
</cp:coreProperties>
</file>