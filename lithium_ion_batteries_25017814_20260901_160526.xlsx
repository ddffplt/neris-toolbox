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dion\Python Scripts\neris-toolbox\"/>
    </mc:Choice>
  </mc:AlternateContent>
  <xr:revisionPtr revIDLastSave="0" documentId="13_ncr:1_{8F8B6E35-1A86-41B6-80B9-AA2E0BA15FB6}" xr6:coauthVersionLast="47" xr6:coauthVersionMax="47" xr10:uidLastSave="{00000000-0000-0000-0000-000000000000}"/>
  <bookViews>
    <workbookView xWindow="28680" yWindow="-705" windowWidth="29040" windowHeight="15720" xr2:uid="{00000000-000D-0000-FFFF-FFFF00000000}"/>
  </bookViews>
  <sheets>
    <sheet name="Incident Details" sheetId="1" r:id="rId1"/>
    <sheet name="Summary" sheetId="2" r:id="rId2"/>
    <sheet name="Report Sources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H12" i="1" s="1"/>
  <c r="D11" i="1"/>
  <c r="F11" i="1" s="1"/>
  <c r="D10" i="1"/>
  <c r="G10" i="1" s="1"/>
  <c r="G9" i="1"/>
  <c r="D9" i="1"/>
  <c r="H9" i="1" s="1"/>
  <c r="D8" i="1"/>
  <c r="F8" i="1" s="1"/>
  <c r="D7" i="1"/>
  <c r="F7" i="1" s="1"/>
  <c r="D6" i="1"/>
  <c r="H6" i="1" s="1"/>
  <c r="D5" i="1"/>
  <c r="H5" i="1" s="1"/>
  <c r="H4" i="1"/>
  <c r="F4" i="1"/>
  <c r="D4" i="1"/>
  <c r="G4" i="1" s="1"/>
  <c r="D3" i="1"/>
  <c r="G3" i="1" s="1"/>
  <c r="D2" i="1"/>
  <c r="G2" i="1" s="1"/>
  <c r="G12" i="1" l="1"/>
  <c r="E4" i="1"/>
  <c r="F9" i="1"/>
  <c r="H2" i="1"/>
  <c r="F12" i="1"/>
  <c r="H7" i="1"/>
  <c r="H10" i="1"/>
  <c r="E6" i="1"/>
  <c r="G7" i="1"/>
  <c r="F6" i="1"/>
  <c r="E9" i="1"/>
  <c r="E12" i="1"/>
  <c r="E7" i="1"/>
  <c r="E3" i="1"/>
  <c r="E2" i="1"/>
  <c r="H3" i="1"/>
  <c r="F5" i="1"/>
  <c r="G8" i="1"/>
  <c r="E10" i="1"/>
  <c r="H11" i="1"/>
  <c r="E11" i="1"/>
  <c r="F3" i="1"/>
  <c r="G11" i="1"/>
  <c r="F2" i="1"/>
  <c r="G5" i="1"/>
  <c r="H8" i="1"/>
  <c r="F10" i="1"/>
  <c r="G6" i="1"/>
  <c r="E8" i="1"/>
  <c r="E5" i="1"/>
</calcChain>
</file>

<file path=xl/sharedStrings.xml><?xml version="1.0" encoding="utf-8"?>
<sst xmlns="http://schemas.openxmlformats.org/spreadsheetml/2006/main" count="237" uniqueCount="145">
  <si>
    <t>Entity ID</t>
  </si>
  <si>
    <t>Department Name</t>
  </si>
  <si>
    <t>Incident Date/Time (UTC)</t>
  </si>
  <si>
    <t>Incident Date</t>
  </si>
  <si>
    <t>Incident Time</t>
  </si>
  <si>
    <t>Incident Month</t>
  </si>
  <si>
    <t>Incident Year</t>
  </si>
  <si>
    <t>Incident Hour</t>
  </si>
  <si>
    <t>Incident Number</t>
  </si>
  <si>
    <t>Primary Incident Type</t>
  </si>
  <si>
    <t>Secondary Incident Type</t>
  </si>
  <si>
    <t>Tertiary Incident Type</t>
  </si>
  <si>
    <t>Address</t>
  </si>
  <si>
    <t>City</t>
  </si>
  <si>
    <t>State</t>
  </si>
  <si>
    <t>Zip Code</t>
  </si>
  <si>
    <t>County</t>
  </si>
  <si>
    <t>Primary Location Use</t>
  </si>
  <si>
    <t>Secondary Location Use</t>
  </si>
  <si>
    <t>Latitude</t>
  </si>
  <si>
    <t>Longitude</t>
  </si>
  <si>
    <t>NERIS ID</t>
  </si>
  <si>
    <t>Structure Fire Cause - Battery_Power_storage</t>
  </si>
  <si>
    <t>Outside Fire Cause - Battery_Power_storage</t>
  </si>
  <si>
    <t>Electric Vehicle Status</t>
  </si>
  <si>
    <t>Electric Reignition</t>
  </si>
  <si>
    <t>Electric Suppression</t>
  </si>
  <si>
    <t>Electric Target</t>
  </si>
  <si>
    <t>Electric Hazard Types</t>
  </si>
  <si>
    <t>Electric Hazard Source/Target</t>
  </si>
  <si>
    <t>Electric Hazard Electrification Hazard</t>
  </si>
  <si>
    <t>Electric Hazard Battery Powered/Stored Energy Category</t>
  </si>
  <si>
    <t>Electric Hazard Specific Type</t>
  </si>
  <si>
    <t>Product Type</t>
  </si>
  <si>
    <t>Original Battery</t>
  </si>
  <si>
    <t>Installation Status</t>
  </si>
  <si>
    <t>Safety Listed</t>
  </si>
  <si>
    <t>Vehicle Battery</t>
  </si>
  <si>
    <t>Charging at Ignition</t>
  </si>
  <si>
    <t>Incident Indoor/Outdoor</t>
  </si>
  <si>
    <t>Impacted from Source</t>
  </si>
  <si>
    <t>Thermal Runaway</t>
  </si>
  <si>
    <t>FD Suppression</t>
  </si>
  <si>
    <t>Battery Cell</t>
  </si>
  <si>
    <t>Battery Chemistry</t>
  </si>
  <si>
    <t>Civilian Deaths</t>
  </si>
  <si>
    <t>Civilian Injuries</t>
  </si>
  <si>
    <t>Firefighter Deaths</t>
  </si>
  <si>
    <t>Firefighter Injuries</t>
  </si>
  <si>
    <t>FD25017814</t>
  </si>
  <si>
    <t>City Of Somerville Fire Deparment</t>
  </si>
  <si>
    <t>2026-06-19T20:16:46+00:00</t>
  </si>
  <si>
    <t>26-07213</t>
  </si>
  <si>
    <t>HAZSIT||HAZARD_NONCHEM||ELEC_HAZARD_SHORT_CIRCUIT</t>
  </si>
  <si>
    <t>Powder House</t>
  </si>
  <si>
    <t>Somerville</t>
  </si>
  <si>
    <t>MA</t>
  </si>
  <si>
    <t>02144</t>
  </si>
  <si>
    <t>Middlesex County</t>
  </si>
  <si>
    <t>RESIDENTIAL</t>
  </si>
  <si>
    <t>MULTI_FAMILY_LOWRISE_DWELLING</t>
  </si>
  <si>
    <t>FD25017814|26-07213|1781900206</t>
  </si>
  <si>
    <t>ENERGY_STORAGE_SYSTEM||BATTERY</t>
  </si>
  <si>
    <t>SOURCE</t>
  </si>
  <si>
    <t>2026-06-18T15:10:16+00:00</t>
  </si>
  <si>
    <t>26-07145</t>
  </si>
  <si>
    <t>Sydney</t>
  </si>
  <si>
    <t>02145</t>
  </si>
  <si>
    <t>DETATCHED_SINGLE_FAMILY_DWELLING</t>
  </si>
  <si>
    <t>FD25017814|26-07145|1781795416</t>
  </si>
  <si>
    <t>2026-06-06T19:31:55+00:00</t>
  </si>
  <si>
    <t>26-06607</t>
  </si>
  <si>
    <t>PUBSERV||CITIZEN_ASSIST||CITIZEN_ASSIST_SERVICE_CALL</t>
  </si>
  <si>
    <t>Puritan</t>
  </si>
  <si>
    <t>ROADWAY_ACCESS</t>
  </si>
  <si>
    <t>SIDEWALK</t>
  </si>
  <si>
    <t>FD25017814|26-06607|1780774315</t>
  </si>
  <si>
    <t>CONSUMER_PRODUCTS||POWER_BANK</t>
  </si>
  <si>
    <t>2026-06-02T14:43:28+00:00</t>
  </si>
  <si>
    <t>26-06393</t>
  </si>
  <si>
    <t>FIRE||SPECIAL_FIRE||ESS_FIRE</t>
  </si>
  <si>
    <t>Broadway</t>
  </si>
  <si>
    <t>COMMERCIAL</t>
  </si>
  <si>
    <t>RETAIL_WHOLESALE_TRADE</t>
  </si>
  <si>
    <t>FD25017814|26-06393|1780411408</t>
  </si>
  <si>
    <t>CONSUMER_PRODUCTS||CELL_PHONE</t>
  </si>
  <si>
    <t>2026-05-21T15:42:44+00:00</t>
  </si>
  <si>
    <t>26-05876</t>
  </si>
  <si>
    <t>Preston</t>
  </si>
  <si>
    <t>02143</t>
  </si>
  <si>
    <t>STREET</t>
  </si>
  <si>
    <t>FD25017814|26-05876|1779378164</t>
  </si>
  <si>
    <t>CONSUMER_PRODUCTS||OTHER</t>
  </si>
  <si>
    <t>2026-04-24T23:23:10+00:00</t>
  </si>
  <si>
    <t>26-04698</t>
  </si>
  <si>
    <t>Perkins</t>
  </si>
  <si>
    <t>FD25017814|26-04698|1777072990</t>
  </si>
  <si>
    <t>2026-02-05T06:27:29+00:00</t>
  </si>
  <si>
    <t>26-01456</t>
  </si>
  <si>
    <t>Day Apt A</t>
  </si>
  <si>
    <t>FD25017814|26-01456|1770272849</t>
  </si>
  <si>
    <t>2026-02-03T20:50:23+00:00</t>
  </si>
  <si>
    <t>26-01401</t>
  </si>
  <si>
    <t>Pitman</t>
  </si>
  <si>
    <t>FD25017814|26-01401|1770151823</t>
  </si>
  <si>
    <t>2026-01-22T23:57:54+00:00</t>
  </si>
  <si>
    <t>26-00857</t>
  </si>
  <si>
    <t>FIRE||TRANSPORTATION_FIRE||VEHICLE_FIRE_PASSENGER</t>
  </si>
  <si>
    <t>FIRE||SPECIAL_FIRE||INFRASTRUCTURE_FIRE</t>
  </si>
  <si>
    <t>McGrath Apt 1</t>
  </si>
  <si>
    <t>PARKING_LOT_GARAGE</t>
  </si>
  <si>
    <t>FD25017814|26-00857|1769126274</t>
  </si>
  <si>
    <t>ELECTRIC_VEHICLE||CAR_RR||FULL_ELECTRIC</t>
  </si>
  <si>
    <t>UNKNOWN</t>
  </si>
  <si>
    <t>26-00856</t>
  </si>
  <si>
    <t>FD25017814|26-00856|1769126274</t>
  </si>
  <si>
    <t>2026-01-11T01:15:31+00:00</t>
  </si>
  <si>
    <t>26-00401</t>
  </si>
  <si>
    <t>Middlesex</t>
  </si>
  <si>
    <t>GOVERNMENT</t>
  </si>
  <si>
    <t>FIRE_MEDICAL_STATION</t>
  </si>
  <si>
    <t>FD25017814|26-00401|1768094131</t>
  </si>
  <si>
    <t>Metric</t>
  </si>
  <si>
    <t>Count</t>
  </si>
  <si>
    <t>Total Incidents Reported</t>
  </si>
  <si>
    <t>Battery-Related Structure Fires</t>
  </si>
  <si>
    <t>Battery-Related Outside Fires</t>
  </si>
  <si>
    <t>Electric Vehicle Related</t>
  </si>
  <si>
    <t>Incidents with Electric Hazards</t>
  </si>
  <si>
    <t>Thermal Runaway Events</t>
  </si>
  <si>
    <t>Incidents with Original Battery Info</t>
  </si>
  <si>
    <t>Incidents with Battery Chemistry Info</t>
  </si>
  <si>
    <t>Report source</t>
  </si>
  <si>
    <t>IncidentPull_LithiumIonBatteries.py</t>
  </si>
  <si>
    <t>Report date/range</t>
  </si>
  <si>
    <t>2026-01-11T01:15:31+00:00 through 2026-06-19T20:16:46+00:00 (observed incident timestamps)</t>
  </si>
  <si>
    <t>Generated at</t>
  </si>
  <si>
    <t>2026-09-01T16:05:26-04:00</t>
  </si>
  <si>
    <t>Report Type</t>
  </si>
  <si>
    <t>Lithium-ion Battery Fires</t>
  </si>
  <si>
    <t>Date Range</t>
  </si>
  <si>
    <t>All Records</t>
  </si>
  <si>
    <t>Entity Filter</t>
  </si>
  <si>
    <t>Included sheets</t>
  </si>
  <si>
    <t>Incident Details, Summary, Report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</si>
</sst>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\ hh:mm"/>
    <numFmt numFmtId="165" formatCode="hh:mm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2"/>
  <sheetViews>
    <sheetView tabSelected="1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1.28515625" bestFit="1" customWidth="1"/>
    <col min="2" max="2" width="32" bestFit="1" customWidth="1"/>
    <col min="3" max="3" width="24.5703125" bestFit="1" customWidth="1"/>
    <col min="4" max="4" width="13.85546875" bestFit="1" customWidth="1"/>
    <col min="5" max="5" width="13.28515625" bestFit="1" customWidth="1"/>
    <col min="6" max="6" width="14.85546875" bestFit="1" customWidth="1"/>
    <col min="7" max="7" width="12.7109375" bestFit="1" customWidth="1"/>
    <col min="8" max="8" width="13.140625" bestFit="1" customWidth="1"/>
    <col min="9" max="9" width="16.140625" bestFit="1" customWidth="1"/>
    <col min="10" max="10" width="57.42578125" bestFit="1" customWidth="1"/>
    <col min="11" max="11" width="41.5703125" bestFit="1" customWidth="1"/>
    <col min="12" max="12" width="20.5703125" bestFit="1" customWidth="1"/>
    <col min="13" max="13" width="14" bestFit="1" customWidth="1"/>
    <col min="14" max="14" width="10.5703125" bestFit="1" customWidth="1"/>
    <col min="15" max="15" width="5.5703125" bestFit="1" customWidth="1"/>
    <col min="16" max="16" width="8.7109375" bestFit="1" customWidth="1"/>
    <col min="17" max="17" width="17.28515625" bestFit="1" customWidth="1"/>
    <col min="18" max="18" width="19.85546875" bestFit="1" customWidth="1"/>
    <col min="19" max="19" width="36.85546875" bestFit="1" customWidth="1"/>
    <col min="20" max="20" width="8.28515625" bestFit="1" customWidth="1"/>
    <col min="21" max="21" width="9.85546875" bestFit="1" customWidth="1"/>
    <col min="22" max="22" width="31.7109375" bestFit="1" customWidth="1"/>
    <col min="23" max="23" width="42.140625" bestFit="1" customWidth="1"/>
    <col min="24" max="24" width="40.85546875" bestFit="1" customWidth="1"/>
    <col min="25" max="25" width="20.7109375" bestFit="1" customWidth="1"/>
    <col min="26" max="26" width="17.28515625" bestFit="1" customWidth="1"/>
    <col min="27" max="27" width="19" bestFit="1" customWidth="1"/>
    <col min="28" max="28" width="13.5703125" bestFit="1" customWidth="1"/>
    <col min="29" max="29" width="41.7109375" bestFit="1" customWidth="1"/>
    <col min="30" max="30" width="27.28515625" bestFit="1" customWidth="1"/>
    <col min="31" max="31" width="33.85546875" bestFit="1" customWidth="1"/>
    <col min="32" max="32" width="52" bestFit="1" customWidth="1"/>
    <col min="33" max="33" width="26.42578125" bestFit="1" customWidth="1"/>
    <col min="34" max="34" width="12.5703125" bestFit="1" customWidth="1"/>
    <col min="35" max="35" width="15" bestFit="1" customWidth="1"/>
    <col min="36" max="36" width="17" bestFit="1" customWidth="1"/>
    <col min="37" max="37" width="12.28515625" bestFit="1" customWidth="1"/>
    <col min="38" max="38" width="14.7109375" bestFit="1" customWidth="1"/>
    <col min="39" max="39" width="18.42578125" bestFit="1" customWidth="1"/>
    <col min="40" max="40" width="23.28515625" bestFit="1" customWidth="1"/>
    <col min="41" max="41" width="20.7109375" bestFit="1" customWidth="1"/>
    <col min="42" max="42" width="16.85546875" bestFit="1" customWidth="1"/>
    <col min="43" max="43" width="14.7109375" bestFit="1" customWidth="1"/>
    <col min="44" max="44" width="11.28515625" bestFit="1" customWidth="1"/>
    <col min="45" max="45" width="17" bestFit="1" customWidth="1"/>
    <col min="46" max="46" width="14.28515625" bestFit="1" customWidth="1"/>
    <col min="47" max="47" width="14.85546875" bestFit="1" customWidth="1"/>
    <col min="48" max="48" width="17.28515625" bestFit="1" customWidth="1"/>
    <col min="49" max="49" width="17.85546875" bestFit="1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t="s">
        <v>49</v>
      </c>
      <c r="B2" t="s">
        <v>50</v>
      </c>
      <c r="C2" t="s">
        <v>51</v>
      </c>
      <c r="D2" s="2">
        <f t="shared" ref="D2:D12" si="0">IF(C2="","",DATE(VALUE(LEFT(C2,4)),VALUE(MID(C2,6,2)),VALUE(MID(C2,9,2)))+TIME(VALUE(MID(C2,12,2)),VALUE(MID(C2,15,2)),VALUE(MID(C2,18,2)))-IF(AND(DATE(VALUE(LEFT(C2,4)),VALUE(MID(C2,6,2)),VALUE(MID(C2,9,2)))+TIME(VALUE(MID(C2,12,2)),VALUE(MID(C2,15,2)),VALUE(MID(C2,18,2)))&gt;=DATE(VALUE(LEFT(C2,4)),3,1)+MOD(8-WEEKDAY(DATE(VALUE(LEFT(C2,4)),3,1)),7)+7+TIME(7,0,0),DATE(VALUE(LEFT(C2,4)),3,1)+MOD(8-WEEKDAY(DATE(VALUE(LEFT(C2,4)),3,1)),7)+7+TIME(7,0,0)&lt;DATE(VALUE(LEFT(C2,4)),11,1)+MOD(8-WEEKDAY(DATE(VALUE(LEFT(C2,4)),11,1)),7)+TIME(6,0,0)), TIME(4,0,0),TIME(5,0,0)))</f>
        <v>46192.678310185191</v>
      </c>
      <c r="E2" s="3">
        <f t="shared" ref="E2:E12" si="1">IF(D2="","",MOD(D2,1))</f>
        <v>0.67831018519063946</v>
      </c>
      <c r="F2">
        <f t="shared" ref="F2:F12" si="2">IF(D2="","",MONTH(D2))</f>
        <v>6</v>
      </c>
      <c r="G2">
        <f t="shared" ref="G2:G12" si="3">IF(D2="","",YEAR(D2))</f>
        <v>2026</v>
      </c>
      <c r="H2">
        <f t="shared" ref="H2:H12" si="4">IF(D2="","",HOUR(D2))</f>
        <v>16</v>
      </c>
      <c r="I2" t="s">
        <v>52</v>
      </c>
      <c r="J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V2" t="s">
        <v>61</v>
      </c>
      <c r="AC2" t="s">
        <v>62</v>
      </c>
      <c r="AD2" t="s">
        <v>63</v>
      </c>
      <c r="AT2">
        <v>0</v>
      </c>
      <c r="AU2">
        <v>0</v>
      </c>
      <c r="AV2">
        <v>0</v>
      </c>
      <c r="AW2">
        <v>0</v>
      </c>
    </row>
    <row r="3" spans="1:49" x14ac:dyDescent="0.25">
      <c r="A3" t="s">
        <v>49</v>
      </c>
      <c r="B3" t="s">
        <v>50</v>
      </c>
      <c r="C3" t="s">
        <v>64</v>
      </c>
      <c r="D3" s="2">
        <f t="shared" si="0"/>
        <v>46191.465462962966</v>
      </c>
      <c r="E3" s="3">
        <f t="shared" si="1"/>
        <v>0.46546296296583023</v>
      </c>
      <c r="F3">
        <f t="shared" si="2"/>
        <v>6</v>
      </c>
      <c r="G3">
        <f t="shared" si="3"/>
        <v>2026</v>
      </c>
      <c r="H3">
        <f t="shared" si="4"/>
        <v>11</v>
      </c>
      <c r="I3" t="s">
        <v>65</v>
      </c>
      <c r="J3" t="s">
        <v>53</v>
      </c>
      <c r="M3" t="s">
        <v>66</v>
      </c>
      <c r="N3" t="s">
        <v>55</v>
      </c>
      <c r="O3" t="s">
        <v>56</v>
      </c>
      <c r="P3" t="s">
        <v>67</v>
      </c>
      <c r="Q3" t="s">
        <v>58</v>
      </c>
      <c r="R3" t="s">
        <v>59</v>
      </c>
      <c r="S3" t="s">
        <v>68</v>
      </c>
      <c r="V3" t="s">
        <v>69</v>
      </c>
      <c r="AC3" t="s">
        <v>62</v>
      </c>
      <c r="AD3" t="s">
        <v>63</v>
      </c>
      <c r="AT3">
        <v>0</v>
      </c>
      <c r="AU3">
        <v>0</v>
      </c>
      <c r="AV3">
        <v>0</v>
      </c>
      <c r="AW3">
        <v>0</v>
      </c>
    </row>
    <row r="4" spans="1:49" x14ac:dyDescent="0.25">
      <c r="A4" t="s">
        <v>49</v>
      </c>
      <c r="B4" t="s">
        <v>50</v>
      </c>
      <c r="C4" t="s">
        <v>70</v>
      </c>
      <c r="D4" s="2">
        <f t="shared" si="0"/>
        <v>46179.647164351853</v>
      </c>
      <c r="E4" s="3">
        <f t="shared" si="1"/>
        <v>0.6471643518525525</v>
      </c>
      <c r="F4">
        <f t="shared" si="2"/>
        <v>6</v>
      </c>
      <c r="G4">
        <f t="shared" si="3"/>
        <v>2026</v>
      </c>
      <c r="H4">
        <f t="shared" si="4"/>
        <v>15</v>
      </c>
      <c r="I4" t="s">
        <v>71</v>
      </c>
      <c r="J4" t="s">
        <v>72</v>
      </c>
      <c r="M4" t="s">
        <v>73</v>
      </c>
      <c r="N4" t="s">
        <v>55</v>
      </c>
      <c r="O4" t="s">
        <v>56</v>
      </c>
      <c r="P4" t="s">
        <v>67</v>
      </c>
      <c r="Q4" t="s">
        <v>58</v>
      </c>
      <c r="R4" t="s">
        <v>74</v>
      </c>
      <c r="S4" t="s">
        <v>75</v>
      </c>
      <c r="V4" t="s">
        <v>76</v>
      </c>
      <c r="AC4" t="s">
        <v>77</v>
      </c>
      <c r="AD4" t="s">
        <v>63</v>
      </c>
      <c r="AT4">
        <v>0</v>
      </c>
      <c r="AU4">
        <v>0</v>
      </c>
      <c r="AV4">
        <v>0</v>
      </c>
      <c r="AW4">
        <v>0</v>
      </c>
    </row>
    <row r="5" spans="1:49" x14ac:dyDescent="0.25">
      <c r="A5" t="s">
        <v>49</v>
      </c>
      <c r="B5" t="s">
        <v>50</v>
      </c>
      <c r="C5" t="s">
        <v>78</v>
      </c>
      <c r="D5" s="2">
        <f t="shared" si="0"/>
        <v>46175.446851851855</v>
      </c>
      <c r="E5" s="3">
        <f t="shared" si="1"/>
        <v>0.44685185185517184</v>
      </c>
      <c r="F5">
        <f t="shared" si="2"/>
        <v>6</v>
      </c>
      <c r="G5">
        <f t="shared" si="3"/>
        <v>2026</v>
      </c>
      <c r="H5">
        <f t="shared" si="4"/>
        <v>10</v>
      </c>
      <c r="I5" t="s">
        <v>79</v>
      </c>
      <c r="J5" t="s">
        <v>80</v>
      </c>
      <c r="M5" t="s">
        <v>81</v>
      </c>
      <c r="N5" t="s">
        <v>55</v>
      </c>
      <c r="O5" t="s">
        <v>56</v>
      </c>
      <c r="P5" t="s">
        <v>67</v>
      </c>
      <c r="Q5" t="s">
        <v>58</v>
      </c>
      <c r="R5" t="s">
        <v>82</v>
      </c>
      <c r="S5" t="s">
        <v>83</v>
      </c>
      <c r="V5" t="s">
        <v>84</v>
      </c>
      <c r="AC5" t="s">
        <v>85</v>
      </c>
      <c r="AD5" t="s">
        <v>63</v>
      </c>
      <c r="AT5">
        <v>0</v>
      </c>
      <c r="AU5">
        <v>0</v>
      </c>
      <c r="AV5">
        <v>0</v>
      </c>
      <c r="AW5">
        <v>0</v>
      </c>
    </row>
    <row r="6" spans="1:49" x14ac:dyDescent="0.25">
      <c r="A6" t="s">
        <v>49</v>
      </c>
      <c r="B6" t="s">
        <v>50</v>
      </c>
      <c r="C6" t="s">
        <v>86</v>
      </c>
      <c r="D6" s="2">
        <f t="shared" si="0"/>
        <v>46163.488009259265</v>
      </c>
      <c r="E6" s="3">
        <f t="shared" si="1"/>
        <v>0.48800925926479977</v>
      </c>
      <c r="F6">
        <f t="shared" si="2"/>
        <v>5</v>
      </c>
      <c r="G6">
        <f t="shared" si="3"/>
        <v>2026</v>
      </c>
      <c r="H6">
        <f t="shared" si="4"/>
        <v>11</v>
      </c>
      <c r="I6" t="s">
        <v>87</v>
      </c>
      <c r="J6" t="s">
        <v>53</v>
      </c>
      <c r="M6" t="s">
        <v>88</v>
      </c>
      <c r="N6" t="s">
        <v>55</v>
      </c>
      <c r="O6" t="s">
        <v>56</v>
      </c>
      <c r="P6" t="s">
        <v>89</v>
      </c>
      <c r="Q6" t="s">
        <v>58</v>
      </c>
      <c r="R6" t="s">
        <v>74</v>
      </c>
      <c r="S6" t="s">
        <v>90</v>
      </c>
      <c r="V6" t="s">
        <v>91</v>
      </c>
      <c r="AC6" t="s">
        <v>92</v>
      </c>
      <c r="AD6" t="s">
        <v>63</v>
      </c>
      <c r="AT6">
        <v>0</v>
      </c>
      <c r="AU6">
        <v>0</v>
      </c>
      <c r="AV6">
        <v>0</v>
      </c>
      <c r="AW6">
        <v>0</v>
      </c>
    </row>
    <row r="7" spans="1:49" x14ac:dyDescent="0.25">
      <c r="A7" t="s">
        <v>49</v>
      </c>
      <c r="B7" t="s">
        <v>50</v>
      </c>
      <c r="C7" t="s">
        <v>93</v>
      </c>
      <c r="D7" s="2">
        <f t="shared" si="0"/>
        <v>46136.807754629634</v>
      </c>
      <c r="E7" s="3">
        <f t="shared" si="1"/>
        <v>0.80775462963356404</v>
      </c>
      <c r="F7">
        <f t="shared" si="2"/>
        <v>4</v>
      </c>
      <c r="G7">
        <f t="shared" si="3"/>
        <v>2026</v>
      </c>
      <c r="H7">
        <f t="shared" si="4"/>
        <v>19</v>
      </c>
      <c r="I7" t="s">
        <v>94</v>
      </c>
      <c r="J7" t="s">
        <v>80</v>
      </c>
      <c r="M7" t="s">
        <v>95</v>
      </c>
      <c r="N7" t="s">
        <v>55</v>
      </c>
      <c r="O7" t="s">
        <v>56</v>
      </c>
      <c r="P7" t="s">
        <v>67</v>
      </c>
      <c r="Q7" t="s">
        <v>58</v>
      </c>
      <c r="R7" t="s">
        <v>59</v>
      </c>
      <c r="S7" t="s">
        <v>60</v>
      </c>
      <c r="V7" t="s">
        <v>96</v>
      </c>
      <c r="AC7" t="s">
        <v>85</v>
      </c>
      <c r="AD7" t="s">
        <v>63</v>
      </c>
      <c r="AT7">
        <v>0</v>
      </c>
      <c r="AU7">
        <v>0</v>
      </c>
      <c r="AV7">
        <v>0</v>
      </c>
      <c r="AW7">
        <v>0</v>
      </c>
    </row>
    <row r="8" spans="1:49" x14ac:dyDescent="0.25">
      <c r="A8" t="s">
        <v>49</v>
      </c>
      <c r="B8" t="s">
        <v>50</v>
      </c>
      <c r="C8" t="s">
        <v>97</v>
      </c>
      <c r="D8" s="2">
        <f t="shared" si="0"/>
        <v>46058.060752314814</v>
      </c>
      <c r="E8" s="3">
        <f t="shared" si="1"/>
        <v>6.0752314813726116E-2</v>
      </c>
      <c r="F8">
        <f t="shared" si="2"/>
        <v>2</v>
      </c>
      <c r="G8">
        <f t="shared" si="3"/>
        <v>2026</v>
      </c>
      <c r="H8">
        <f t="shared" si="4"/>
        <v>1</v>
      </c>
      <c r="I8" t="s">
        <v>98</v>
      </c>
      <c r="J8" t="s">
        <v>53</v>
      </c>
      <c r="M8" t="s">
        <v>99</v>
      </c>
      <c r="N8" t="s">
        <v>55</v>
      </c>
      <c r="O8" t="s">
        <v>56</v>
      </c>
      <c r="P8" t="s">
        <v>57</v>
      </c>
      <c r="Q8" t="s">
        <v>58</v>
      </c>
      <c r="R8" t="s">
        <v>59</v>
      </c>
      <c r="S8" t="s">
        <v>60</v>
      </c>
      <c r="V8" t="s">
        <v>100</v>
      </c>
      <c r="AC8" t="s">
        <v>92</v>
      </c>
      <c r="AD8" t="s">
        <v>63</v>
      </c>
      <c r="AT8">
        <v>0</v>
      </c>
      <c r="AU8">
        <v>0</v>
      </c>
      <c r="AV8">
        <v>0</v>
      </c>
      <c r="AW8">
        <v>0</v>
      </c>
    </row>
    <row r="9" spans="1:49" x14ac:dyDescent="0.25">
      <c r="A9" t="s">
        <v>49</v>
      </c>
      <c r="B9" t="s">
        <v>50</v>
      </c>
      <c r="C9" t="s">
        <v>101</v>
      </c>
      <c r="D9" s="2">
        <f t="shared" si="0"/>
        <v>46056.659988425927</v>
      </c>
      <c r="E9" s="3">
        <f t="shared" si="1"/>
        <v>0.65998842592671281</v>
      </c>
      <c r="F9">
        <f t="shared" si="2"/>
        <v>2</v>
      </c>
      <c r="G9">
        <f t="shared" si="3"/>
        <v>2026</v>
      </c>
      <c r="H9">
        <f t="shared" si="4"/>
        <v>15</v>
      </c>
      <c r="I9" t="s">
        <v>102</v>
      </c>
      <c r="J9" t="s">
        <v>53</v>
      </c>
      <c r="M9" t="s">
        <v>103</v>
      </c>
      <c r="N9" t="s">
        <v>55</v>
      </c>
      <c r="O9" t="s">
        <v>56</v>
      </c>
      <c r="P9" t="s">
        <v>89</v>
      </c>
      <c r="Q9" t="s">
        <v>58</v>
      </c>
      <c r="R9" t="s">
        <v>59</v>
      </c>
      <c r="S9" t="s">
        <v>60</v>
      </c>
      <c r="V9" t="s">
        <v>104</v>
      </c>
      <c r="AC9" t="s">
        <v>92</v>
      </c>
      <c r="AD9" t="s">
        <v>63</v>
      </c>
      <c r="AT9">
        <v>0</v>
      </c>
      <c r="AU9">
        <v>0</v>
      </c>
      <c r="AV9">
        <v>0</v>
      </c>
      <c r="AW9">
        <v>0</v>
      </c>
    </row>
    <row r="10" spans="1:49" x14ac:dyDescent="0.25">
      <c r="A10" t="s">
        <v>49</v>
      </c>
      <c r="B10" t="s">
        <v>50</v>
      </c>
      <c r="C10" t="s">
        <v>105</v>
      </c>
      <c r="D10" s="2">
        <f t="shared" si="0"/>
        <v>46044.790208333332</v>
      </c>
      <c r="E10" s="3">
        <f t="shared" si="1"/>
        <v>0.79020833333197515</v>
      </c>
      <c r="F10">
        <f t="shared" si="2"/>
        <v>1</v>
      </c>
      <c r="G10">
        <f t="shared" si="3"/>
        <v>2026</v>
      </c>
      <c r="H10">
        <f t="shared" si="4"/>
        <v>18</v>
      </c>
      <c r="I10" t="s">
        <v>106</v>
      </c>
      <c r="J10" t="s">
        <v>107</v>
      </c>
      <c r="K10" t="s">
        <v>108</v>
      </c>
      <c r="M10" t="s">
        <v>109</v>
      </c>
      <c r="N10" t="s">
        <v>55</v>
      </c>
      <c r="O10" t="s">
        <v>56</v>
      </c>
      <c r="P10" t="s">
        <v>89</v>
      </c>
      <c r="Q10" t="s">
        <v>58</v>
      </c>
      <c r="R10" t="s">
        <v>74</v>
      </c>
      <c r="S10" t="s">
        <v>110</v>
      </c>
      <c r="V10" t="s">
        <v>111</v>
      </c>
      <c r="AC10" t="s">
        <v>112</v>
      </c>
      <c r="AD10" t="s">
        <v>113</v>
      </c>
      <c r="AT10">
        <v>0</v>
      </c>
      <c r="AU10">
        <v>0</v>
      </c>
      <c r="AV10">
        <v>0</v>
      </c>
      <c r="AW10">
        <v>0</v>
      </c>
    </row>
    <row r="11" spans="1:49" x14ac:dyDescent="0.25">
      <c r="A11" t="s">
        <v>49</v>
      </c>
      <c r="B11" t="s">
        <v>50</v>
      </c>
      <c r="C11" t="s">
        <v>105</v>
      </c>
      <c r="D11" s="2">
        <f t="shared" si="0"/>
        <v>46044.790208333332</v>
      </c>
      <c r="E11" s="3">
        <f t="shared" si="1"/>
        <v>0.79020833333197515</v>
      </c>
      <c r="F11">
        <f t="shared" si="2"/>
        <v>1</v>
      </c>
      <c r="G11">
        <f t="shared" si="3"/>
        <v>2026</v>
      </c>
      <c r="H11">
        <f t="shared" si="4"/>
        <v>18</v>
      </c>
      <c r="I11" t="s">
        <v>114</v>
      </c>
      <c r="J11" t="s">
        <v>107</v>
      </c>
      <c r="M11" t="s">
        <v>109</v>
      </c>
      <c r="N11" t="s">
        <v>55</v>
      </c>
      <c r="O11" t="s">
        <v>56</v>
      </c>
      <c r="P11" t="s">
        <v>89</v>
      </c>
      <c r="Q11" t="s">
        <v>58</v>
      </c>
      <c r="R11" t="s">
        <v>74</v>
      </c>
      <c r="S11" t="s">
        <v>110</v>
      </c>
      <c r="V11" t="s">
        <v>115</v>
      </c>
      <c r="AC11" t="s">
        <v>112</v>
      </c>
      <c r="AT11">
        <v>0</v>
      </c>
      <c r="AU11">
        <v>0</v>
      </c>
      <c r="AV11">
        <v>0</v>
      </c>
      <c r="AW11">
        <v>0</v>
      </c>
    </row>
    <row r="12" spans="1:49" x14ac:dyDescent="0.25">
      <c r="A12" t="s">
        <v>49</v>
      </c>
      <c r="B12" t="s">
        <v>50</v>
      </c>
      <c r="C12" t="s">
        <v>116</v>
      </c>
      <c r="D12" s="2">
        <f t="shared" si="0"/>
        <v>46032.844108796293</v>
      </c>
      <c r="E12" s="3">
        <f t="shared" si="1"/>
        <v>0.84410879629285773</v>
      </c>
      <c r="F12">
        <f t="shared" si="2"/>
        <v>1</v>
      </c>
      <c r="G12">
        <f t="shared" si="3"/>
        <v>2026</v>
      </c>
      <c r="H12">
        <f t="shared" si="4"/>
        <v>20</v>
      </c>
      <c r="I12" t="s">
        <v>117</v>
      </c>
      <c r="J12" t="s">
        <v>72</v>
      </c>
      <c r="M12" t="s">
        <v>118</v>
      </c>
      <c r="N12" t="s">
        <v>55</v>
      </c>
      <c r="O12" t="s">
        <v>56</v>
      </c>
      <c r="P12" t="s">
        <v>67</v>
      </c>
      <c r="Q12" t="s">
        <v>58</v>
      </c>
      <c r="R12" t="s">
        <v>119</v>
      </c>
      <c r="S12" t="s">
        <v>120</v>
      </c>
      <c r="V12" t="s">
        <v>121</v>
      </c>
      <c r="AC12" t="s">
        <v>92</v>
      </c>
      <c r="AT12">
        <v>0</v>
      </c>
      <c r="AU12">
        <v>0</v>
      </c>
      <c r="AV12">
        <v>0</v>
      </c>
      <c r="AW1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9" customWidth="1"/>
    <col min="2" max="2" width="12" customWidth="1"/>
  </cols>
  <sheetData>
    <row r="1" spans="1:2" x14ac:dyDescent="0.25">
      <c r="A1" s="1" t="s">
        <v>122</v>
      </c>
      <c r="B1" s="1" t="s">
        <v>123</v>
      </c>
    </row>
    <row r="2" spans="1:2" x14ac:dyDescent="0.25">
      <c r="A2" t="s">
        <v>124</v>
      </c>
      <c r="B2">
        <v>11</v>
      </c>
    </row>
    <row r="3" spans="1:2" x14ac:dyDescent="0.25">
      <c r="A3" t="s">
        <v>125</v>
      </c>
      <c r="B3">
        <v>0</v>
      </c>
    </row>
    <row r="4" spans="1:2" x14ac:dyDescent="0.25">
      <c r="A4" t="s">
        <v>126</v>
      </c>
      <c r="B4">
        <v>0</v>
      </c>
    </row>
    <row r="5" spans="1:2" x14ac:dyDescent="0.25">
      <c r="A5" t="s">
        <v>127</v>
      </c>
      <c r="B5">
        <v>0</v>
      </c>
    </row>
    <row r="6" spans="1:2" x14ac:dyDescent="0.25">
      <c r="A6" t="s">
        <v>128</v>
      </c>
      <c r="B6">
        <v>11</v>
      </c>
    </row>
    <row r="7" spans="1:2" x14ac:dyDescent="0.25">
      <c r="A7" t="s">
        <v>129</v>
      </c>
      <c r="B7">
        <v>0</v>
      </c>
    </row>
    <row r="8" spans="1:2" x14ac:dyDescent="0.25">
      <c r="A8" t="s">
        <v>130</v>
      </c>
      <c r="B8">
        <v>0</v>
      </c>
    </row>
    <row r="9" spans="1:2" x14ac:dyDescent="0.25">
      <c r="A9" t="s">
        <v>131</v>
      </c>
      <c r="B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5" x14ac:dyDescent="0.25"/>
  <cols>
    <col min="1" max="1" width="36" customWidth="1"/>
    <col min="2" max="2" width="85" customWidth="1"/>
  </cols>
  <sheetData>
    <row r="1" spans="1:2" x14ac:dyDescent="0.25">
      <c r="A1" s="4" t="s">
        <v>132</v>
      </c>
      <c r="B1" s="4" t="s">
        <v>133</v>
      </c>
    </row>
    <row r="2" spans="1:2" x14ac:dyDescent="0.25">
      <c r="A2" t="s">
        <v>134</v>
      </c>
      <c r="B2" t="s">
        <v>135</v>
      </c>
    </row>
    <row r="3" spans="1:2" x14ac:dyDescent="0.25">
      <c r="A3" t="s">
        <v>136</v>
      </c>
      <c r="B3" t="s">
        <v>137</v>
      </c>
    </row>
    <row r="5" spans="1:2" x14ac:dyDescent="0.25">
      <c r="A5" s="4" t="s">
        <v>138</v>
      </c>
      <c r="B5" s="4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49</v>
      </c>
    </row>
    <row r="8" spans="1:2" x14ac:dyDescent="0.25">
      <c r="A8" t="s">
        <v>143</v>
      </c>
      <c r="B8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Incident Details</vt:lpstr>
      <vt:lpstr>Summary</vt:lpstr>
      <vt:lpstr>Report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Dion, Derryl (DFS)</cp:lastModifiedBy>
  <dcterms:created xsi:type="dcterms:W3CDTF">2026-09-01T20:05:26Z</dcterms:created>
  <dcterms:modified xsi:type="dcterms:W3CDTF">2026-09-01T20:16:34Z</dcterms:modified>
</cp:coreProperties>
</file>