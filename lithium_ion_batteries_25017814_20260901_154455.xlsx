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ident Details" sheetId="1" state="visible" r:id="rId1"/>
    <sheet name="Summary" sheetId="2" state="visible" r:id="rId2"/>
    <sheet name="Report Sources" sheetId="3" state="visible" r:id="rId3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mm/dd/yy hh:mm"/>
    <numFmt numFmtId="165" formatCode="hh:mm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7" customWidth="1" min="3" max="3"/>
    <col width="60" customWidth="1" min="4" max="4"/>
    <col width="27" customWidth="1" min="5" max="5"/>
    <col width="27" customWidth="1" min="6" max="6"/>
    <col width="26" customWidth="1" min="7" max="7"/>
    <col width="26" customWidth="1" min="8" max="8"/>
    <col width="17" customWidth="1" min="9" max="9"/>
    <col width="54" customWidth="1" min="10" max="10"/>
    <col width="41" customWidth="1" min="11" max="11"/>
    <col width="24" customWidth="1" min="12" max="12"/>
    <col width="15" customWidth="1" min="13" max="13"/>
    <col width="12" customWidth="1" min="14" max="14"/>
    <col width="12" customWidth="1" min="15" max="15"/>
    <col width="12" customWidth="1" min="16" max="16"/>
    <col width="18" customWidth="1" min="17" max="17"/>
    <col width="22" customWidth="1" min="18" max="18"/>
    <col width="34" customWidth="1" min="19" max="19"/>
    <col width="12" customWidth="1" min="20" max="20"/>
    <col width="12" customWidth="1" min="21" max="21"/>
    <col width="32" customWidth="1" min="22" max="22"/>
    <col width="46" customWidth="1" min="23" max="23"/>
    <col width="44" customWidth="1" min="24" max="24"/>
    <col width="25" customWidth="1" min="25" max="25"/>
    <col width="21" customWidth="1" min="26" max="26"/>
    <col width="22" customWidth="1" min="27" max="27"/>
    <col width="17" customWidth="1" min="28" max="28"/>
    <col width="41" customWidth="1" min="29" max="29"/>
    <col width="31" customWidth="1" min="30" max="30"/>
    <col width="40" customWidth="1" min="31" max="31"/>
    <col width="56" customWidth="1" min="32" max="32"/>
    <col width="31" customWidth="1" min="33" max="33"/>
    <col width="14" customWidth="1" min="34" max="34"/>
    <col width="18" customWidth="1" min="35" max="35"/>
    <col width="21" customWidth="1" min="36" max="36"/>
    <col width="15" customWidth="1" min="37" max="37"/>
    <col width="17" customWidth="1" min="38" max="38"/>
    <col width="22" customWidth="1" min="39" max="39"/>
    <col width="25" customWidth="1" min="40" max="40"/>
    <col width="22" customWidth="1" min="41" max="41"/>
    <col width="17" customWidth="1" min="42" max="42"/>
    <col width="16" customWidth="1" min="43" max="43"/>
    <col width="14" customWidth="1" min="44" max="44"/>
    <col width="19" customWidth="1" min="45" max="45"/>
    <col width="17" customWidth="1" min="46" max="46"/>
    <col width="19" customWidth="1" min="47" max="47"/>
    <col width="20" customWidth="1" min="48" max="48"/>
    <col width="22" customWidth="1" min="49" max="49"/>
  </cols>
  <sheetData>
    <row r="1">
      <c r="A1" s="1" t="inlineStr">
        <is>
          <t>Entity ID</t>
        </is>
      </c>
      <c r="B1" s="1" t="inlineStr">
        <is>
          <t>Department Name</t>
        </is>
      </c>
      <c r="C1" s="1" t="inlineStr">
        <is>
          <t>Incident Date/Time (UTC)</t>
        </is>
      </c>
      <c r="D1" s="1" t="inlineStr">
        <is>
          <t>Incident Date</t>
        </is>
      </c>
      <c r="E1" s="1" t="inlineStr">
        <is>
          <t>Incident Time</t>
        </is>
      </c>
      <c r="F1" s="1" t="inlineStr">
        <is>
          <t>Incident Month</t>
        </is>
      </c>
      <c r="G1" s="1" t="inlineStr">
        <is>
          <t>Incident Year</t>
        </is>
      </c>
      <c r="H1" s="1" t="inlineStr">
        <is>
          <t>Incident Hour</t>
        </is>
      </c>
      <c r="I1" s="1" t="inlineStr">
        <is>
          <t>Incident Number</t>
        </is>
      </c>
      <c r="J1" s="1" t="inlineStr">
        <is>
          <t>Primary Incident Type</t>
        </is>
      </c>
      <c r="K1" s="1" t="inlineStr">
        <is>
          <t>Secondary Incident Type</t>
        </is>
      </c>
      <c r="L1" s="1" t="inlineStr">
        <is>
          <t>Tertiary Incident Type</t>
        </is>
      </c>
      <c r="M1" s="1" t="inlineStr">
        <is>
          <t>Address</t>
        </is>
      </c>
      <c r="N1" s="1" t="inlineStr">
        <is>
          <t>City</t>
        </is>
      </c>
      <c r="O1" s="1" t="inlineStr">
        <is>
          <t>State</t>
        </is>
      </c>
      <c r="P1" s="1" t="inlineStr">
        <is>
          <t>Zip Code</t>
        </is>
      </c>
      <c r="Q1" s="1" t="inlineStr">
        <is>
          <t>County</t>
        </is>
      </c>
      <c r="R1" s="1" t="inlineStr">
        <is>
          <t>Primary Location Use</t>
        </is>
      </c>
      <c r="S1" s="1" t="inlineStr">
        <is>
          <t>Secondary Location Use</t>
        </is>
      </c>
      <c r="T1" s="1" t="inlineStr">
        <is>
          <t>Latitude</t>
        </is>
      </c>
      <c r="U1" s="1" t="inlineStr">
        <is>
          <t>Longitude</t>
        </is>
      </c>
      <c r="V1" s="1" t="inlineStr">
        <is>
          <t>NERIS ID</t>
        </is>
      </c>
      <c r="W1" s="1" t="inlineStr">
        <is>
          <t>Structure Fire Cause - Battery_Power_storage</t>
        </is>
      </c>
      <c r="X1" s="1" t="inlineStr">
        <is>
          <t>Outside Fire Cause - Battery_Power_storage</t>
        </is>
      </c>
      <c r="Y1" s="1" t="inlineStr">
        <is>
          <t>Electric Vehicle Status</t>
        </is>
      </c>
      <c r="Z1" s="1" t="inlineStr">
        <is>
          <t>Electric Reignition</t>
        </is>
      </c>
      <c r="AA1" s="1" t="inlineStr">
        <is>
          <t>Electric Suppression</t>
        </is>
      </c>
      <c r="AB1" s="1" t="inlineStr">
        <is>
          <t>Electric Target</t>
        </is>
      </c>
      <c r="AC1" s="1" t="inlineStr">
        <is>
          <t>Electric Hazard Types</t>
        </is>
      </c>
      <c r="AD1" s="1" t="inlineStr">
        <is>
          <t>Electric Hazard Source/Target</t>
        </is>
      </c>
      <c r="AE1" s="1" t="inlineStr">
        <is>
          <t>Electric Hazard Electrification Hazard</t>
        </is>
      </c>
      <c r="AF1" s="1" t="inlineStr">
        <is>
          <t>Electric Hazard Battery Powered/Stored Energy Category</t>
        </is>
      </c>
      <c r="AG1" s="1" t="inlineStr">
        <is>
          <t>Electric Hazard Specific Type</t>
        </is>
      </c>
      <c r="AH1" s="1" t="inlineStr">
        <is>
          <t>Product Type</t>
        </is>
      </c>
      <c r="AI1" s="1" t="inlineStr">
        <is>
          <t>Original Battery</t>
        </is>
      </c>
      <c r="AJ1" s="1" t="inlineStr">
        <is>
          <t>Installation Status</t>
        </is>
      </c>
      <c r="AK1" s="1" t="inlineStr">
        <is>
          <t>Safety Listed</t>
        </is>
      </c>
      <c r="AL1" s="1" t="inlineStr">
        <is>
          <t>Vehicle Battery</t>
        </is>
      </c>
      <c r="AM1" s="1" t="inlineStr">
        <is>
          <t>Charging at Ignition</t>
        </is>
      </c>
      <c r="AN1" s="1" t="inlineStr">
        <is>
          <t>Incident Indoor/Outdoor</t>
        </is>
      </c>
      <c r="AO1" s="1" t="inlineStr">
        <is>
          <t>Impacted from Source</t>
        </is>
      </c>
      <c r="AP1" s="1" t="inlineStr">
        <is>
          <t>Thermal Runaway</t>
        </is>
      </c>
      <c r="AQ1" s="1" t="inlineStr">
        <is>
          <t>FD Suppression</t>
        </is>
      </c>
      <c r="AR1" s="1" t="inlineStr">
        <is>
          <t>Battery Cell</t>
        </is>
      </c>
      <c r="AS1" s="1" t="inlineStr">
        <is>
          <t>Battery Chemistry</t>
        </is>
      </c>
      <c r="AT1" s="1" t="inlineStr">
        <is>
          <t>Civilian Deaths</t>
        </is>
      </c>
      <c r="AU1" s="1" t="inlineStr">
        <is>
          <t>Civilian Injuries</t>
        </is>
      </c>
      <c r="AV1" s="1" t="inlineStr">
        <is>
          <t>Firefighter Deaths</t>
        </is>
      </c>
      <c r="AW1" s="1" t="inlineStr">
        <is>
          <t>Firefighter Injuries</t>
        </is>
      </c>
    </row>
    <row r="2">
      <c r="A2" t="inlineStr">
        <is>
          <t>FD25017814</t>
        </is>
      </c>
      <c r="B2" t="inlineStr"/>
      <c r="C2" t="inlineStr">
        <is>
          <t>2026-06-19T20:16:46+00:00</t>
        </is>
      </c>
      <c r="D2" s="2">
        <f>IF(C2="","",DATE(VALUE(LEFT(C2,4)),VALUE(MID(C2,6,2)),VALUE(MID(C2,9,2)))+TIME(VALUE(MID(C2,12,2)),VALUE(MID(C2,15,2)),VALUE(MID(C2,18,2)))-IF(AND(DATE(VALUE(LEFT(C2,4)),VALUE(MID(C2,6,2)),VALUE(MID(C2,9,2)))+TIME(VALUE(MID(C2,12,2)),VALUE(MID(C2,15,2)),VALUE(MID(C2,18,2)))&gt;=DATE(VALUE(LEFT(C2,4)),3,1)+MOD(8-WEEKDAY(DATE(VALUE(LEFT(C2,4)),3,1)),7)+7+TIME(7,0,0),DATE(VALUE(LEFT(C2,4)),3,1)+MOD(8-WEEKDAY(DATE(VALUE(LEFT(C2,4)),3,1)),7)+7+TIME(7,0,0)&lt;DATE(VALUE(LEFT(C2,4)),11,1)+MOD(8-WEEKDAY(DATE(VALUE(LEFT(C2,4)),11,1)),7)+TIME(6,0,0)), TIME(4,0,0),TIME(5,0,0)))</f>
        <v/>
      </c>
      <c r="E2" s="3">
        <f>IF(D2="","",MOD(D2,1))</f>
        <v/>
      </c>
      <c r="F2">
        <f>IF(D2="","",MONTH(D2))</f>
        <v/>
      </c>
      <c r="G2">
        <f>IF(D2="","",YEAR(D2))</f>
        <v/>
      </c>
      <c r="H2">
        <f>IF(D2="","",HOUR(D2))</f>
        <v/>
      </c>
      <c r="I2" t="inlineStr">
        <is>
          <t>26-07213</t>
        </is>
      </c>
      <c r="J2" t="inlineStr">
        <is>
          <t>HAZSIT||HAZARD_NONCHEM||ELEC_HAZARD_SHORT_CIRCUIT</t>
        </is>
      </c>
      <c r="K2" t="inlineStr"/>
      <c r="L2" t="inlineStr"/>
      <c r="M2" t="inlineStr">
        <is>
          <t>Powder House</t>
        </is>
      </c>
      <c r="N2" t="inlineStr">
        <is>
          <t>Somerville</t>
        </is>
      </c>
      <c r="O2" t="inlineStr">
        <is>
          <t>MA</t>
        </is>
      </c>
      <c r="P2" t="inlineStr">
        <is>
          <t>02144</t>
        </is>
      </c>
      <c r="Q2" t="inlineStr">
        <is>
          <t>Middlesex County</t>
        </is>
      </c>
      <c r="R2" t="inlineStr">
        <is>
          <t>RESIDENTIAL</t>
        </is>
      </c>
      <c r="S2" t="inlineStr">
        <is>
          <t>MULTI_FAMILY_LOWRISE_DWELLING</t>
        </is>
      </c>
      <c r="T2" t="inlineStr"/>
      <c r="U2" t="inlineStr"/>
      <c r="V2" t="inlineStr">
        <is>
          <t>FD25017814|26-07213|1781900206</t>
        </is>
      </c>
      <c r="W2" t="inlineStr"/>
      <c r="X2" t="inlineStr"/>
      <c r="Y2" t="inlineStr"/>
      <c r="Z2" t="inlineStr"/>
      <c r="AA2" t="inlineStr"/>
      <c r="AB2" t="inlineStr"/>
      <c r="AC2" t="inlineStr">
        <is>
          <t>ENERGY_STORAGE_SYSTEM||BATTERY</t>
        </is>
      </c>
      <c r="AD2" t="inlineStr">
        <is>
          <t>SOURCE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n">
        <v>0</v>
      </c>
      <c r="AU2" t="n">
        <v>0</v>
      </c>
      <c r="AV2" t="n">
        <v>0</v>
      </c>
      <c r="AW2" t="n">
        <v>0</v>
      </c>
    </row>
    <row r="3">
      <c r="A3" t="inlineStr">
        <is>
          <t>FD25017814</t>
        </is>
      </c>
      <c r="B3" t="inlineStr"/>
      <c r="C3" t="inlineStr">
        <is>
          <t>2026-06-18T15:10:16+00:00</t>
        </is>
      </c>
      <c r="D3" s="2">
        <f>IF(C3="","",DATE(VALUE(LEFT(C3,4)),VALUE(MID(C3,6,2)),VALUE(MID(C3,9,2)))+TIME(VALUE(MID(C3,12,2)),VALUE(MID(C3,15,2)),VALUE(MID(C3,18,2)))-IF(AND(DATE(VALUE(LEFT(C3,4)),VALUE(MID(C3,6,2)),VALUE(MID(C3,9,2)))+TIME(VALUE(MID(C3,12,2)),VALUE(MID(C3,15,2)),VALUE(MID(C3,18,2)))&gt;=DATE(VALUE(LEFT(C3,4)),3,1)+MOD(8-WEEKDAY(DATE(VALUE(LEFT(C3,4)),3,1)),7)+7+TIME(7,0,0),DATE(VALUE(LEFT(C3,4)),3,1)+MOD(8-WEEKDAY(DATE(VALUE(LEFT(C3,4)),3,1)),7)+7+TIME(7,0,0)&lt;DATE(VALUE(LEFT(C3,4)),11,1)+MOD(8-WEEKDAY(DATE(VALUE(LEFT(C3,4)),11,1)),7)+TIME(6,0,0)), TIME(4,0,0),TIME(5,0,0)))</f>
        <v/>
      </c>
      <c r="E3" s="3">
        <f>IF(D3="","",MOD(D3,1))</f>
        <v/>
      </c>
      <c r="F3">
        <f>IF(D3="","",MONTH(D3))</f>
        <v/>
      </c>
      <c r="G3">
        <f>IF(D3="","",YEAR(D3))</f>
        <v/>
      </c>
      <c r="H3">
        <f>IF(D3="","",HOUR(D3))</f>
        <v/>
      </c>
      <c r="I3" t="inlineStr">
        <is>
          <t>26-07145</t>
        </is>
      </c>
      <c r="J3" t="inlineStr">
        <is>
          <t>HAZSIT||HAZARD_NONCHEM||ELEC_HAZARD_SHORT_CIRCUIT</t>
        </is>
      </c>
      <c r="K3" t="inlineStr"/>
      <c r="L3" t="inlineStr"/>
      <c r="M3" t="inlineStr">
        <is>
          <t>Sydney</t>
        </is>
      </c>
      <c r="N3" t="inlineStr">
        <is>
          <t>Somerville</t>
        </is>
      </c>
      <c r="O3" t="inlineStr">
        <is>
          <t>MA</t>
        </is>
      </c>
      <c r="P3" t="inlineStr">
        <is>
          <t>02145</t>
        </is>
      </c>
      <c r="Q3" t="inlineStr">
        <is>
          <t>Middlesex County</t>
        </is>
      </c>
      <c r="R3" t="inlineStr">
        <is>
          <t>RESIDENTIAL</t>
        </is>
      </c>
      <c r="S3" t="inlineStr">
        <is>
          <t>DETATCHED_SINGLE_FAMILY_DWELLING</t>
        </is>
      </c>
      <c r="T3" t="inlineStr"/>
      <c r="U3" t="inlineStr"/>
      <c r="V3" t="inlineStr">
        <is>
          <t>FD25017814|26-07145|1781795416</t>
        </is>
      </c>
      <c r="W3" t="inlineStr"/>
      <c r="X3" t="inlineStr"/>
      <c r="Y3" t="inlineStr"/>
      <c r="Z3" t="inlineStr"/>
      <c r="AA3" t="inlineStr"/>
      <c r="AB3" t="inlineStr"/>
      <c r="AC3" t="inlineStr">
        <is>
          <t>ENERGY_STORAGE_SYSTEM||BATTERY</t>
        </is>
      </c>
      <c r="AD3" t="inlineStr">
        <is>
          <t>SOURCE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n">
        <v>0</v>
      </c>
      <c r="AU3" t="n">
        <v>0</v>
      </c>
      <c r="AV3" t="n">
        <v>0</v>
      </c>
      <c r="AW3" t="n">
        <v>0</v>
      </c>
    </row>
    <row r="4">
      <c r="A4" t="inlineStr">
        <is>
          <t>FD25017814</t>
        </is>
      </c>
      <c r="B4" t="inlineStr"/>
      <c r="C4" t="inlineStr">
        <is>
          <t>2026-06-06T19:31:55+00:00</t>
        </is>
      </c>
      <c r="D4" s="2">
        <f>IF(C4="","",DATE(VALUE(LEFT(C4,4)),VALUE(MID(C4,6,2)),VALUE(MID(C4,9,2)))+TIME(VALUE(MID(C4,12,2)),VALUE(MID(C4,15,2)),VALUE(MID(C4,18,2)))-IF(AND(DATE(VALUE(LEFT(C4,4)),VALUE(MID(C4,6,2)),VALUE(MID(C4,9,2)))+TIME(VALUE(MID(C4,12,2)),VALUE(MID(C4,15,2)),VALUE(MID(C4,18,2)))&gt;=DATE(VALUE(LEFT(C4,4)),3,1)+MOD(8-WEEKDAY(DATE(VALUE(LEFT(C4,4)),3,1)),7)+7+TIME(7,0,0),DATE(VALUE(LEFT(C4,4)),3,1)+MOD(8-WEEKDAY(DATE(VALUE(LEFT(C4,4)),3,1)),7)+7+TIME(7,0,0)&lt;DATE(VALUE(LEFT(C4,4)),11,1)+MOD(8-WEEKDAY(DATE(VALUE(LEFT(C4,4)),11,1)),7)+TIME(6,0,0)), TIME(4,0,0),TIME(5,0,0)))</f>
        <v/>
      </c>
      <c r="E4" s="3">
        <f>IF(D4="","",MOD(D4,1))</f>
        <v/>
      </c>
      <c r="F4">
        <f>IF(D4="","",MONTH(D4))</f>
        <v/>
      </c>
      <c r="G4">
        <f>IF(D4="","",YEAR(D4))</f>
        <v/>
      </c>
      <c r="H4">
        <f>IF(D4="","",HOUR(D4))</f>
        <v/>
      </c>
      <c r="I4" t="inlineStr">
        <is>
          <t>26-06607</t>
        </is>
      </c>
      <c r="J4" t="inlineStr">
        <is>
          <t>PUBSERV||CITIZEN_ASSIST||CITIZEN_ASSIST_SERVICE_CALL</t>
        </is>
      </c>
      <c r="K4" t="inlineStr"/>
      <c r="L4" t="inlineStr"/>
      <c r="M4" t="inlineStr">
        <is>
          <t>Puritan</t>
        </is>
      </c>
      <c r="N4" t="inlineStr">
        <is>
          <t>Somerville</t>
        </is>
      </c>
      <c r="O4" t="inlineStr">
        <is>
          <t>MA</t>
        </is>
      </c>
      <c r="P4" t="inlineStr">
        <is>
          <t>02145</t>
        </is>
      </c>
      <c r="Q4" t="inlineStr">
        <is>
          <t>Middlesex County</t>
        </is>
      </c>
      <c r="R4" t="inlineStr">
        <is>
          <t>ROADWAY_ACCESS</t>
        </is>
      </c>
      <c r="S4" t="inlineStr">
        <is>
          <t>SIDEWALK</t>
        </is>
      </c>
      <c r="T4" t="inlineStr"/>
      <c r="U4" t="inlineStr"/>
      <c r="V4" t="inlineStr">
        <is>
          <t>FD25017814|26-06607|1780774315</t>
        </is>
      </c>
      <c r="W4" t="inlineStr"/>
      <c r="X4" t="inlineStr"/>
      <c r="Y4" t="inlineStr"/>
      <c r="Z4" t="inlineStr"/>
      <c r="AA4" t="inlineStr"/>
      <c r="AB4" t="inlineStr"/>
      <c r="AC4" t="inlineStr">
        <is>
          <t>CONSUMER_PRODUCTS||POWER_BANK</t>
        </is>
      </c>
      <c r="AD4" t="inlineStr">
        <is>
          <t>SOURCE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n">
        <v>0</v>
      </c>
      <c r="AU4" t="n">
        <v>0</v>
      </c>
      <c r="AV4" t="n">
        <v>0</v>
      </c>
      <c r="AW4" t="n">
        <v>0</v>
      </c>
    </row>
    <row r="5">
      <c r="A5" t="inlineStr">
        <is>
          <t>FD25017814</t>
        </is>
      </c>
      <c r="B5" t="inlineStr"/>
      <c r="C5" t="inlineStr">
        <is>
          <t>2026-06-02T14:43:28+00:00</t>
        </is>
      </c>
      <c r="D5" s="2">
        <f>IF(C5="","",DATE(VALUE(LEFT(C5,4)),VALUE(MID(C5,6,2)),VALUE(MID(C5,9,2)))+TIME(VALUE(MID(C5,12,2)),VALUE(MID(C5,15,2)),VALUE(MID(C5,18,2)))-IF(AND(DATE(VALUE(LEFT(C5,4)),VALUE(MID(C5,6,2)),VALUE(MID(C5,9,2)))+TIME(VALUE(MID(C5,12,2)),VALUE(MID(C5,15,2)),VALUE(MID(C5,18,2)))&gt;=DATE(VALUE(LEFT(C5,4)),3,1)+MOD(8-WEEKDAY(DATE(VALUE(LEFT(C5,4)),3,1)),7)+7+TIME(7,0,0),DATE(VALUE(LEFT(C5,4)),3,1)+MOD(8-WEEKDAY(DATE(VALUE(LEFT(C5,4)),3,1)),7)+7+TIME(7,0,0)&lt;DATE(VALUE(LEFT(C5,4)),11,1)+MOD(8-WEEKDAY(DATE(VALUE(LEFT(C5,4)),11,1)),7)+TIME(6,0,0)), TIME(4,0,0),TIME(5,0,0)))</f>
        <v/>
      </c>
      <c r="E5" s="3">
        <f>IF(D5="","",MOD(D5,1))</f>
        <v/>
      </c>
      <c r="F5">
        <f>IF(D5="","",MONTH(D5))</f>
        <v/>
      </c>
      <c r="G5">
        <f>IF(D5="","",YEAR(D5))</f>
        <v/>
      </c>
      <c r="H5">
        <f>IF(D5="","",HOUR(D5))</f>
        <v/>
      </c>
      <c r="I5" t="inlineStr">
        <is>
          <t>26-06393</t>
        </is>
      </c>
      <c r="J5" t="inlineStr">
        <is>
          <t>FIRE||SPECIAL_FIRE||ESS_FIRE</t>
        </is>
      </c>
      <c r="K5" t="inlineStr"/>
      <c r="L5" t="inlineStr"/>
      <c r="M5" t="inlineStr">
        <is>
          <t>Broadway</t>
        </is>
      </c>
      <c r="N5" t="inlineStr">
        <is>
          <t>Somerville</t>
        </is>
      </c>
      <c r="O5" t="inlineStr">
        <is>
          <t>MA</t>
        </is>
      </c>
      <c r="P5" t="inlineStr">
        <is>
          <t>02145</t>
        </is>
      </c>
      <c r="Q5" t="inlineStr">
        <is>
          <t>Middlesex County</t>
        </is>
      </c>
      <c r="R5" t="inlineStr">
        <is>
          <t>COMMERCIAL</t>
        </is>
      </c>
      <c r="S5" t="inlineStr">
        <is>
          <t>RETAIL_WHOLESALE_TRADE</t>
        </is>
      </c>
      <c r="T5" t="inlineStr"/>
      <c r="U5" t="inlineStr"/>
      <c r="V5" t="inlineStr">
        <is>
          <t>FD25017814|26-06393|1780411408</t>
        </is>
      </c>
      <c r="W5" t="inlineStr"/>
      <c r="X5" t="inlineStr"/>
      <c r="Y5" t="inlineStr"/>
      <c r="Z5" t="inlineStr"/>
      <c r="AA5" t="inlineStr"/>
      <c r="AB5" t="inlineStr"/>
      <c r="AC5" t="inlineStr">
        <is>
          <t>CONSUMER_PRODUCTS||CELL_PHONE</t>
        </is>
      </c>
      <c r="AD5" t="inlineStr">
        <is>
          <t>SOURCE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n">
        <v>0</v>
      </c>
      <c r="AU5" t="n">
        <v>0</v>
      </c>
      <c r="AV5" t="n">
        <v>0</v>
      </c>
      <c r="AW5" t="n">
        <v>0</v>
      </c>
    </row>
    <row r="6">
      <c r="A6" t="inlineStr">
        <is>
          <t>FD25017814</t>
        </is>
      </c>
      <c r="B6" t="inlineStr"/>
      <c r="C6" t="inlineStr">
        <is>
          <t>2026-05-21T15:42:44+00:00</t>
        </is>
      </c>
      <c r="D6" s="2">
        <f>IF(C6="","",DATE(VALUE(LEFT(C6,4)),VALUE(MID(C6,6,2)),VALUE(MID(C6,9,2)))+TIME(VALUE(MID(C6,12,2)),VALUE(MID(C6,15,2)),VALUE(MID(C6,18,2)))-IF(AND(DATE(VALUE(LEFT(C6,4)),VALUE(MID(C6,6,2)),VALUE(MID(C6,9,2)))+TIME(VALUE(MID(C6,12,2)),VALUE(MID(C6,15,2)),VALUE(MID(C6,18,2)))&gt;=DATE(VALUE(LEFT(C6,4)),3,1)+MOD(8-WEEKDAY(DATE(VALUE(LEFT(C6,4)),3,1)),7)+7+TIME(7,0,0),DATE(VALUE(LEFT(C6,4)),3,1)+MOD(8-WEEKDAY(DATE(VALUE(LEFT(C6,4)),3,1)),7)+7+TIME(7,0,0)&lt;DATE(VALUE(LEFT(C6,4)),11,1)+MOD(8-WEEKDAY(DATE(VALUE(LEFT(C6,4)),11,1)),7)+TIME(6,0,0)), TIME(4,0,0),TIME(5,0,0)))</f>
        <v/>
      </c>
      <c r="E6" s="3">
        <f>IF(D6="","",MOD(D6,1))</f>
        <v/>
      </c>
      <c r="F6">
        <f>IF(D6="","",MONTH(D6))</f>
        <v/>
      </c>
      <c r="G6">
        <f>IF(D6="","",YEAR(D6))</f>
        <v/>
      </c>
      <c r="H6">
        <f>IF(D6="","",HOUR(D6))</f>
        <v/>
      </c>
      <c r="I6" t="inlineStr">
        <is>
          <t>26-05876</t>
        </is>
      </c>
      <c r="J6" t="inlineStr">
        <is>
          <t>HAZSIT||HAZARD_NONCHEM||ELEC_HAZARD_SHORT_CIRCUIT</t>
        </is>
      </c>
      <c r="K6" t="inlineStr"/>
      <c r="L6" t="inlineStr"/>
      <c r="M6" t="inlineStr">
        <is>
          <t>Preston</t>
        </is>
      </c>
      <c r="N6" t="inlineStr">
        <is>
          <t>Somerville</t>
        </is>
      </c>
      <c r="O6" t="inlineStr">
        <is>
          <t>MA</t>
        </is>
      </c>
      <c r="P6" t="inlineStr">
        <is>
          <t>02143</t>
        </is>
      </c>
      <c r="Q6" t="inlineStr">
        <is>
          <t>Middlesex County</t>
        </is>
      </c>
      <c r="R6" t="inlineStr">
        <is>
          <t>ROADWAY_ACCESS</t>
        </is>
      </c>
      <c r="S6" t="inlineStr">
        <is>
          <t>STREET</t>
        </is>
      </c>
      <c r="T6" t="inlineStr"/>
      <c r="U6" t="inlineStr"/>
      <c r="V6" t="inlineStr">
        <is>
          <t>FD25017814|26-05876|1779378164</t>
        </is>
      </c>
      <c r="W6" t="inlineStr"/>
      <c r="X6" t="inlineStr"/>
      <c r="Y6" t="inlineStr"/>
      <c r="Z6" t="inlineStr"/>
      <c r="AA6" t="inlineStr"/>
      <c r="AB6" t="inlineStr"/>
      <c r="AC6" t="inlineStr">
        <is>
          <t>CONSUMER_PRODUCTS||OTHER</t>
        </is>
      </c>
      <c r="AD6" t="inlineStr">
        <is>
          <t>SOURCE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FD25017814</t>
        </is>
      </c>
      <c r="B7" t="inlineStr"/>
      <c r="C7" t="inlineStr">
        <is>
          <t>2026-04-24T23:23:10+00:00</t>
        </is>
      </c>
      <c r="D7" s="2">
        <f>IF(C7="","",DATE(VALUE(LEFT(C7,4)),VALUE(MID(C7,6,2)),VALUE(MID(C7,9,2)))+TIME(VALUE(MID(C7,12,2)),VALUE(MID(C7,15,2)),VALUE(MID(C7,18,2)))-IF(AND(DATE(VALUE(LEFT(C7,4)),VALUE(MID(C7,6,2)),VALUE(MID(C7,9,2)))+TIME(VALUE(MID(C7,12,2)),VALUE(MID(C7,15,2)),VALUE(MID(C7,18,2)))&gt;=DATE(VALUE(LEFT(C7,4)),3,1)+MOD(8-WEEKDAY(DATE(VALUE(LEFT(C7,4)),3,1)),7)+7+TIME(7,0,0),DATE(VALUE(LEFT(C7,4)),3,1)+MOD(8-WEEKDAY(DATE(VALUE(LEFT(C7,4)),3,1)),7)+7+TIME(7,0,0)&lt;DATE(VALUE(LEFT(C7,4)),11,1)+MOD(8-WEEKDAY(DATE(VALUE(LEFT(C7,4)),11,1)),7)+TIME(6,0,0)), TIME(4,0,0),TIME(5,0,0)))</f>
        <v/>
      </c>
      <c r="E7" s="3">
        <f>IF(D7="","",MOD(D7,1))</f>
        <v/>
      </c>
      <c r="F7">
        <f>IF(D7="","",MONTH(D7))</f>
        <v/>
      </c>
      <c r="G7">
        <f>IF(D7="","",YEAR(D7))</f>
        <v/>
      </c>
      <c r="H7">
        <f>IF(D7="","",HOUR(D7))</f>
        <v/>
      </c>
      <c r="I7" t="inlineStr">
        <is>
          <t>26-04698</t>
        </is>
      </c>
      <c r="J7" t="inlineStr">
        <is>
          <t>FIRE||SPECIAL_FIRE||ESS_FIRE</t>
        </is>
      </c>
      <c r="K7" t="inlineStr"/>
      <c r="L7" t="inlineStr"/>
      <c r="M7" t="inlineStr">
        <is>
          <t>Perkins</t>
        </is>
      </c>
      <c r="N7" t="inlineStr">
        <is>
          <t>Somerville</t>
        </is>
      </c>
      <c r="O7" t="inlineStr">
        <is>
          <t>MA</t>
        </is>
      </c>
      <c r="P7" t="inlineStr">
        <is>
          <t>02145</t>
        </is>
      </c>
      <c r="Q7" t="inlineStr">
        <is>
          <t>Middlesex County</t>
        </is>
      </c>
      <c r="R7" t="inlineStr">
        <is>
          <t>RESIDENTIAL</t>
        </is>
      </c>
      <c r="S7" t="inlineStr">
        <is>
          <t>MULTI_FAMILY_LOWRISE_DWELLING</t>
        </is>
      </c>
      <c r="T7" t="inlineStr"/>
      <c r="U7" t="inlineStr"/>
      <c r="V7" t="inlineStr">
        <is>
          <t>FD25017814|26-04698|1777072990</t>
        </is>
      </c>
      <c r="W7" t="inlineStr"/>
      <c r="X7" t="inlineStr"/>
      <c r="Y7" t="inlineStr"/>
      <c r="Z7" t="inlineStr"/>
      <c r="AA7" t="inlineStr"/>
      <c r="AB7" t="inlineStr"/>
      <c r="AC7" t="inlineStr">
        <is>
          <t>CONSUMER_PRODUCTS||CELL_PHONE</t>
        </is>
      </c>
      <c r="AD7" t="inlineStr">
        <is>
          <t>SOURCE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n">
        <v>0</v>
      </c>
      <c r="AU7" t="n">
        <v>0</v>
      </c>
      <c r="AV7" t="n">
        <v>0</v>
      </c>
      <c r="AW7" t="n">
        <v>0</v>
      </c>
    </row>
    <row r="8">
      <c r="A8" t="inlineStr">
        <is>
          <t>FD25017814</t>
        </is>
      </c>
      <c r="B8" t="inlineStr"/>
      <c r="C8" t="inlineStr">
        <is>
          <t>2026-02-05T06:27:29+00:00</t>
        </is>
      </c>
      <c r="D8" s="2">
        <f>IF(C8="","",DATE(VALUE(LEFT(C8,4)),VALUE(MID(C8,6,2)),VALUE(MID(C8,9,2)))+TIME(VALUE(MID(C8,12,2)),VALUE(MID(C8,15,2)),VALUE(MID(C8,18,2)))-IF(AND(DATE(VALUE(LEFT(C8,4)),VALUE(MID(C8,6,2)),VALUE(MID(C8,9,2)))+TIME(VALUE(MID(C8,12,2)),VALUE(MID(C8,15,2)),VALUE(MID(C8,18,2)))&gt;=DATE(VALUE(LEFT(C8,4)),3,1)+MOD(8-WEEKDAY(DATE(VALUE(LEFT(C8,4)),3,1)),7)+7+TIME(7,0,0),DATE(VALUE(LEFT(C8,4)),3,1)+MOD(8-WEEKDAY(DATE(VALUE(LEFT(C8,4)),3,1)),7)+7+TIME(7,0,0)&lt;DATE(VALUE(LEFT(C8,4)),11,1)+MOD(8-WEEKDAY(DATE(VALUE(LEFT(C8,4)),11,1)),7)+TIME(6,0,0)), TIME(4,0,0),TIME(5,0,0)))</f>
        <v/>
      </c>
      <c r="E8" s="3">
        <f>IF(D8="","",MOD(D8,1))</f>
        <v/>
      </c>
      <c r="F8">
        <f>IF(D8="","",MONTH(D8))</f>
        <v/>
      </c>
      <c r="G8">
        <f>IF(D8="","",YEAR(D8))</f>
        <v/>
      </c>
      <c r="H8">
        <f>IF(D8="","",HOUR(D8))</f>
        <v/>
      </c>
      <c r="I8" t="inlineStr">
        <is>
          <t>26-01456</t>
        </is>
      </c>
      <c r="J8" t="inlineStr">
        <is>
          <t>HAZSIT||HAZARD_NONCHEM||ELEC_HAZARD_SHORT_CIRCUIT</t>
        </is>
      </c>
      <c r="K8" t="inlineStr"/>
      <c r="L8" t="inlineStr"/>
      <c r="M8" t="inlineStr">
        <is>
          <t>Day Apt A</t>
        </is>
      </c>
      <c r="N8" t="inlineStr">
        <is>
          <t>Somerville</t>
        </is>
      </c>
      <c r="O8" t="inlineStr">
        <is>
          <t>MA</t>
        </is>
      </c>
      <c r="P8" t="inlineStr">
        <is>
          <t>02144</t>
        </is>
      </c>
      <c r="Q8" t="inlineStr">
        <is>
          <t>Middlesex County</t>
        </is>
      </c>
      <c r="R8" t="inlineStr">
        <is>
          <t>RESIDENTIAL</t>
        </is>
      </c>
      <c r="S8" t="inlineStr">
        <is>
          <t>MULTI_FAMILY_LOWRISE_DWELLING</t>
        </is>
      </c>
      <c r="T8" t="inlineStr"/>
      <c r="U8" t="inlineStr"/>
      <c r="V8" t="inlineStr">
        <is>
          <t>FD25017814|26-01456|1770272849</t>
        </is>
      </c>
      <c r="W8" t="inlineStr"/>
      <c r="X8" t="inlineStr"/>
      <c r="Y8" t="inlineStr"/>
      <c r="Z8" t="inlineStr"/>
      <c r="AA8" t="inlineStr"/>
      <c r="AB8" t="inlineStr"/>
      <c r="AC8" t="inlineStr">
        <is>
          <t>CONSUMER_PRODUCTS||OTHER</t>
        </is>
      </c>
      <c r="AD8" t="inlineStr">
        <is>
          <t>SOURCE</t>
        </is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n">
        <v>0</v>
      </c>
      <c r="AU8" t="n">
        <v>0</v>
      </c>
      <c r="AV8" t="n">
        <v>0</v>
      </c>
      <c r="AW8" t="n">
        <v>0</v>
      </c>
    </row>
    <row r="9">
      <c r="A9" t="inlineStr">
        <is>
          <t>FD25017814</t>
        </is>
      </c>
      <c r="B9" t="inlineStr"/>
      <c r="C9" t="inlineStr">
        <is>
          <t>2026-02-03T20:50:23+00:00</t>
        </is>
      </c>
      <c r="D9" s="2">
        <f>IF(C9="","",DATE(VALUE(LEFT(C9,4)),VALUE(MID(C9,6,2)),VALUE(MID(C9,9,2)))+TIME(VALUE(MID(C9,12,2)),VALUE(MID(C9,15,2)),VALUE(MID(C9,18,2)))-IF(AND(DATE(VALUE(LEFT(C9,4)),VALUE(MID(C9,6,2)),VALUE(MID(C9,9,2)))+TIME(VALUE(MID(C9,12,2)),VALUE(MID(C9,15,2)),VALUE(MID(C9,18,2)))&gt;=DATE(VALUE(LEFT(C9,4)),3,1)+MOD(8-WEEKDAY(DATE(VALUE(LEFT(C9,4)),3,1)),7)+7+TIME(7,0,0),DATE(VALUE(LEFT(C9,4)),3,1)+MOD(8-WEEKDAY(DATE(VALUE(LEFT(C9,4)),3,1)),7)+7+TIME(7,0,0)&lt;DATE(VALUE(LEFT(C9,4)),11,1)+MOD(8-WEEKDAY(DATE(VALUE(LEFT(C9,4)),11,1)),7)+TIME(6,0,0)), TIME(4,0,0),TIME(5,0,0)))</f>
        <v/>
      </c>
      <c r="E9" s="3">
        <f>IF(D9="","",MOD(D9,1))</f>
        <v/>
      </c>
      <c r="F9">
        <f>IF(D9="","",MONTH(D9))</f>
        <v/>
      </c>
      <c r="G9">
        <f>IF(D9="","",YEAR(D9))</f>
        <v/>
      </c>
      <c r="H9">
        <f>IF(D9="","",HOUR(D9))</f>
        <v/>
      </c>
      <c r="I9" t="inlineStr">
        <is>
          <t>26-01401</t>
        </is>
      </c>
      <c r="J9" t="inlineStr">
        <is>
          <t>HAZSIT||HAZARD_NONCHEM||ELEC_HAZARD_SHORT_CIRCUIT</t>
        </is>
      </c>
      <c r="K9" t="inlineStr"/>
      <c r="L9" t="inlineStr"/>
      <c r="M9" t="inlineStr">
        <is>
          <t>Pitman</t>
        </is>
      </c>
      <c r="N9" t="inlineStr">
        <is>
          <t>Somerville</t>
        </is>
      </c>
      <c r="O9" t="inlineStr">
        <is>
          <t>MA</t>
        </is>
      </c>
      <c r="P9" t="inlineStr">
        <is>
          <t>02143</t>
        </is>
      </c>
      <c r="Q9" t="inlineStr">
        <is>
          <t>Middlesex County</t>
        </is>
      </c>
      <c r="R9" t="inlineStr">
        <is>
          <t>RESIDENTIAL</t>
        </is>
      </c>
      <c r="S9" t="inlineStr">
        <is>
          <t>MULTI_FAMILY_LOWRISE_DWELLING</t>
        </is>
      </c>
      <c r="T9" t="inlineStr"/>
      <c r="U9" t="inlineStr"/>
      <c r="V9" t="inlineStr">
        <is>
          <t>FD25017814|26-01401|1770151823</t>
        </is>
      </c>
      <c r="W9" t="inlineStr"/>
      <c r="X9" t="inlineStr"/>
      <c r="Y9" t="inlineStr"/>
      <c r="Z9" t="inlineStr"/>
      <c r="AA9" t="inlineStr"/>
      <c r="AB9" t="inlineStr"/>
      <c r="AC9" t="inlineStr">
        <is>
          <t>CONSUMER_PRODUCTS||OTHER</t>
        </is>
      </c>
      <c r="AD9" t="inlineStr">
        <is>
          <t>SOURCE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n">
        <v>0</v>
      </c>
      <c r="AU9" t="n">
        <v>0</v>
      </c>
      <c r="AV9" t="n">
        <v>0</v>
      </c>
      <c r="AW9" t="n">
        <v>0</v>
      </c>
    </row>
    <row r="10">
      <c r="A10" t="inlineStr">
        <is>
          <t>FD25017814</t>
        </is>
      </c>
      <c r="B10" t="inlineStr"/>
      <c r="C10" t="inlineStr">
        <is>
          <t>2026-01-22T23:57:54+00:00</t>
        </is>
      </c>
      <c r="D10" s="2">
        <f>IF(C10="","",DATE(VALUE(LEFT(C10,4)),VALUE(MID(C10,6,2)),VALUE(MID(C10,9,2)))+TIME(VALUE(MID(C10,12,2)),VALUE(MID(C10,15,2)),VALUE(MID(C10,18,2)))-IF(AND(DATE(VALUE(LEFT(C10,4)),VALUE(MID(C10,6,2)),VALUE(MID(C10,9,2)))+TIME(VALUE(MID(C10,12,2)),VALUE(MID(C10,15,2)),VALUE(MID(C10,18,2)))&gt;=DATE(VALUE(LEFT(C10,4)),3,1)+MOD(8-WEEKDAY(DATE(VALUE(LEFT(C10,4)),3,1)),7)+7+TIME(7,0,0),DATE(VALUE(LEFT(C10,4)),3,1)+MOD(8-WEEKDAY(DATE(VALUE(LEFT(C10,4)),3,1)),7)+7+TIME(7,0,0)&lt;DATE(VALUE(LEFT(C10,4)),11,1)+MOD(8-WEEKDAY(DATE(VALUE(LEFT(C10,4)),11,1)),7)+TIME(6,0,0)), TIME(4,0,0),TIME(5,0,0)))</f>
        <v/>
      </c>
      <c r="E10" s="3">
        <f>IF(D10="","",MOD(D10,1))</f>
        <v/>
      </c>
      <c r="F10">
        <f>IF(D10="","",MONTH(D10))</f>
        <v/>
      </c>
      <c r="G10">
        <f>IF(D10="","",YEAR(D10))</f>
        <v/>
      </c>
      <c r="H10">
        <f>IF(D10="","",HOUR(D10))</f>
        <v/>
      </c>
      <c r="I10" t="inlineStr">
        <is>
          <t>26-00857</t>
        </is>
      </c>
      <c r="J10" t="inlineStr">
        <is>
          <t>FIRE||TRANSPORTATION_FIRE||VEHICLE_FIRE_PASSENGER</t>
        </is>
      </c>
      <c r="K10" t="inlineStr">
        <is>
          <t>FIRE||SPECIAL_FIRE||INFRASTRUCTURE_FIRE</t>
        </is>
      </c>
      <c r="L10" t="inlineStr"/>
      <c r="M10" t="inlineStr">
        <is>
          <t>McGrath Apt 1</t>
        </is>
      </c>
      <c r="N10" t="inlineStr">
        <is>
          <t>Somerville</t>
        </is>
      </c>
      <c r="O10" t="inlineStr">
        <is>
          <t>MA</t>
        </is>
      </c>
      <c r="P10" t="inlineStr">
        <is>
          <t>02143</t>
        </is>
      </c>
      <c r="Q10" t="inlineStr">
        <is>
          <t>Middlesex County</t>
        </is>
      </c>
      <c r="R10" t="inlineStr">
        <is>
          <t>ROADWAY_ACCESS</t>
        </is>
      </c>
      <c r="S10" t="inlineStr">
        <is>
          <t>PARKING_LOT_GARAGE</t>
        </is>
      </c>
      <c r="T10" t="inlineStr"/>
      <c r="U10" t="inlineStr"/>
      <c r="V10" t="inlineStr">
        <is>
          <t>FD25017814|26-00857|1769126274</t>
        </is>
      </c>
      <c r="W10" t="inlineStr"/>
      <c r="X10" t="inlineStr"/>
      <c r="Y10" t="inlineStr"/>
      <c r="Z10" t="inlineStr"/>
      <c r="AA10" t="inlineStr"/>
      <c r="AB10" t="inlineStr"/>
      <c r="AC10" t="inlineStr">
        <is>
          <t>ELECTRIC_VEHICLE||CAR_RR||FULL_ELECTRIC</t>
        </is>
      </c>
      <c r="AD10" t="inlineStr">
        <is>
          <t>UNKNOWN</t>
        </is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n">
        <v>0</v>
      </c>
      <c r="AU10" t="n">
        <v>0</v>
      </c>
      <c r="AV10" t="n">
        <v>0</v>
      </c>
      <c r="AW10" t="n">
        <v>0</v>
      </c>
    </row>
    <row r="11">
      <c r="A11" t="inlineStr">
        <is>
          <t>FD25017814</t>
        </is>
      </c>
      <c r="B11" t="inlineStr"/>
      <c r="C11" t="inlineStr">
        <is>
          <t>2026-01-22T23:57:54+00:00</t>
        </is>
      </c>
      <c r="D11" s="2">
        <f>IF(C11="","",DATE(VALUE(LEFT(C11,4)),VALUE(MID(C11,6,2)),VALUE(MID(C11,9,2)))+TIME(VALUE(MID(C11,12,2)),VALUE(MID(C11,15,2)),VALUE(MID(C11,18,2)))-IF(AND(DATE(VALUE(LEFT(C11,4)),VALUE(MID(C11,6,2)),VALUE(MID(C11,9,2)))+TIME(VALUE(MID(C11,12,2)),VALUE(MID(C11,15,2)),VALUE(MID(C11,18,2)))&gt;=DATE(VALUE(LEFT(C11,4)),3,1)+MOD(8-WEEKDAY(DATE(VALUE(LEFT(C11,4)),3,1)),7)+7+TIME(7,0,0),DATE(VALUE(LEFT(C11,4)),3,1)+MOD(8-WEEKDAY(DATE(VALUE(LEFT(C11,4)),3,1)),7)+7+TIME(7,0,0)&lt;DATE(VALUE(LEFT(C11,4)),11,1)+MOD(8-WEEKDAY(DATE(VALUE(LEFT(C11,4)),11,1)),7)+TIME(6,0,0)), TIME(4,0,0),TIME(5,0,0)))</f>
        <v/>
      </c>
      <c r="E11" s="3">
        <f>IF(D11="","",MOD(D11,1))</f>
        <v/>
      </c>
      <c r="F11">
        <f>IF(D11="","",MONTH(D11))</f>
        <v/>
      </c>
      <c r="G11">
        <f>IF(D11="","",YEAR(D11))</f>
        <v/>
      </c>
      <c r="H11">
        <f>IF(D11="","",HOUR(D11))</f>
        <v/>
      </c>
      <c r="I11" t="inlineStr">
        <is>
          <t>26-00856</t>
        </is>
      </c>
      <c r="J11" t="inlineStr">
        <is>
          <t>FIRE||TRANSPORTATION_FIRE||VEHICLE_FIRE_PASSENGER</t>
        </is>
      </c>
      <c r="K11" t="inlineStr"/>
      <c r="L11" t="inlineStr"/>
      <c r="M11" t="inlineStr">
        <is>
          <t>McGrath Apt 1</t>
        </is>
      </c>
      <c r="N11" t="inlineStr">
        <is>
          <t>Somerville</t>
        </is>
      </c>
      <c r="O11" t="inlineStr">
        <is>
          <t>MA</t>
        </is>
      </c>
      <c r="P11" t="inlineStr">
        <is>
          <t>02143</t>
        </is>
      </c>
      <c r="Q11" t="inlineStr">
        <is>
          <t>Middlesex County</t>
        </is>
      </c>
      <c r="R11" t="inlineStr">
        <is>
          <t>ROADWAY_ACCESS</t>
        </is>
      </c>
      <c r="S11" t="inlineStr">
        <is>
          <t>PARKING_LOT_GARAGE</t>
        </is>
      </c>
      <c r="T11" t="inlineStr"/>
      <c r="U11" t="inlineStr"/>
      <c r="V11" t="inlineStr">
        <is>
          <t>FD25017814|26-00856|1769126274</t>
        </is>
      </c>
      <c r="W11" t="inlineStr"/>
      <c r="X11" t="inlineStr"/>
      <c r="Y11" t="inlineStr"/>
      <c r="Z11" t="inlineStr"/>
      <c r="AA11" t="inlineStr"/>
      <c r="AB11" t="inlineStr"/>
      <c r="AC11" t="inlineStr">
        <is>
          <t>ELECTRIC_VEHICLE||CAR_RR||FULL_ELECTRIC</t>
        </is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n">
        <v>0</v>
      </c>
      <c r="AU11" t="n">
        <v>0</v>
      </c>
      <c r="AV11" t="n">
        <v>0</v>
      </c>
      <c r="AW11" t="n">
        <v>0</v>
      </c>
    </row>
    <row r="12">
      <c r="A12" t="inlineStr">
        <is>
          <t>FD25017814</t>
        </is>
      </c>
      <c r="B12" t="inlineStr"/>
      <c r="C12" t="inlineStr">
        <is>
          <t>2026-01-11T01:15:31+00:00</t>
        </is>
      </c>
      <c r="D12" s="2">
        <f>IF(C12="","",DATE(VALUE(LEFT(C12,4)),VALUE(MID(C12,6,2)),VALUE(MID(C12,9,2)))+TIME(VALUE(MID(C12,12,2)),VALUE(MID(C12,15,2)),VALUE(MID(C12,18,2)))-IF(AND(DATE(VALUE(LEFT(C12,4)),VALUE(MID(C12,6,2)),VALUE(MID(C12,9,2)))+TIME(VALUE(MID(C12,12,2)),VALUE(MID(C12,15,2)),VALUE(MID(C12,18,2)))&gt;=DATE(VALUE(LEFT(C12,4)),3,1)+MOD(8-WEEKDAY(DATE(VALUE(LEFT(C12,4)),3,1)),7)+7+TIME(7,0,0),DATE(VALUE(LEFT(C12,4)),3,1)+MOD(8-WEEKDAY(DATE(VALUE(LEFT(C12,4)),3,1)),7)+7+TIME(7,0,0)&lt;DATE(VALUE(LEFT(C12,4)),11,1)+MOD(8-WEEKDAY(DATE(VALUE(LEFT(C12,4)),11,1)),7)+TIME(6,0,0)), TIME(4,0,0),TIME(5,0,0)))</f>
        <v/>
      </c>
      <c r="E12" s="3">
        <f>IF(D12="","",MOD(D12,1))</f>
        <v/>
      </c>
      <c r="F12">
        <f>IF(D12="","",MONTH(D12))</f>
        <v/>
      </c>
      <c r="G12">
        <f>IF(D12="","",YEAR(D12))</f>
        <v/>
      </c>
      <c r="H12">
        <f>IF(D12="","",HOUR(D12))</f>
        <v/>
      </c>
      <c r="I12" t="inlineStr">
        <is>
          <t>26-00401</t>
        </is>
      </c>
      <c r="J12" t="inlineStr">
        <is>
          <t>PUBSERV||CITIZEN_ASSIST||CITIZEN_ASSIST_SERVICE_CALL</t>
        </is>
      </c>
      <c r="K12" t="inlineStr"/>
      <c r="L12" t="inlineStr"/>
      <c r="M12" t="inlineStr">
        <is>
          <t>Middlesex</t>
        </is>
      </c>
      <c r="N12" t="inlineStr">
        <is>
          <t>Somerville</t>
        </is>
      </c>
      <c r="O12" t="inlineStr">
        <is>
          <t>MA</t>
        </is>
      </c>
      <c r="P12" t="inlineStr">
        <is>
          <t>02145</t>
        </is>
      </c>
      <c r="Q12" t="inlineStr">
        <is>
          <t>Middlesex County</t>
        </is>
      </c>
      <c r="R12" t="inlineStr">
        <is>
          <t>GOVERNMENT</t>
        </is>
      </c>
      <c r="S12" t="inlineStr">
        <is>
          <t>FIRE_MEDICAL_STATION</t>
        </is>
      </c>
      <c r="T12" t="inlineStr"/>
      <c r="U12" t="inlineStr"/>
      <c r="V12" t="inlineStr">
        <is>
          <t>FD25017814|26-00401|1768094131</t>
        </is>
      </c>
      <c r="W12" t="inlineStr"/>
      <c r="X12" t="inlineStr"/>
      <c r="Y12" t="inlineStr"/>
      <c r="Z12" t="inlineStr"/>
      <c r="AA12" t="inlineStr"/>
      <c r="AB12" t="inlineStr"/>
      <c r="AC12" t="inlineStr">
        <is>
          <t>CONSUMER_PRODUCTS||OTHER</t>
        </is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n">
        <v>0</v>
      </c>
      <c r="AU12" t="n">
        <v>0</v>
      </c>
      <c r="AV12" t="n">
        <v>0</v>
      </c>
      <c r="AW1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Incidents Reported</t>
        </is>
      </c>
      <c r="B2" t="n">
        <v>11</v>
      </c>
    </row>
    <row r="3">
      <c r="A3" t="inlineStr">
        <is>
          <t>Battery-Related Structure Fires</t>
        </is>
      </c>
      <c r="B3" t="n">
        <v>0</v>
      </c>
    </row>
    <row r="4">
      <c r="A4" t="inlineStr">
        <is>
          <t>Battery-Related Outside Fires</t>
        </is>
      </c>
      <c r="B4" t="n">
        <v>0</v>
      </c>
    </row>
    <row r="5">
      <c r="A5" t="inlineStr">
        <is>
          <t>Electric Vehicle Related</t>
        </is>
      </c>
      <c r="B5" t="n">
        <v>0</v>
      </c>
    </row>
    <row r="6">
      <c r="A6" t="inlineStr">
        <is>
          <t>Incidents with Electric Hazards</t>
        </is>
      </c>
      <c r="B6" t="n">
        <v>11</v>
      </c>
    </row>
    <row r="7">
      <c r="A7" t="inlineStr">
        <is>
          <t>Thermal Runaway Events</t>
        </is>
      </c>
      <c r="B7" t="n">
        <v>0</v>
      </c>
    </row>
    <row r="8">
      <c r="A8" t="inlineStr">
        <is>
          <t>Incidents with Original Battery Info</t>
        </is>
      </c>
      <c r="B8" t="n">
        <v>0</v>
      </c>
    </row>
    <row r="9">
      <c r="A9" t="inlineStr">
        <is>
          <t>Incidents with Battery Chemistry Info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85" customWidth="1" min="2" max="2"/>
  </cols>
  <sheetData>
    <row r="1">
      <c r="A1" s="4" t="inlineStr">
        <is>
          <t>Report source</t>
        </is>
      </c>
      <c r="B1" s="4" t="inlineStr">
        <is>
          <t>IncidentPull_LithiumIonBatteries.py</t>
        </is>
      </c>
    </row>
    <row r="2">
      <c r="A2" t="inlineStr">
        <is>
          <t>Report date/range</t>
        </is>
      </c>
      <c r="B2" t="inlineStr">
        <is>
          <t>2026-01-11T01:15:31+00:00 through 2026-06-19T20:16:46+00:00 (observed incident timestamps)</t>
        </is>
      </c>
    </row>
    <row r="3">
      <c r="A3" t="inlineStr">
        <is>
          <t>Generated at</t>
        </is>
      </c>
      <c r="B3" t="inlineStr">
        <is>
          <t>2026-09-01T15:44:55-04:00</t>
        </is>
      </c>
    </row>
    <row r="5">
      <c r="A5" s="4" t="inlineStr">
        <is>
          <t>Report Type</t>
        </is>
      </c>
      <c r="B5" s="4" t="inlineStr">
        <is>
          <t>Lithium-ion Battery Fires</t>
        </is>
      </c>
    </row>
    <row r="6">
      <c r="A6" t="inlineStr">
        <is>
          <t>Date Range</t>
        </is>
      </c>
      <c r="B6" t="inlineStr">
        <is>
          <t>All Records</t>
        </is>
      </c>
    </row>
    <row r="7">
      <c r="A7" t="inlineStr">
        <is>
          <t>Entity Filter</t>
        </is>
      </c>
      <c r="B7" t="inlineStr">
        <is>
          <t>FD25017814</t>
        </is>
      </c>
    </row>
    <row r="8">
      <c r="A8" t="inlineStr">
        <is>
          <t>Included sheets</t>
        </is>
      </c>
      <c r="B8" t="inlineStr">
        <is>
          <t>Incident Details, Summary, Report Sources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2026-09-01T19:44:55Z</dcterms:created>
  <dcterms:modified xsi:type="dcterms:W3CDTF">2026-09-01T19:44:55Z</dcterms:modified>
</cp:coreProperties>
</file>