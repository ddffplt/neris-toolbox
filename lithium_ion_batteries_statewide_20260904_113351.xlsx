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cident Details" sheetId="1" state="visible" r:id="rId1"/>
    <sheet name="Summary" sheetId="2" state="visible" r:id="rId2"/>
    <sheet name="Report Sources" sheetId="3" state="visible" r:id="rId3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mm/dd/yy hh:mm"/>
    <numFmt numFmtId="165" formatCode="hh:mm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W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1" customWidth="1" min="2" max="2"/>
    <col width="27" customWidth="1" min="3" max="3"/>
    <col width="60" customWidth="1" min="4" max="4"/>
    <col width="27" customWidth="1" min="5" max="5"/>
    <col width="32" customWidth="1" min="6" max="6"/>
    <col width="26" customWidth="1" min="7" max="7"/>
    <col width="26" customWidth="1" min="8" max="8"/>
    <col width="38" customWidth="1" min="9" max="9"/>
    <col width="60" customWidth="1" min="10" max="10"/>
    <col width="54" customWidth="1" min="11" max="11"/>
    <col width="31" customWidth="1" min="12" max="12"/>
    <col width="28" customWidth="1" min="13" max="13"/>
    <col width="17" customWidth="1" min="14" max="14"/>
    <col width="12" customWidth="1" min="15" max="15"/>
    <col width="12" customWidth="1" min="16" max="16"/>
    <col width="18" customWidth="1" min="17" max="17"/>
    <col width="22" customWidth="1" min="18" max="18"/>
    <col width="34" customWidth="1" min="19" max="19"/>
    <col width="12" customWidth="1" min="20" max="20"/>
    <col width="12" customWidth="1" min="21" max="21"/>
    <col width="53" customWidth="1" min="22" max="22"/>
    <col width="46" customWidth="1" min="23" max="23"/>
    <col width="44" customWidth="1" min="24" max="24"/>
    <col width="25" customWidth="1" min="25" max="25"/>
    <col width="21" customWidth="1" min="26" max="26"/>
    <col width="22" customWidth="1" min="27" max="27"/>
    <col width="17" customWidth="1" min="28" max="28"/>
    <col width="60" customWidth="1" min="29" max="29"/>
    <col width="31" customWidth="1" min="30" max="30"/>
    <col width="40" customWidth="1" min="31" max="31"/>
    <col width="56" customWidth="1" min="32" max="32"/>
    <col width="31" customWidth="1" min="33" max="33"/>
    <col width="14" customWidth="1" min="34" max="34"/>
    <col width="18" customWidth="1" min="35" max="35"/>
    <col width="21" customWidth="1" min="36" max="36"/>
    <col width="15" customWidth="1" min="37" max="37"/>
    <col width="17" customWidth="1" min="38" max="38"/>
    <col width="22" customWidth="1" min="39" max="39"/>
    <col width="25" customWidth="1" min="40" max="40"/>
    <col width="22" customWidth="1" min="41" max="41"/>
    <col width="17" customWidth="1" min="42" max="42"/>
    <col width="16" customWidth="1" min="43" max="43"/>
    <col width="14" customWidth="1" min="44" max="44"/>
    <col width="19" customWidth="1" min="45" max="45"/>
    <col width="17" customWidth="1" min="46" max="46"/>
    <col width="19" customWidth="1" min="47" max="47"/>
    <col width="20" customWidth="1" min="48" max="48"/>
    <col width="22" customWidth="1" min="49" max="49"/>
  </cols>
  <sheetData>
    <row r="1">
      <c r="A1" s="1" t="inlineStr">
        <is>
          <t>Entity ID</t>
        </is>
      </c>
      <c r="B1" s="1" t="inlineStr">
        <is>
          <t>Department Name</t>
        </is>
      </c>
      <c r="C1" s="1" t="inlineStr">
        <is>
          <t>Incident Date/Time (UTC)</t>
        </is>
      </c>
      <c r="D1" s="1" t="inlineStr">
        <is>
          <t>Incident Date</t>
        </is>
      </c>
      <c r="E1" s="1" t="inlineStr">
        <is>
          <t>Incident Time</t>
        </is>
      </c>
      <c r="F1" s="1" t="inlineStr">
        <is>
          <t>Incident Month</t>
        </is>
      </c>
      <c r="G1" s="1" t="inlineStr">
        <is>
          <t>Incident Year</t>
        </is>
      </c>
      <c r="H1" s="1" t="inlineStr">
        <is>
          <t>Incident Hour</t>
        </is>
      </c>
      <c r="I1" s="1" t="inlineStr">
        <is>
          <t>Incident Number</t>
        </is>
      </c>
      <c r="J1" s="1" t="inlineStr">
        <is>
          <t>Primary Incident Type</t>
        </is>
      </c>
      <c r="K1" s="1" t="inlineStr">
        <is>
          <t>Secondary Incident Type</t>
        </is>
      </c>
      <c r="L1" s="1" t="inlineStr">
        <is>
          <t>Tertiary Incident Type</t>
        </is>
      </c>
      <c r="M1" s="1" t="inlineStr">
        <is>
          <t>Address</t>
        </is>
      </c>
      <c r="N1" s="1" t="inlineStr">
        <is>
          <t>City</t>
        </is>
      </c>
      <c r="O1" s="1" t="inlineStr">
        <is>
          <t>State</t>
        </is>
      </c>
      <c r="P1" s="1" t="inlineStr">
        <is>
          <t>Zip Code</t>
        </is>
      </c>
      <c r="Q1" s="1" t="inlineStr">
        <is>
          <t>County</t>
        </is>
      </c>
      <c r="R1" s="1" t="inlineStr">
        <is>
          <t>Primary Location Use</t>
        </is>
      </c>
      <c r="S1" s="1" t="inlineStr">
        <is>
          <t>Secondary Location Use</t>
        </is>
      </c>
      <c r="T1" s="1" t="inlineStr">
        <is>
          <t>Latitude</t>
        </is>
      </c>
      <c r="U1" s="1" t="inlineStr">
        <is>
          <t>Longitude</t>
        </is>
      </c>
      <c r="V1" s="1" t="inlineStr">
        <is>
          <t>NERIS ID</t>
        </is>
      </c>
      <c r="W1" s="1" t="inlineStr">
        <is>
          <t>Structure Fire Cause - Battery_Power_storage</t>
        </is>
      </c>
      <c r="X1" s="1" t="inlineStr">
        <is>
          <t>Outside Fire Cause - Battery_Power_storage</t>
        </is>
      </c>
      <c r="Y1" s="1" t="inlineStr">
        <is>
          <t>Electric Vehicle Status</t>
        </is>
      </c>
      <c r="Z1" s="1" t="inlineStr">
        <is>
          <t>Electric Reignition</t>
        </is>
      </c>
      <c r="AA1" s="1" t="inlineStr">
        <is>
          <t>Electric Suppression</t>
        </is>
      </c>
      <c r="AB1" s="1" t="inlineStr">
        <is>
          <t>Electric Target</t>
        </is>
      </c>
      <c r="AC1" s="1" t="inlineStr">
        <is>
          <t>Electric Hazard Types</t>
        </is>
      </c>
      <c r="AD1" s="1" t="inlineStr">
        <is>
          <t>Electric Hazard Source/Target</t>
        </is>
      </c>
      <c r="AE1" s="1" t="inlineStr">
        <is>
          <t>Electric Hazard Electrification Hazard</t>
        </is>
      </c>
      <c r="AF1" s="1" t="inlineStr">
        <is>
          <t>Electric Hazard Battery Powered/Stored Energy Category</t>
        </is>
      </c>
      <c r="AG1" s="1" t="inlineStr">
        <is>
          <t>Electric Hazard Specific Type</t>
        </is>
      </c>
      <c r="AH1" s="1" t="inlineStr">
        <is>
          <t>Product Type</t>
        </is>
      </c>
      <c r="AI1" s="1" t="inlineStr">
        <is>
          <t>Original Battery</t>
        </is>
      </c>
      <c r="AJ1" s="1" t="inlineStr">
        <is>
          <t>Installation Status</t>
        </is>
      </c>
      <c r="AK1" s="1" t="inlineStr">
        <is>
          <t>Safety Listed</t>
        </is>
      </c>
      <c r="AL1" s="1" t="inlineStr">
        <is>
          <t>Vehicle Battery</t>
        </is>
      </c>
      <c r="AM1" s="1" t="inlineStr">
        <is>
          <t>Charging at Ignition</t>
        </is>
      </c>
      <c r="AN1" s="1" t="inlineStr">
        <is>
          <t>Incident Indoor/Outdoor</t>
        </is>
      </c>
      <c r="AO1" s="1" t="inlineStr">
        <is>
          <t>Impacted from Source</t>
        </is>
      </c>
      <c r="AP1" s="1" t="inlineStr">
        <is>
          <t>Thermal Runaway</t>
        </is>
      </c>
      <c r="AQ1" s="1" t="inlineStr">
        <is>
          <t>FD Suppression</t>
        </is>
      </c>
      <c r="AR1" s="1" t="inlineStr">
        <is>
          <t>Battery Cell</t>
        </is>
      </c>
      <c r="AS1" s="1" t="inlineStr">
        <is>
          <t>Battery Chemistry</t>
        </is>
      </c>
      <c r="AT1" s="1" t="inlineStr">
        <is>
          <t>Civilian Deaths</t>
        </is>
      </c>
      <c r="AU1" s="1" t="inlineStr">
        <is>
          <t>Civilian Injuries</t>
        </is>
      </c>
      <c r="AV1" s="1" t="inlineStr">
        <is>
          <t>Firefighter Deaths</t>
        </is>
      </c>
      <c r="AW1" s="1" t="inlineStr">
        <is>
          <t>Firefighter Injuries</t>
        </is>
      </c>
    </row>
    <row r="2">
      <c r="A2" t="inlineStr">
        <is>
          <t>FD25017814</t>
        </is>
      </c>
      <c r="B2" t="inlineStr">
        <is>
          <t>City Of Somerville Fire Deparment</t>
        </is>
      </c>
      <c r="C2" t="inlineStr">
        <is>
          <t>2026-09-03T16:53:34+00:00</t>
        </is>
      </c>
      <c r="D2" s="2">
        <f>IF(C2="","",DATE(VALUE(LEFT(C2,4)),VALUE(MID(C2,6,2)),VALUE(MID(C2,9,2)))+TIME(VALUE(MID(C2,12,2)),VALUE(MID(C2,15,2)),VALUE(MID(C2,18,2)))-IF(AND(DATE(VALUE(LEFT(C2,4)),VALUE(MID(C2,6,2)),VALUE(MID(C2,9,2)))+TIME(VALUE(MID(C2,12,2)),VALUE(MID(C2,15,2)),VALUE(MID(C2,18,2)))&gt;=DATE(VALUE(LEFT(C2,4)),3,1)+MOD(8-WEEKDAY(DATE(VALUE(LEFT(C2,4)),3,1)),7)+7+TIME(7,0,0),DATE(VALUE(LEFT(C2,4)),3,1)+MOD(8-WEEKDAY(DATE(VALUE(LEFT(C2,4)),3,1)),7)+7+TIME(7,0,0)&lt;DATE(VALUE(LEFT(C2,4)),11,1)+MOD(8-WEEKDAY(DATE(VALUE(LEFT(C2,4)),11,1)),7)+TIME(6,0,0)), TIME(4,0,0),TIME(5,0,0)))</f>
        <v/>
      </c>
      <c r="E2" s="3">
        <f>IF(D2="","",MOD(D2,1))</f>
        <v/>
      </c>
      <c r="F2">
        <f>IF(D2="","",TEXT(D2,"mmm"))</f>
        <v/>
      </c>
      <c r="G2">
        <f>IF(D2="","",YEAR(D2))</f>
        <v/>
      </c>
      <c r="H2">
        <f>IF(D2="","",HOUR(D2))</f>
        <v/>
      </c>
      <c r="I2" t="inlineStr">
        <is>
          <t>26-10576</t>
        </is>
      </c>
      <c r="J2" t="inlineStr">
        <is>
          <t>NOEMERG||GOOD_INTENT||INVESTIGATE_HAZARDOUS_RELEASE</t>
        </is>
      </c>
      <c r="K2" t="inlineStr"/>
      <c r="L2" t="inlineStr"/>
      <c r="M2" t="inlineStr">
        <is>
          <t>Dartmouth</t>
        </is>
      </c>
      <c r="N2" t="inlineStr">
        <is>
          <t>Somerville</t>
        </is>
      </c>
      <c r="O2" t="inlineStr">
        <is>
          <t>MA</t>
        </is>
      </c>
      <c r="P2" t="inlineStr">
        <is>
          <t>02145</t>
        </is>
      </c>
      <c r="Q2" t="inlineStr">
        <is>
          <t>Middlesex County</t>
        </is>
      </c>
      <c r="R2" t="inlineStr">
        <is>
          <t>ROADWAY_ACCESS</t>
        </is>
      </c>
      <c r="S2" t="inlineStr">
        <is>
          <t>SIDEWALK</t>
        </is>
      </c>
      <c r="T2" t="inlineStr"/>
      <c r="U2" t="inlineStr"/>
      <c r="V2" t="inlineStr">
        <is>
          <t>FD25017814|26-10576|1788454414</t>
        </is>
      </c>
      <c r="W2" t="inlineStr"/>
      <c r="X2" t="inlineStr"/>
      <c r="Y2" t="inlineStr"/>
      <c r="Z2" t="inlineStr"/>
      <c r="AA2" t="inlineStr"/>
      <c r="AB2" t="inlineStr"/>
      <c r="AC2" t="inlineStr">
        <is>
          <t>CONSUMER_PRODUCTS||CELL_PHONE</t>
        </is>
      </c>
      <c r="AD2" t="inlineStr">
        <is>
          <t>SOURCE</t>
        </is>
      </c>
      <c r="AE2" t="inlineStr"/>
      <c r="AF2" t="inlineStr"/>
      <c r="AG2" t="inlineStr"/>
      <c r="AH2" t="inlineStr"/>
      <c r="AI2" t="inlineStr"/>
      <c r="AJ2" t="inlineStr"/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n">
        <v>0</v>
      </c>
      <c r="AU2" t="n">
        <v>0</v>
      </c>
      <c r="AV2" t="n">
        <v>0</v>
      </c>
      <c r="AW2" t="n">
        <v>0</v>
      </c>
    </row>
    <row r="3">
      <c r="A3" t="inlineStr">
        <is>
          <t>FD25001274</t>
        </is>
      </c>
      <c r="B3" t="inlineStr">
        <is>
          <t>Falmouth Fire/ Rescue</t>
        </is>
      </c>
      <c r="C3" t="inlineStr">
        <is>
          <t>2026-09-03T14:15:43+00:00</t>
        </is>
      </c>
      <c r="D3" s="2">
        <f>IF(C3="","",DATE(VALUE(LEFT(C3,4)),VALUE(MID(C3,6,2)),VALUE(MID(C3,9,2)))+TIME(VALUE(MID(C3,12,2)),VALUE(MID(C3,15,2)),VALUE(MID(C3,18,2)))-IF(AND(DATE(VALUE(LEFT(C3,4)),VALUE(MID(C3,6,2)),VALUE(MID(C3,9,2)))+TIME(VALUE(MID(C3,12,2)),VALUE(MID(C3,15,2)),VALUE(MID(C3,18,2)))&gt;=DATE(VALUE(LEFT(C3,4)),3,1)+MOD(8-WEEKDAY(DATE(VALUE(LEFT(C3,4)),3,1)),7)+7+TIME(7,0,0),DATE(VALUE(LEFT(C3,4)),3,1)+MOD(8-WEEKDAY(DATE(VALUE(LEFT(C3,4)),3,1)),7)+7+TIME(7,0,0)&lt;DATE(VALUE(LEFT(C3,4)),11,1)+MOD(8-WEEKDAY(DATE(VALUE(LEFT(C3,4)),11,1)),7)+TIME(6,0,0)), TIME(4,0,0),TIME(5,0,0)))</f>
        <v/>
      </c>
      <c r="E3" s="3">
        <f>IF(D3="","",MOD(D3,1))</f>
        <v/>
      </c>
      <c r="F3">
        <f>IF(D3="","",TEXT(D3,"mmm"))</f>
        <v/>
      </c>
      <c r="G3">
        <f>IF(D3="","",YEAR(D3))</f>
        <v/>
      </c>
      <c r="H3">
        <f>IF(D3="","",HOUR(D3))</f>
        <v/>
      </c>
      <c r="I3" t="inlineStr">
        <is>
          <t>26-022485</t>
        </is>
      </c>
      <c r="J3" t="inlineStr">
        <is>
          <t>HAZSIT||HAZARD_NONCHEM||ELEC_HAZARD_SHORT_CIRCUIT</t>
        </is>
      </c>
      <c r="K3" t="inlineStr"/>
      <c r="L3" t="inlineStr"/>
      <c r="M3" t="inlineStr">
        <is>
          <t>37 GRAY LANE</t>
        </is>
      </c>
      <c r="N3" t="inlineStr"/>
      <c r="O3" t="inlineStr">
        <is>
          <t>MA</t>
        </is>
      </c>
      <c r="P3" t="inlineStr">
        <is>
          <t>02543</t>
        </is>
      </c>
      <c r="Q3" t="inlineStr">
        <is>
          <t>Barnstable</t>
        </is>
      </c>
      <c r="R3" t="inlineStr">
        <is>
          <t>RESIDENTIAL</t>
        </is>
      </c>
      <c r="S3" t="inlineStr">
        <is>
          <t>DETATCHED_SINGLE_FAMILY_DWELLING</t>
        </is>
      </c>
      <c r="T3" t="inlineStr"/>
      <c r="U3" t="inlineStr"/>
      <c r="V3" t="inlineStr">
        <is>
          <t>FD25001274|26-022485|1788444943</t>
        </is>
      </c>
      <c r="W3" t="inlineStr"/>
      <c r="X3" t="inlineStr"/>
      <c r="Y3" t="inlineStr"/>
      <c r="Z3" t="inlineStr"/>
      <c r="AA3" t="inlineStr"/>
      <c r="AB3" t="inlineStr"/>
      <c r="AC3" t="inlineStr">
        <is>
          <t>ENERGY_STORAGE_SYSTEM||BATTERY</t>
        </is>
      </c>
      <c r="AD3" t="inlineStr">
        <is>
          <t>SOURCE</t>
        </is>
      </c>
      <c r="AE3" t="inlineStr"/>
      <c r="AF3" t="inlineStr"/>
      <c r="AG3" t="inlineStr"/>
      <c r="AH3" t="inlineStr"/>
      <c r="AI3" t="inlineStr"/>
      <c r="AJ3" t="inlineStr"/>
      <c r="AK3" t="inlineStr"/>
      <c r="AL3" t="inlineStr"/>
      <c r="AM3" t="inlineStr"/>
      <c r="AN3" t="inlineStr"/>
      <c r="AO3" t="inlineStr"/>
      <c r="AP3" t="inlineStr"/>
      <c r="AQ3" t="inlineStr"/>
      <c r="AR3" t="inlineStr"/>
      <c r="AS3" t="inlineStr"/>
      <c r="AT3" t="n">
        <v>0</v>
      </c>
      <c r="AU3" t="n">
        <v>0</v>
      </c>
      <c r="AV3" t="n">
        <v>0</v>
      </c>
      <c r="AW3" t="n">
        <v>0</v>
      </c>
    </row>
    <row r="4">
      <c r="A4" t="inlineStr">
        <is>
          <t>FD25023065</t>
        </is>
      </c>
      <c r="B4" t="inlineStr">
        <is>
          <t>Plymouth Fire Department</t>
        </is>
      </c>
      <c r="C4" t="inlineStr">
        <is>
          <t>2026-09-02T16:47:36+00:00</t>
        </is>
      </c>
      <c r="D4" s="2">
        <f>IF(C4="","",DATE(VALUE(LEFT(C4,4)),VALUE(MID(C4,6,2)),VALUE(MID(C4,9,2)))+TIME(VALUE(MID(C4,12,2)),VALUE(MID(C4,15,2)),VALUE(MID(C4,18,2)))-IF(AND(DATE(VALUE(LEFT(C4,4)),VALUE(MID(C4,6,2)),VALUE(MID(C4,9,2)))+TIME(VALUE(MID(C4,12,2)),VALUE(MID(C4,15,2)),VALUE(MID(C4,18,2)))&gt;=DATE(VALUE(LEFT(C4,4)),3,1)+MOD(8-WEEKDAY(DATE(VALUE(LEFT(C4,4)),3,1)),7)+7+TIME(7,0,0),DATE(VALUE(LEFT(C4,4)),3,1)+MOD(8-WEEKDAY(DATE(VALUE(LEFT(C4,4)),3,1)),7)+7+TIME(7,0,0)&lt;DATE(VALUE(LEFT(C4,4)),11,1)+MOD(8-WEEKDAY(DATE(VALUE(LEFT(C4,4)),11,1)),7)+TIME(6,0,0)), TIME(4,0,0),TIME(5,0,0)))</f>
        <v/>
      </c>
      <c r="E4" s="3">
        <f>IF(D4="","",MOD(D4,1))</f>
        <v/>
      </c>
      <c r="F4">
        <f>IF(D4="","",TEXT(D4,"mmm"))</f>
        <v/>
      </c>
      <c r="G4">
        <f>IF(D4="","",YEAR(D4))</f>
        <v/>
      </c>
      <c r="H4">
        <f>IF(D4="","",HOUR(D4))</f>
        <v/>
      </c>
      <c r="I4" t="inlineStr">
        <is>
          <t>2026009962</t>
        </is>
      </c>
      <c r="J4" t="inlineStr">
        <is>
          <t>HAZSIT||OVERPRESSURE||RUPTURE_WITHOUT_FIRE</t>
        </is>
      </c>
      <c r="K4" t="inlineStr"/>
      <c r="L4" t="inlineStr"/>
      <c r="M4" t="inlineStr">
        <is>
          <t>64 PALMER ROAD</t>
        </is>
      </c>
      <c r="N4" t="inlineStr">
        <is>
          <t>PLYMOUTH</t>
        </is>
      </c>
      <c r="O4" t="inlineStr">
        <is>
          <t>MA</t>
        </is>
      </c>
      <c r="P4" t="inlineStr">
        <is>
          <t>02360</t>
        </is>
      </c>
      <c r="Q4" t="inlineStr"/>
      <c r="R4" t="inlineStr"/>
      <c r="S4" t="inlineStr"/>
      <c r="T4" t="inlineStr"/>
      <c r="U4" t="inlineStr"/>
      <c r="V4" t="inlineStr">
        <is>
          <t>FD25023065|2026009962|1788367656</t>
        </is>
      </c>
      <c r="W4" t="inlineStr"/>
      <c r="X4" t="inlineStr"/>
      <c r="Y4" t="inlineStr"/>
      <c r="Z4" t="inlineStr"/>
      <c r="AA4" t="inlineStr"/>
      <c r="AB4" t="inlineStr"/>
      <c r="AC4" t="inlineStr">
        <is>
          <t>CONSUMER_PRODUCTS||APPLIANCE_TOOL</t>
        </is>
      </c>
      <c r="AD4" t="inlineStr">
        <is>
          <t>SOURCE</t>
        </is>
      </c>
      <c r="AE4" t="inlineStr"/>
      <c r="AF4" t="inlineStr"/>
      <c r="AG4" t="inlineStr"/>
      <c r="AH4" t="inlineStr"/>
      <c r="AI4" t="inlineStr"/>
      <c r="AJ4" t="inlineStr"/>
      <c r="AK4" t="inlineStr"/>
      <c r="AL4" t="inlineStr"/>
      <c r="AM4" t="inlineStr"/>
      <c r="AN4" t="inlineStr"/>
      <c r="AO4" t="inlineStr"/>
      <c r="AP4" t="inlineStr"/>
      <c r="AQ4" t="inlineStr"/>
      <c r="AR4" t="inlineStr"/>
      <c r="AS4" t="inlineStr"/>
      <c r="AT4" t="n">
        <v>0</v>
      </c>
      <c r="AU4" t="n">
        <v>0</v>
      </c>
      <c r="AV4" t="n">
        <v>0</v>
      </c>
      <c r="AW4" t="n">
        <v>0</v>
      </c>
    </row>
    <row r="5">
      <c r="A5" t="inlineStr">
        <is>
          <t>FD25025316</t>
        </is>
      </c>
      <c r="B5" t="inlineStr">
        <is>
          <t>Boston Fire Department</t>
        </is>
      </c>
      <c r="C5" t="inlineStr">
        <is>
          <t>2026-09-01T02:54:51+00:00</t>
        </is>
      </c>
      <c r="D5" s="2">
        <f>IF(C5="","",DATE(VALUE(LEFT(C5,4)),VALUE(MID(C5,6,2)),VALUE(MID(C5,9,2)))+TIME(VALUE(MID(C5,12,2)),VALUE(MID(C5,15,2)),VALUE(MID(C5,18,2)))-IF(AND(DATE(VALUE(LEFT(C5,4)),VALUE(MID(C5,6,2)),VALUE(MID(C5,9,2)))+TIME(VALUE(MID(C5,12,2)),VALUE(MID(C5,15,2)),VALUE(MID(C5,18,2)))&gt;=DATE(VALUE(LEFT(C5,4)),3,1)+MOD(8-WEEKDAY(DATE(VALUE(LEFT(C5,4)),3,1)),7)+7+TIME(7,0,0),DATE(VALUE(LEFT(C5,4)),3,1)+MOD(8-WEEKDAY(DATE(VALUE(LEFT(C5,4)),3,1)),7)+7+TIME(7,0,0)&lt;DATE(VALUE(LEFT(C5,4)),11,1)+MOD(8-WEEKDAY(DATE(VALUE(LEFT(C5,4)),11,1)),7)+TIME(6,0,0)), TIME(4,0,0),TIME(5,0,0)))</f>
        <v/>
      </c>
      <c r="E5" s="3">
        <f>IF(D5="","",MOD(D5,1))</f>
        <v/>
      </c>
      <c r="F5">
        <f>IF(D5="","",TEXT(D5,"mmm"))</f>
        <v/>
      </c>
      <c r="G5">
        <f>IF(D5="","",YEAR(D5))</f>
        <v/>
      </c>
      <c r="H5">
        <f>IF(D5="","",HOUR(D5))</f>
        <v/>
      </c>
      <c r="I5" t="inlineStr">
        <is>
          <t>26-0062237</t>
        </is>
      </c>
      <c r="J5" t="inlineStr">
        <is>
          <t>HAZSIT||HAZARD_NONCHEM||ELEC_HAZARD_SHORT_CIRCUIT</t>
        </is>
      </c>
      <c r="K5" t="inlineStr"/>
      <c r="L5" t="inlineStr"/>
      <c r="M5" t="inlineStr">
        <is>
          <t>HAMILTON ST</t>
        </is>
      </c>
      <c r="N5" t="inlineStr"/>
      <c r="O5" t="inlineStr">
        <is>
          <t>MA</t>
        </is>
      </c>
      <c r="P5" t="inlineStr">
        <is>
          <t>02125</t>
        </is>
      </c>
      <c r="Q5" t="inlineStr">
        <is>
          <t>SUFFOLK</t>
        </is>
      </c>
      <c r="R5" t="inlineStr">
        <is>
          <t>RESIDENTIAL</t>
        </is>
      </c>
      <c r="S5" t="inlineStr">
        <is>
          <t>MULTI_FAMILY_LOWRISE_DWELLING</t>
        </is>
      </c>
      <c r="T5" t="inlineStr"/>
      <c r="U5" t="inlineStr"/>
      <c r="V5" t="inlineStr">
        <is>
          <t>FD25025316|26-0062237|1788231291</t>
        </is>
      </c>
      <c r="W5" t="inlineStr"/>
      <c r="X5" t="inlineStr"/>
      <c r="Y5" t="inlineStr"/>
      <c r="Z5" t="inlineStr"/>
      <c r="AA5" t="inlineStr"/>
      <c r="AB5" t="inlineStr"/>
      <c r="AC5" t="inlineStr">
        <is>
          <t>CONSUMER_PRODUCTS||OTHER</t>
        </is>
      </c>
      <c r="AD5" t="inlineStr"/>
      <c r="AE5" t="inlineStr"/>
      <c r="AF5" t="inlineStr"/>
      <c r="AG5" t="inlineStr"/>
      <c r="AH5" t="inlineStr"/>
      <c r="AI5" t="inlineStr"/>
      <c r="AJ5" t="inlineStr"/>
      <c r="AK5" t="inlineStr"/>
      <c r="AL5" t="inlineStr"/>
      <c r="AM5" t="inlineStr"/>
      <c r="AN5" t="inlineStr"/>
      <c r="AO5" t="inlineStr"/>
      <c r="AP5" t="inlineStr"/>
      <c r="AQ5" t="inlineStr"/>
      <c r="AR5" t="inlineStr"/>
      <c r="AS5" t="inlineStr"/>
      <c r="AT5" t="n">
        <v>0</v>
      </c>
      <c r="AU5" t="n">
        <v>0</v>
      </c>
      <c r="AV5" t="n">
        <v>0</v>
      </c>
      <c r="AW5" t="n">
        <v>0</v>
      </c>
    </row>
    <row r="6">
      <c r="A6" t="inlineStr">
        <is>
          <t>FD25025316</t>
        </is>
      </c>
      <c r="B6" t="inlineStr">
        <is>
          <t>Boston Fire Department</t>
        </is>
      </c>
      <c r="C6" t="inlineStr">
        <is>
          <t>2026-08-31T13:01:06+00:00</t>
        </is>
      </c>
      <c r="D6" s="2">
        <f>IF(C6="","",DATE(VALUE(LEFT(C6,4)),VALUE(MID(C6,6,2)),VALUE(MID(C6,9,2)))+TIME(VALUE(MID(C6,12,2)),VALUE(MID(C6,15,2)),VALUE(MID(C6,18,2)))-IF(AND(DATE(VALUE(LEFT(C6,4)),VALUE(MID(C6,6,2)),VALUE(MID(C6,9,2)))+TIME(VALUE(MID(C6,12,2)),VALUE(MID(C6,15,2)),VALUE(MID(C6,18,2)))&gt;=DATE(VALUE(LEFT(C6,4)),3,1)+MOD(8-WEEKDAY(DATE(VALUE(LEFT(C6,4)),3,1)),7)+7+TIME(7,0,0),DATE(VALUE(LEFT(C6,4)),3,1)+MOD(8-WEEKDAY(DATE(VALUE(LEFT(C6,4)),3,1)),7)+7+TIME(7,0,0)&lt;DATE(VALUE(LEFT(C6,4)),11,1)+MOD(8-WEEKDAY(DATE(VALUE(LEFT(C6,4)),11,1)),7)+TIME(6,0,0)), TIME(4,0,0),TIME(5,0,0)))</f>
        <v/>
      </c>
      <c r="E6" s="3">
        <f>IF(D6="","",MOD(D6,1))</f>
        <v/>
      </c>
      <c r="F6">
        <f>IF(D6="","",TEXT(D6,"mmm"))</f>
        <v/>
      </c>
      <c r="G6">
        <f>IF(D6="","",YEAR(D6))</f>
        <v/>
      </c>
      <c r="H6">
        <f>IF(D6="","",HOUR(D6))</f>
        <v/>
      </c>
      <c r="I6" t="inlineStr">
        <is>
          <t>26-0062028</t>
        </is>
      </c>
      <c r="J6" t="inlineStr">
        <is>
          <t>FIRE||STRUCTURE_FIRE||STRUCTURAL_INVOLVEMENT_FIRE</t>
        </is>
      </c>
      <c r="K6" t="inlineStr"/>
      <c r="L6" t="inlineStr"/>
      <c r="M6" t="inlineStr">
        <is>
          <t>N BEACON ST</t>
        </is>
      </c>
      <c r="N6" t="inlineStr"/>
      <c r="O6" t="inlineStr">
        <is>
          <t>MA</t>
        </is>
      </c>
      <c r="P6" t="inlineStr">
        <is>
          <t>02135</t>
        </is>
      </c>
      <c r="Q6" t="inlineStr">
        <is>
          <t>SUFFOLK</t>
        </is>
      </c>
      <c r="R6" t="inlineStr">
        <is>
          <t>RESIDENTIAL</t>
        </is>
      </c>
      <c r="S6" t="inlineStr">
        <is>
          <t>MULTI_FAMILY_LOWRISE_DWELLING</t>
        </is>
      </c>
      <c r="T6" t="inlineStr"/>
      <c r="U6" t="inlineStr"/>
      <c r="V6" t="inlineStr">
        <is>
          <t>FD25025316|26-0062028|1788181266</t>
        </is>
      </c>
      <c r="W6" t="inlineStr"/>
      <c r="X6" t="inlineStr"/>
      <c r="Y6" t="inlineStr"/>
      <c r="Z6" t="inlineStr"/>
      <c r="AA6" t="inlineStr"/>
      <c r="AB6" t="inlineStr"/>
      <c r="AC6" t="inlineStr">
        <is>
          <t>E_MOBILITY||ELECTRIC_SCOOTER_MOPED</t>
        </is>
      </c>
      <c r="AD6" t="inlineStr">
        <is>
          <t>UNKNOWN</t>
        </is>
      </c>
      <c r="AE6" t="inlineStr"/>
      <c r="AF6" t="inlineStr"/>
      <c r="AG6" t="inlineStr"/>
      <c r="AH6" t="inlineStr"/>
      <c r="AI6" t="inlineStr"/>
      <c r="AJ6" t="inlineStr"/>
      <c r="AK6" t="inlineStr"/>
      <c r="AL6" t="inlineStr"/>
      <c r="AM6" t="inlineStr"/>
      <c r="AN6" t="inlineStr"/>
      <c r="AO6" t="inlineStr"/>
      <c r="AP6" t="inlineStr"/>
      <c r="AQ6" t="inlineStr"/>
      <c r="AR6" t="inlineStr"/>
      <c r="AS6" t="inlineStr"/>
      <c r="AT6" t="n">
        <v>0</v>
      </c>
      <c r="AU6" t="n">
        <v>0</v>
      </c>
      <c r="AV6" t="n">
        <v>0</v>
      </c>
      <c r="AW6" t="n">
        <v>0</v>
      </c>
    </row>
    <row r="7">
      <c r="A7" t="inlineStr">
        <is>
          <t>FD25025316</t>
        </is>
      </c>
      <c r="B7" t="inlineStr">
        <is>
          <t>Boston Fire Department</t>
        </is>
      </c>
      <c r="C7" t="inlineStr">
        <is>
          <t>2026-08-28T04:22:03+00:00</t>
        </is>
      </c>
      <c r="D7" s="2">
        <f>IF(C7="","",DATE(VALUE(LEFT(C7,4)),VALUE(MID(C7,6,2)),VALUE(MID(C7,9,2)))+TIME(VALUE(MID(C7,12,2)),VALUE(MID(C7,15,2)),VALUE(MID(C7,18,2)))-IF(AND(DATE(VALUE(LEFT(C7,4)),VALUE(MID(C7,6,2)),VALUE(MID(C7,9,2)))+TIME(VALUE(MID(C7,12,2)),VALUE(MID(C7,15,2)),VALUE(MID(C7,18,2)))&gt;=DATE(VALUE(LEFT(C7,4)),3,1)+MOD(8-WEEKDAY(DATE(VALUE(LEFT(C7,4)),3,1)),7)+7+TIME(7,0,0),DATE(VALUE(LEFT(C7,4)),3,1)+MOD(8-WEEKDAY(DATE(VALUE(LEFT(C7,4)),3,1)),7)+7+TIME(7,0,0)&lt;DATE(VALUE(LEFT(C7,4)),11,1)+MOD(8-WEEKDAY(DATE(VALUE(LEFT(C7,4)),11,1)),7)+TIME(6,0,0)), TIME(4,0,0),TIME(5,0,0)))</f>
        <v/>
      </c>
      <c r="E7" s="3">
        <f>IF(D7="","",MOD(D7,1))</f>
        <v/>
      </c>
      <c r="F7">
        <f>IF(D7="","",TEXT(D7,"mmm"))</f>
        <v/>
      </c>
      <c r="G7">
        <f>IF(D7="","",YEAR(D7))</f>
        <v/>
      </c>
      <c r="H7">
        <f>IF(D7="","",HOUR(D7))</f>
        <v/>
      </c>
      <c r="I7" t="inlineStr">
        <is>
          <t>26-0061151</t>
        </is>
      </c>
      <c r="J7" t="inlineStr">
        <is>
          <t>FIRE||STRUCTURE_FIRE||CONFINED_COOKING_APPLIANCE_FIRE</t>
        </is>
      </c>
      <c r="K7" t="inlineStr"/>
      <c r="L7" t="inlineStr"/>
      <c r="M7" t="inlineStr">
        <is>
          <t>HARRISON AVE</t>
        </is>
      </c>
      <c r="N7" t="inlineStr"/>
      <c r="O7" t="inlineStr">
        <is>
          <t>MA</t>
        </is>
      </c>
      <c r="P7" t="inlineStr">
        <is>
          <t>02118</t>
        </is>
      </c>
      <c r="Q7" t="inlineStr">
        <is>
          <t>SUFFOLK</t>
        </is>
      </c>
      <c r="R7" t="inlineStr">
        <is>
          <t>RESIDENTIAL</t>
        </is>
      </c>
      <c r="S7" t="inlineStr">
        <is>
          <t>MULTI_FAMILY_HIGHRISE_DWELLING</t>
        </is>
      </c>
      <c r="T7" t="inlineStr"/>
      <c r="U7" t="inlineStr"/>
      <c r="V7" t="inlineStr">
        <is>
          <t>FD25025316|26-0061151|1787890923</t>
        </is>
      </c>
      <c r="W7" t="inlineStr"/>
      <c r="X7" t="inlineStr"/>
      <c r="Y7" t="inlineStr"/>
      <c r="Z7" t="inlineStr"/>
      <c r="AA7" t="inlineStr"/>
      <c r="AB7" t="inlineStr"/>
      <c r="AC7" t="inlineStr">
        <is>
          <t>CONSUMER_PRODUCTS||APPLIANCE_TOOL</t>
        </is>
      </c>
      <c r="AD7" t="inlineStr">
        <is>
          <t>UNKNOWN</t>
        </is>
      </c>
      <c r="AE7" t="inlineStr"/>
      <c r="AF7" t="inlineStr"/>
      <c r="AG7" t="inlineStr"/>
      <c r="AH7" t="inlineStr"/>
      <c r="AI7" t="inlineStr"/>
      <c r="AJ7" t="inlineStr"/>
      <c r="AK7" t="inlineStr"/>
      <c r="AL7" t="inlineStr"/>
      <c r="AM7" t="inlineStr"/>
      <c r="AN7" t="inlineStr"/>
      <c r="AO7" t="inlineStr"/>
      <c r="AP7" t="inlineStr"/>
      <c r="AQ7" t="inlineStr"/>
      <c r="AR7" t="inlineStr"/>
      <c r="AS7" t="inlineStr"/>
      <c r="AT7" t="n">
        <v>0</v>
      </c>
      <c r="AU7" t="n">
        <v>0</v>
      </c>
      <c r="AV7" t="n">
        <v>0</v>
      </c>
      <c r="AW7" t="n">
        <v>0</v>
      </c>
    </row>
    <row r="8">
      <c r="A8" t="inlineStr">
        <is>
          <t>FD25025316</t>
        </is>
      </c>
      <c r="B8" t="inlineStr">
        <is>
          <t>Boston Fire Department</t>
        </is>
      </c>
      <c r="C8" t="inlineStr">
        <is>
          <t>2026-08-27T17:24:00+00:00</t>
        </is>
      </c>
      <c r="D8" s="2">
        <f>IF(C8="","",DATE(VALUE(LEFT(C8,4)),VALUE(MID(C8,6,2)),VALUE(MID(C8,9,2)))+TIME(VALUE(MID(C8,12,2)),VALUE(MID(C8,15,2)),VALUE(MID(C8,18,2)))-IF(AND(DATE(VALUE(LEFT(C8,4)),VALUE(MID(C8,6,2)),VALUE(MID(C8,9,2)))+TIME(VALUE(MID(C8,12,2)),VALUE(MID(C8,15,2)),VALUE(MID(C8,18,2)))&gt;=DATE(VALUE(LEFT(C8,4)),3,1)+MOD(8-WEEKDAY(DATE(VALUE(LEFT(C8,4)),3,1)),7)+7+TIME(7,0,0),DATE(VALUE(LEFT(C8,4)),3,1)+MOD(8-WEEKDAY(DATE(VALUE(LEFT(C8,4)),3,1)),7)+7+TIME(7,0,0)&lt;DATE(VALUE(LEFT(C8,4)),11,1)+MOD(8-WEEKDAY(DATE(VALUE(LEFT(C8,4)),11,1)),7)+TIME(6,0,0)), TIME(4,0,0),TIME(5,0,0)))</f>
        <v/>
      </c>
      <c r="E8" s="3">
        <f>IF(D8="","",MOD(D8,1))</f>
        <v/>
      </c>
      <c r="F8">
        <f>IF(D8="","",TEXT(D8,"mmm"))</f>
        <v/>
      </c>
      <c r="G8">
        <f>IF(D8="","",YEAR(D8))</f>
        <v/>
      </c>
      <c r="H8">
        <f>IF(D8="","",HOUR(D8))</f>
        <v/>
      </c>
      <c r="I8" t="inlineStr">
        <is>
          <t>26-0061002</t>
        </is>
      </c>
      <c r="J8" t="inlineStr">
        <is>
          <t>HAZSIT||OVERPRESSURE||RUPTURE_WITHOUT_FIRE</t>
        </is>
      </c>
      <c r="K8" t="inlineStr">
        <is>
          <t>NOEMERG||GOOD_INTENT||INVESTIGATE_HAZARDOUS_RELEASE</t>
        </is>
      </c>
      <c r="L8" t="inlineStr"/>
      <c r="M8" t="inlineStr">
        <is>
          <t>BOYLSTON ST</t>
        </is>
      </c>
      <c r="N8" t="inlineStr"/>
      <c r="O8" t="inlineStr">
        <is>
          <t>MA</t>
        </is>
      </c>
      <c r="P8" t="inlineStr">
        <is>
          <t>02130</t>
        </is>
      </c>
      <c r="Q8" t="inlineStr">
        <is>
          <t>SUFFOLK</t>
        </is>
      </c>
      <c r="R8" t="inlineStr">
        <is>
          <t>RESIDENTIAL</t>
        </is>
      </c>
      <c r="S8" t="inlineStr">
        <is>
          <t>MULTI_FAMILY_LOWRISE_DWELLING</t>
        </is>
      </c>
      <c r="T8" t="inlineStr"/>
      <c r="U8" t="inlineStr"/>
      <c r="V8" t="inlineStr">
        <is>
          <t>FD25025316|26-0061002|1787851440</t>
        </is>
      </c>
      <c r="W8" t="inlineStr"/>
      <c r="X8" t="inlineStr"/>
      <c r="Y8" t="inlineStr"/>
      <c r="Z8" t="inlineStr"/>
      <c r="AA8" t="inlineStr"/>
      <c r="AB8" t="inlineStr"/>
      <c r="AC8" t="inlineStr">
        <is>
          <t>CONSUMER_PRODUCTS||POWER_BANK</t>
        </is>
      </c>
      <c r="AD8" t="inlineStr">
        <is>
          <t>SOURCE</t>
        </is>
      </c>
      <c r="AE8" t="inlineStr"/>
      <c r="AF8" t="inlineStr"/>
      <c r="AG8" t="inlineStr"/>
      <c r="AH8" t="inlineStr"/>
      <c r="AI8" t="inlineStr"/>
      <c r="AJ8" t="inlineStr"/>
      <c r="AK8" t="inlineStr"/>
      <c r="AL8" t="inlineStr"/>
      <c r="AM8" t="inlineStr"/>
      <c r="AN8" t="inlineStr"/>
      <c r="AO8" t="inlineStr"/>
      <c r="AP8" t="inlineStr"/>
      <c r="AQ8" t="inlineStr"/>
      <c r="AR8" t="inlineStr"/>
      <c r="AS8" t="inlineStr"/>
      <c r="AT8" t="n">
        <v>0</v>
      </c>
      <c r="AU8" t="n">
        <v>0</v>
      </c>
      <c r="AV8" t="n">
        <v>0</v>
      </c>
      <c r="AW8" t="n">
        <v>0</v>
      </c>
    </row>
    <row r="9">
      <c r="A9" t="inlineStr">
        <is>
          <t>FD25025316</t>
        </is>
      </c>
      <c r="B9" t="inlineStr">
        <is>
          <t>Boston Fire Department</t>
        </is>
      </c>
      <c r="C9" t="inlineStr">
        <is>
          <t>2026-08-24T21:37:11+00:00</t>
        </is>
      </c>
      <c r="D9" s="2">
        <f>IF(C9="","",DATE(VALUE(LEFT(C9,4)),VALUE(MID(C9,6,2)),VALUE(MID(C9,9,2)))+TIME(VALUE(MID(C9,12,2)),VALUE(MID(C9,15,2)),VALUE(MID(C9,18,2)))-IF(AND(DATE(VALUE(LEFT(C9,4)),VALUE(MID(C9,6,2)),VALUE(MID(C9,9,2)))+TIME(VALUE(MID(C9,12,2)),VALUE(MID(C9,15,2)),VALUE(MID(C9,18,2)))&gt;=DATE(VALUE(LEFT(C9,4)),3,1)+MOD(8-WEEKDAY(DATE(VALUE(LEFT(C9,4)),3,1)),7)+7+TIME(7,0,0),DATE(VALUE(LEFT(C9,4)),3,1)+MOD(8-WEEKDAY(DATE(VALUE(LEFT(C9,4)),3,1)),7)+7+TIME(7,0,0)&lt;DATE(VALUE(LEFT(C9,4)),11,1)+MOD(8-WEEKDAY(DATE(VALUE(LEFT(C9,4)),11,1)),7)+TIME(6,0,0)), TIME(4,0,0),TIME(5,0,0)))</f>
        <v/>
      </c>
      <c r="E9" s="3">
        <f>IF(D9="","",MOD(D9,1))</f>
        <v/>
      </c>
      <c r="F9">
        <f>IF(D9="","",TEXT(D9,"mmm"))</f>
        <v/>
      </c>
      <c r="G9">
        <f>IF(D9="","",YEAR(D9))</f>
        <v/>
      </c>
      <c r="H9">
        <f>IF(D9="","",HOUR(D9))</f>
        <v/>
      </c>
      <c r="I9" t="inlineStr">
        <is>
          <t>26-0060313</t>
        </is>
      </c>
      <c r="J9" t="inlineStr">
        <is>
          <t>HAZSIT||OVERPRESSURE||NO_RUPTURE</t>
        </is>
      </c>
      <c r="K9" t="inlineStr"/>
      <c r="L9" t="inlineStr"/>
      <c r="M9" t="inlineStr">
        <is>
          <t>COLUMBIA RD</t>
        </is>
      </c>
      <c r="N9" t="inlineStr"/>
      <c r="O9" t="inlineStr">
        <is>
          <t>MA</t>
        </is>
      </c>
      <c r="P9" t="inlineStr">
        <is>
          <t>02127</t>
        </is>
      </c>
      <c r="Q9" t="inlineStr">
        <is>
          <t>SUFFOLK</t>
        </is>
      </c>
      <c r="R9" t="inlineStr">
        <is>
          <t>ROADWAY_ACCESS</t>
        </is>
      </c>
      <c r="S9" t="inlineStr">
        <is>
          <t>STREET</t>
        </is>
      </c>
      <c r="T9" t="inlineStr"/>
      <c r="U9" t="inlineStr"/>
      <c r="V9" t="inlineStr">
        <is>
          <t>FD25025316|26-0060313|1787607431</t>
        </is>
      </c>
      <c r="W9" t="inlineStr"/>
      <c r="X9" t="inlineStr"/>
      <c r="Y9" t="inlineStr"/>
      <c r="Z9" t="inlineStr"/>
      <c r="AA9" t="inlineStr"/>
      <c r="AB9" t="inlineStr"/>
      <c r="AC9" t="inlineStr">
        <is>
          <t>CONSUMER_PRODUCTS||OTHER</t>
        </is>
      </c>
      <c r="AD9" t="inlineStr">
        <is>
          <t>SOURCE</t>
        </is>
      </c>
      <c r="AE9" t="inlineStr"/>
      <c r="AF9" t="inlineStr"/>
      <c r="AG9" t="inlineStr"/>
      <c r="AH9" t="inlineStr"/>
      <c r="AI9" t="inlineStr"/>
      <c r="AJ9" t="inlineStr"/>
      <c r="AK9" t="inlineStr"/>
      <c r="AL9" t="inlineStr"/>
      <c r="AM9" t="inlineStr"/>
      <c r="AN9" t="inlineStr"/>
      <c r="AO9" t="inlineStr"/>
      <c r="AP9" t="inlineStr"/>
      <c r="AQ9" t="inlineStr"/>
      <c r="AR9" t="inlineStr"/>
      <c r="AS9" t="inlineStr"/>
      <c r="AT9" t="n">
        <v>0</v>
      </c>
      <c r="AU9" t="n">
        <v>0</v>
      </c>
      <c r="AV9" t="n">
        <v>0</v>
      </c>
      <c r="AW9" t="n">
        <v>0</v>
      </c>
    </row>
    <row r="10">
      <c r="A10" t="inlineStr">
        <is>
          <t>FD25025316</t>
        </is>
      </c>
      <c r="B10" t="inlineStr">
        <is>
          <t>Boston Fire Department</t>
        </is>
      </c>
      <c r="C10" t="inlineStr">
        <is>
          <t>2026-08-24T10:44:00+00:00</t>
        </is>
      </c>
      <c r="D10" s="2">
        <f>IF(C10="","",DATE(VALUE(LEFT(C10,4)),VALUE(MID(C10,6,2)),VALUE(MID(C10,9,2)))+TIME(VALUE(MID(C10,12,2)),VALUE(MID(C10,15,2)),VALUE(MID(C10,18,2)))-IF(AND(DATE(VALUE(LEFT(C10,4)),VALUE(MID(C10,6,2)),VALUE(MID(C10,9,2)))+TIME(VALUE(MID(C10,12,2)),VALUE(MID(C10,15,2)),VALUE(MID(C10,18,2)))&gt;=DATE(VALUE(LEFT(C10,4)),3,1)+MOD(8-WEEKDAY(DATE(VALUE(LEFT(C10,4)),3,1)),7)+7+TIME(7,0,0),DATE(VALUE(LEFT(C10,4)),3,1)+MOD(8-WEEKDAY(DATE(VALUE(LEFT(C10,4)),3,1)),7)+7+TIME(7,0,0)&lt;DATE(VALUE(LEFT(C10,4)),11,1)+MOD(8-WEEKDAY(DATE(VALUE(LEFT(C10,4)),11,1)),7)+TIME(6,0,0)), TIME(4,0,0),TIME(5,0,0)))</f>
        <v/>
      </c>
      <c r="E10" s="3">
        <f>IF(D10="","",MOD(D10,1))</f>
        <v/>
      </c>
      <c r="F10">
        <f>IF(D10="","",TEXT(D10,"mmm"))</f>
        <v/>
      </c>
      <c r="G10">
        <f>IF(D10="","",YEAR(D10))</f>
        <v/>
      </c>
      <c r="H10">
        <f>IF(D10="","",HOUR(D10))</f>
        <v/>
      </c>
      <c r="I10" t="inlineStr">
        <is>
          <t>26-0060150</t>
        </is>
      </c>
      <c r="J10" t="inlineStr">
        <is>
          <t>FIRE||OUTSIDE_FIRE||UTILITY_INFRASTRUCTURE_FIRE</t>
        </is>
      </c>
      <c r="K10" t="inlineStr"/>
      <c r="L10" t="inlineStr"/>
      <c r="M10" t="inlineStr">
        <is>
          <t>FREEPORT ST / ELLSWORTH ST</t>
        </is>
      </c>
      <c r="N10" t="inlineStr"/>
      <c r="O10" t="inlineStr">
        <is>
          <t>MA</t>
        </is>
      </c>
      <c r="P10" t="inlineStr">
        <is>
          <t>02122</t>
        </is>
      </c>
      <c r="Q10" t="inlineStr">
        <is>
          <t>SUFFOLK</t>
        </is>
      </c>
      <c r="R10" t="inlineStr">
        <is>
          <t>ROADWAY_ACCESS</t>
        </is>
      </c>
      <c r="S10" t="inlineStr">
        <is>
          <t>STREET</t>
        </is>
      </c>
      <c r="T10" t="inlineStr"/>
      <c r="U10" t="inlineStr"/>
      <c r="V10" t="inlineStr">
        <is>
          <t>FD25025316|26-0060150|1787568240</t>
        </is>
      </c>
      <c r="W10" t="inlineStr"/>
      <c r="X10" t="inlineStr"/>
      <c r="Y10" t="inlineStr"/>
      <c r="Z10" t="inlineStr"/>
      <c r="AA10" t="inlineStr"/>
      <c r="AB10" t="inlineStr"/>
      <c r="AC10" t="inlineStr">
        <is>
          <t>ENERGY_STORAGE_SYSTEM||OTHER</t>
        </is>
      </c>
      <c r="AD10" t="inlineStr"/>
      <c r="AE10" t="inlineStr"/>
      <c r="AF10" t="inlineStr"/>
      <c r="AG10" t="inlineStr"/>
      <c r="AH10" t="inlineStr"/>
      <c r="AI10" t="inlineStr"/>
      <c r="AJ10" t="inlineStr"/>
      <c r="AK10" t="inlineStr"/>
      <c r="AL10" t="inlineStr"/>
      <c r="AM10" t="inlineStr"/>
      <c r="AN10" t="inlineStr"/>
      <c r="AO10" t="inlineStr"/>
      <c r="AP10" t="inlineStr"/>
      <c r="AQ10" t="inlineStr"/>
      <c r="AR10" t="inlineStr"/>
      <c r="AS10" t="inlineStr"/>
      <c r="AT10" t="n">
        <v>0</v>
      </c>
      <c r="AU10" t="n">
        <v>0</v>
      </c>
      <c r="AV10" t="n">
        <v>0</v>
      </c>
      <c r="AW10" t="n">
        <v>0</v>
      </c>
    </row>
    <row r="11">
      <c r="A11" t="inlineStr">
        <is>
          <t>FD25025316</t>
        </is>
      </c>
      <c r="B11" t="inlineStr">
        <is>
          <t>Boston Fire Department</t>
        </is>
      </c>
      <c r="C11" t="inlineStr">
        <is>
          <t>2026-08-18T16:12:58+00:00</t>
        </is>
      </c>
      <c r="D11" s="2">
        <f>IF(C11="","",DATE(VALUE(LEFT(C11,4)),VALUE(MID(C11,6,2)),VALUE(MID(C11,9,2)))+TIME(VALUE(MID(C11,12,2)),VALUE(MID(C11,15,2)),VALUE(MID(C11,18,2)))-IF(AND(DATE(VALUE(LEFT(C11,4)),VALUE(MID(C11,6,2)),VALUE(MID(C11,9,2)))+TIME(VALUE(MID(C11,12,2)),VALUE(MID(C11,15,2)),VALUE(MID(C11,18,2)))&gt;=DATE(VALUE(LEFT(C11,4)),3,1)+MOD(8-WEEKDAY(DATE(VALUE(LEFT(C11,4)),3,1)),7)+7+TIME(7,0,0),DATE(VALUE(LEFT(C11,4)),3,1)+MOD(8-WEEKDAY(DATE(VALUE(LEFT(C11,4)),3,1)),7)+7+TIME(7,0,0)&lt;DATE(VALUE(LEFT(C11,4)),11,1)+MOD(8-WEEKDAY(DATE(VALUE(LEFT(C11,4)),11,1)),7)+TIME(6,0,0)), TIME(4,0,0),TIME(5,0,0)))</f>
        <v/>
      </c>
      <c r="E11" s="3">
        <f>IF(D11="","",MOD(D11,1))</f>
        <v/>
      </c>
      <c r="F11">
        <f>IF(D11="","",TEXT(D11,"mmm"))</f>
        <v/>
      </c>
      <c r="G11">
        <f>IF(D11="","",YEAR(D11))</f>
        <v/>
      </c>
      <c r="H11">
        <f>IF(D11="","",HOUR(D11))</f>
        <v/>
      </c>
      <c r="I11" t="inlineStr">
        <is>
          <t>26-0058698</t>
        </is>
      </c>
      <c r="J11" t="inlineStr">
        <is>
          <t>HAZSIT||HAZARD_NONCHEM||ELEC_HAZARD_SHORT_CIRCUIT</t>
        </is>
      </c>
      <c r="K11" t="inlineStr">
        <is>
          <t>PUBSERV||CITIZEN_ASSIST||CITIZEN_ASSIST_SERVICE_CALL</t>
        </is>
      </c>
      <c r="L11" t="inlineStr">
        <is>
          <t>FIRE||SPECIAL_FIRE||EXPLOSION</t>
        </is>
      </c>
      <c r="M11" t="inlineStr">
        <is>
          <t>S HUNTINGTON AVE</t>
        </is>
      </c>
      <c r="N11" t="inlineStr"/>
      <c r="O11" t="inlineStr">
        <is>
          <t>MA</t>
        </is>
      </c>
      <c r="P11" t="inlineStr">
        <is>
          <t>02130</t>
        </is>
      </c>
      <c r="Q11" t="inlineStr">
        <is>
          <t>SUFFOLK</t>
        </is>
      </c>
      <c r="R11" t="inlineStr">
        <is>
          <t>ROADWAY_ACCESS</t>
        </is>
      </c>
      <c r="S11" t="inlineStr">
        <is>
          <t>SIDEWALK</t>
        </is>
      </c>
      <c r="T11" t="inlineStr"/>
      <c r="U11" t="inlineStr"/>
      <c r="V11" t="inlineStr">
        <is>
          <t>FD25025316|26-0058698|1787069578</t>
        </is>
      </c>
      <c r="W11" t="inlineStr"/>
      <c r="X11" t="inlineStr"/>
      <c r="Y11" t="inlineStr"/>
      <c r="Z11" t="inlineStr"/>
      <c r="AA11" t="inlineStr"/>
      <c r="AB11" t="inlineStr"/>
      <c r="AC11" t="inlineStr">
        <is>
          <t>CONSUMER_PRODUCTS||APPLIANCE_TOOL</t>
        </is>
      </c>
      <c r="AD11" t="inlineStr"/>
      <c r="AE11" t="inlineStr"/>
      <c r="AF11" t="inlineStr"/>
      <c r="AG11" t="inlineStr"/>
      <c r="AH11" t="inlineStr"/>
      <c r="AI11" t="inlineStr"/>
      <c r="AJ11" t="inlineStr"/>
      <c r="AK11" t="inlineStr"/>
      <c r="AL11" t="inlineStr"/>
      <c r="AM11" t="inlineStr"/>
      <c r="AN11" t="inlineStr"/>
      <c r="AO11" t="inlineStr"/>
      <c r="AP11" t="inlineStr"/>
      <c r="AQ11" t="inlineStr"/>
      <c r="AR11" t="inlineStr"/>
      <c r="AS11" t="inlineStr"/>
      <c r="AT11" t="n">
        <v>0</v>
      </c>
      <c r="AU11" t="n">
        <v>0</v>
      </c>
      <c r="AV11" t="n">
        <v>0</v>
      </c>
      <c r="AW11" t="n">
        <v>0</v>
      </c>
    </row>
    <row r="12">
      <c r="A12" t="inlineStr">
        <is>
          <t>FD25025316</t>
        </is>
      </c>
      <c r="B12" t="inlineStr">
        <is>
          <t>Boston Fire Department</t>
        </is>
      </c>
      <c r="C12" t="inlineStr">
        <is>
          <t>2026-08-18T14:49:09+00:00</t>
        </is>
      </c>
      <c r="D12" s="2">
        <f>IF(C12="","",DATE(VALUE(LEFT(C12,4)),VALUE(MID(C12,6,2)),VALUE(MID(C12,9,2)))+TIME(VALUE(MID(C12,12,2)),VALUE(MID(C12,15,2)),VALUE(MID(C12,18,2)))-IF(AND(DATE(VALUE(LEFT(C12,4)),VALUE(MID(C12,6,2)),VALUE(MID(C12,9,2)))+TIME(VALUE(MID(C12,12,2)),VALUE(MID(C12,15,2)),VALUE(MID(C12,18,2)))&gt;=DATE(VALUE(LEFT(C12,4)),3,1)+MOD(8-WEEKDAY(DATE(VALUE(LEFT(C12,4)),3,1)),7)+7+TIME(7,0,0),DATE(VALUE(LEFT(C12,4)),3,1)+MOD(8-WEEKDAY(DATE(VALUE(LEFT(C12,4)),3,1)),7)+7+TIME(7,0,0)&lt;DATE(VALUE(LEFT(C12,4)),11,1)+MOD(8-WEEKDAY(DATE(VALUE(LEFT(C12,4)),11,1)),7)+TIME(6,0,0)), TIME(4,0,0),TIME(5,0,0)))</f>
        <v/>
      </c>
      <c r="E12" s="3">
        <f>IF(D12="","",MOD(D12,1))</f>
        <v/>
      </c>
      <c r="F12">
        <f>IF(D12="","",TEXT(D12,"mmm"))</f>
        <v/>
      </c>
      <c r="G12">
        <f>IF(D12="","",YEAR(D12))</f>
        <v/>
      </c>
      <c r="H12">
        <f>IF(D12="","",HOUR(D12))</f>
        <v/>
      </c>
      <c r="I12" t="inlineStr">
        <is>
          <t>26-0058670</t>
        </is>
      </c>
      <c r="J12" t="inlineStr">
        <is>
          <t>HAZSIT||HAZARD_NONCHEM||ELEC_HAZARD_SHORT_CIRCUIT</t>
        </is>
      </c>
      <c r="K12" t="inlineStr"/>
      <c r="L12" t="inlineStr"/>
      <c r="M12" t="inlineStr">
        <is>
          <t>S HUNTINGTON AVE</t>
        </is>
      </c>
      <c r="N12" t="inlineStr"/>
      <c r="O12" t="inlineStr">
        <is>
          <t>MA</t>
        </is>
      </c>
      <c r="P12" t="inlineStr">
        <is>
          <t>02130</t>
        </is>
      </c>
      <c r="Q12" t="inlineStr">
        <is>
          <t>SUFFOLK</t>
        </is>
      </c>
      <c r="R12" t="inlineStr">
        <is>
          <t>RESIDENTIAL</t>
        </is>
      </c>
      <c r="S12" t="inlineStr">
        <is>
          <t>MULTI_FAMILY_LOWRISE_DWELLING</t>
        </is>
      </c>
      <c r="T12" t="inlineStr"/>
      <c r="U12" t="inlineStr"/>
      <c r="V12" t="inlineStr">
        <is>
          <t>FD25025316|26-0058670|1787064549</t>
        </is>
      </c>
      <c r="W12" t="inlineStr"/>
      <c r="X12" t="inlineStr"/>
      <c r="Y12" t="inlineStr"/>
      <c r="Z12" t="inlineStr"/>
      <c r="AA12" t="inlineStr"/>
      <c r="AB12" t="inlineStr"/>
      <c r="AC12" t="inlineStr">
        <is>
          <t>CONSUMER_PRODUCTS||APPLIANCE_TOOL</t>
        </is>
      </c>
      <c r="AD12" t="inlineStr">
        <is>
          <t>SOURCE</t>
        </is>
      </c>
      <c r="AE12" t="inlineStr"/>
      <c r="AF12" t="inlineStr"/>
      <c r="AG12" t="inlineStr"/>
      <c r="AH12" t="inlineStr"/>
      <c r="AI12" t="inlineStr"/>
      <c r="AJ12" t="inlineStr"/>
      <c r="AK12" t="inlineStr"/>
      <c r="AL12" t="inlineStr"/>
      <c r="AM12" t="inlineStr"/>
      <c r="AN12" t="inlineStr"/>
      <c r="AO12" t="inlineStr"/>
      <c r="AP12" t="inlineStr"/>
      <c r="AQ12" t="inlineStr"/>
      <c r="AR12" t="inlineStr"/>
      <c r="AS12" t="inlineStr"/>
      <c r="AT12" t="n">
        <v>0</v>
      </c>
      <c r="AU12" t="n">
        <v>0</v>
      </c>
      <c r="AV12" t="n">
        <v>0</v>
      </c>
      <c r="AW12" t="n">
        <v>0</v>
      </c>
    </row>
    <row r="13">
      <c r="A13" t="inlineStr">
        <is>
          <t>FD25025316</t>
        </is>
      </c>
      <c r="B13" t="inlineStr">
        <is>
          <t>Boston Fire Department</t>
        </is>
      </c>
      <c r="C13" t="inlineStr">
        <is>
          <t>2026-08-17T05:42:09+00:00</t>
        </is>
      </c>
      <c r="D13" s="2">
        <f>IF(C13="","",DATE(VALUE(LEFT(C13,4)),VALUE(MID(C13,6,2)),VALUE(MID(C13,9,2)))+TIME(VALUE(MID(C13,12,2)),VALUE(MID(C13,15,2)),VALUE(MID(C13,18,2)))-IF(AND(DATE(VALUE(LEFT(C13,4)),VALUE(MID(C13,6,2)),VALUE(MID(C13,9,2)))+TIME(VALUE(MID(C13,12,2)),VALUE(MID(C13,15,2)),VALUE(MID(C13,18,2)))&gt;=DATE(VALUE(LEFT(C13,4)),3,1)+MOD(8-WEEKDAY(DATE(VALUE(LEFT(C13,4)),3,1)),7)+7+TIME(7,0,0),DATE(VALUE(LEFT(C13,4)),3,1)+MOD(8-WEEKDAY(DATE(VALUE(LEFT(C13,4)),3,1)),7)+7+TIME(7,0,0)&lt;DATE(VALUE(LEFT(C13,4)),11,1)+MOD(8-WEEKDAY(DATE(VALUE(LEFT(C13,4)),11,1)),7)+TIME(6,0,0)), TIME(4,0,0),TIME(5,0,0)))</f>
        <v/>
      </c>
      <c r="E13" s="3">
        <f>IF(D13="","",MOD(D13,1))</f>
        <v/>
      </c>
      <c r="F13">
        <f>IF(D13="","",TEXT(D13,"mmm"))</f>
        <v/>
      </c>
      <c r="G13">
        <f>IF(D13="","",YEAR(D13))</f>
        <v/>
      </c>
      <c r="H13">
        <f>IF(D13="","",HOUR(D13))</f>
        <v/>
      </c>
      <c r="I13" t="inlineStr">
        <is>
          <t>26-0058323</t>
        </is>
      </c>
      <c r="J13" t="inlineStr">
        <is>
          <t>HAZSIT||HAZARD_NONCHEM||MOTOR_VEHICLE_COLLISION</t>
        </is>
      </c>
      <c r="K13" t="inlineStr"/>
      <c r="L13" t="inlineStr"/>
      <c r="M13" t="inlineStr">
        <is>
          <t>BRAY ST / COLUMBUS AVE</t>
        </is>
      </c>
      <c r="N13" t="inlineStr"/>
      <c r="O13" t="inlineStr">
        <is>
          <t>MA</t>
        </is>
      </c>
      <c r="P13" t="inlineStr">
        <is>
          <t>02119</t>
        </is>
      </c>
      <c r="Q13" t="inlineStr">
        <is>
          <t>SUFFOLK</t>
        </is>
      </c>
      <c r="R13" t="inlineStr">
        <is>
          <t>RESIDENTIAL</t>
        </is>
      </c>
      <c r="S13" t="inlineStr">
        <is>
          <t>DETATCHED_GARAGE</t>
        </is>
      </c>
      <c r="T13" t="inlineStr"/>
      <c r="U13" t="inlineStr"/>
      <c r="V13" t="inlineStr">
        <is>
          <t>FD25025316|26-0058323|1786945329</t>
        </is>
      </c>
      <c r="W13" t="inlineStr"/>
      <c r="X13" t="inlineStr"/>
      <c r="Y13" t="inlineStr"/>
      <c r="Z13" t="inlineStr"/>
      <c r="AA13" t="inlineStr"/>
      <c r="AB13" t="inlineStr"/>
      <c r="AC13" t="inlineStr">
        <is>
          <t>CONSUMER_PRODUCTS||OTHER</t>
        </is>
      </c>
      <c r="AD13" t="inlineStr"/>
      <c r="AE13" t="inlineStr"/>
      <c r="AF13" t="inlineStr"/>
      <c r="AG13" t="inlineStr"/>
      <c r="AH13" t="inlineStr"/>
      <c r="AI13" t="inlineStr"/>
      <c r="AJ13" t="inlineStr"/>
      <c r="AK13" t="inlineStr"/>
      <c r="AL13" t="inlineStr"/>
      <c r="AM13" t="inlineStr"/>
      <c r="AN13" t="inlineStr"/>
      <c r="AO13" t="inlineStr"/>
      <c r="AP13" t="inlineStr"/>
      <c r="AQ13" t="inlineStr"/>
      <c r="AR13" t="inlineStr"/>
      <c r="AS13" t="inlineStr"/>
      <c r="AT13" t="n">
        <v>0</v>
      </c>
      <c r="AU13" t="n">
        <v>0</v>
      </c>
      <c r="AV13" t="n">
        <v>0</v>
      </c>
      <c r="AW13" t="n">
        <v>0</v>
      </c>
    </row>
    <row r="14">
      <c r="A14" t="inlineStr">
        <is>
          <t>FD25027451</t>
        </is>
      </c>
      <c r="B14" t="inlineStr">
        <is>
          <t>Town Of Northborough Fire Department</t>
        </is>
      </c>
      <c r="C14" t="inlineStr">
        <is>
          <t>2026-08-15T21:42:16+00:00</t>
        </is>
      </c>
      <c r="D14" s="2">
        <f>IF(C14="","",DATE(VALUE(LEFT(C14,4)),VALUE(MID(C14,6,2)),VALUE(MID(C14,9,2)))+TIME(VALUE(MID(C14,12,2)),VALUE(MID(C14,15,2)),VALUE(MID(C14,18,2)))-IF(AND(DATE(VALUE(LEFT(C14,4)),VALUE(MID(C14,6,2)),VALUE(MID(C14,9,2)))+TIME(VALUE(MID(C14,12,2)),VALUE(MID(C14,15,2)),VALUE(MID(C14,18,2)))&gt;=DATE(VALUE(LEFT(C14,4)),3,1)+MOD(8-WEEKDAY(DATE(VALUE(LEFT(C14,4)),3,1)),7)+7+TIME(7,0,0),DATE(VALUE(LEFT(C14,4)),3,1)+MOD(8-WEEKDAY(DATE(VALUE(LEFT(C14,4)),3,1)),7)+7+TIME(7,0,0)&lt;DATE(VALUE(LEFT(C14,4)),11,1)+MOD(8-WEEKDAY(DATE(VALUE(LEFT(C14,4)),11,1)),7)+TIME(6,0,0)), TIME(4,0,0),TIME(5,0,0)))</f>
        <v/>
      </c>
      <c r="E14" s="3">
        <f>IF(D14="","",MOD(D14,1))</f>
        <v/>
      </c>
      <c r="F14">
        <f>IF(D14="","",TEXT(D14,"mmm"))</f>
        <v/>
      </c>
      <c r="G14">
        <f>IF(D14="","",YEAR(D14))</f>
        <v/>
      </c>
      <c r="H14">
        <f>IF(D14="","",HOUR(D14))</f>
        <v/>
      </c>
      <c r="I14" t="inlineStr">
        <is>
          <t>26-0001637_639224322613616029</t>
        </is>
      </c>
      <c r="J14" t="inlineStr">
        <is>
          <t>FIRE||STRUCTURE_FIRE||CONFINED_COOKING_APPLIANCE_FIRE</t>
        </is>
      </c>
      <c r="K14" t="inlineStr"/>
      <c r="L14" t="inlineStr"/>
      <c r="M14" t="inlineStr">
        <is>
          <t>Church Apt A 4</t>
        </is>
      </c>
      <c r="N14" t="inlineStr">
        <is>
          <t>Northborough</t>
        </is>
      </c>
      <c r="O14" t="inlineStr">
        <is>
          <t>MA</t>
        </is>
      </c>
      <c r="P14" t="inlineStr">
        <is>
          <t>01532</t>
        </is>
      </c>
      <c r="Q14" t="inlineStr">
        <is>
          <t>Worcester County</t>
        </is>
      </c>
      <c r="R14" t="inlineStr">
        <is>
          <t>RESIDENTIAL</t>
        </is>
      </c>
      <c r="S14" t="inlineStr">
        <is>
          <t>MULTI_FAMILY_LOWRISE_DWELLING</t>
        </is>
      </c>
      <c r="T14" t="inlineStr"/>
      <c r="U14" t="inlineStr"/>
      <c r="V14" t="inlineStr">
        <is>
          <t>FD25027451|26-0001637_639224322613616029|1786830136</t>
        </is>
      </c>
      <c r="W14" t="inlineStr"/>
      <c r="X14" t="inlineStr"/>
      <c r="Y14" t="inlineStr"/>
      <c r="Z14" t="inlineStr"/>
      <c r="AA14" t="inlineStr"/>
      <c r="AB14" t="inlineStr"/>
      <c r="AC14" t="inlineStr">
        <is>
          <t>CONSUMER_PRODUCTS||APPLIANCE_TOOL</t>
        </is>
      </c>
      <c r="AD14" t="inlineStr"/>
      <c r="AE14" t="inlineStr"/>
      <c r="AF14" t="inlineStr"/>
      <c r="AG14" t="inlineStr"/>
      <c r="AH14" t="inlineStr"/>
      <c r="AI14" t="inlineStr"/>
      <c r="AJ14" t="inlineStr"/>
      <c r="AK14" t="inlineStr"/>
      <c r="AL14" t="inlineStr"/>
      <c r="AM14" t="inlineStr"/>
      <c r="AN14" t="inlineStr"/>
      <c r="AO14" t="inlineStr"/>
      <c r="AP14" t="inlineStr"/>
      <c r="AQ14" t="inlineStr"/>
      <c r="AR14" t="inlineStr"/>
      <c r="AS14" t="inlineStr"/>
      <c r="AT14" t="n">
        <v>0</v>
      </c>
      <c r="AU14" t="n">
        <v>0</v>
      </c>
      <c r="AV14" t="n">
        <v>0</v>
      </c>
      <c r="AW14" t="n">
        <v>0</v>
      </c>
    </row>
    <row r="15">
      <c r="A15" t="inlineStr">
        <is>
          <t>FD25025316</t>
        </is>
      </c>
      <c r="B15" t="inlineStr">
        <is>
          <t>Boston Fire Department</t>
        </is>
      </c>
      <c r="C15" t="inlineStr">
        <is>
          <t>2026-08-13T11:19:33+00:00</t>
        </is>
      </c>
      <c r="D15" s="2">
        <f>IF(C15="","",DATE(VALUE(LEFT(C15,4)),VALUE(MID(C15,6,2)),VALUE(MID(C15,9,2)))+TIME(VALUE(MID(C15,12,2)),VALUE(MID(C15,15,2)),VALUE(MID(C15,18,2)))-IF(AND(DATE(VALUE(LEFT(C15,4)),VALUE(MID(C15,6,2)),VALUE(MID(C15,9,2)))+TIME(VALUE(MID(C15,12,2)),VALUE(MID(C15,15,2)),VALUE(MID(C15,18,2)))&gt;=DATE(VALUE(LEFT(C15,4)),3,1)+MOD(8-WEEKDAY(DATE(VALUE(LEFT(C15,4)),3,1)),7)+7+TIME(7,0,0),DATE(VALUE(LEFT(C15,4)),3,1)+MOD(8-WEEKDAY(DATE(VALUE(LEFT(C15,4)),3,1)),7)+7+TIME(7,0,0)&lt;DATE(VALUE(LEFT(C15,4)),11,1)+MOD(8-WEEKDAY(DATE(VALUE(LEFT(C15,4)),11,1)),7)+TIME(6,0,0)), TIME(4,0,0),TIME(5,0,0)))</f>
        <v/>
      </c>
      <c r="E15" s="3">
        <f>IF(D15="","",MOD(D15,1))</f>
        <v/>
      </c>
      <c r="F15">
        <f>IF(D15="","",TEXT(D15,"mmm"))</f>
        <v/>
      </c>
      <c r="G15">
        <f>IF(D15="","",YEAR(D15))</f>
        <v/>
      </c>
      <c r="H15">
        <f>IF(D15="","",HOUR(D15))</f>
        <v/>
      </c>
      <c r="I15" t="inlineStr">
        <is>
          <t>26-0057325</t>
        </is>
      </c>
      <c r="J15" t="inlineStr">
        <is>
          <t>FIRE||OUTSIDE_FIRE||TRASH_RUBBISH_FIRE</t>
        </is>
      </c>
      <c r="K15" t="inlineStr"/>
      <c r="L15" t="inlineStr"/>
      <c r="M15" t="inlineStr">
        <is>
          <t>ASHMONT ST / RUNDEL PARK</t>
        </is>
      </c>
      <c r="N15" t="inlineStr"/>
      <c r="O15" t="inlineStr">
        <is>
          <t>MA</t>
        </is>
      </c>
      <c r="P15" t="inlineStr">
        <is>
          <t>02124</t>
        </is>
      </c>
      <c r="Q15" t="inlineStr">
        <is>
          <t>SUFFOLK</t>
        </is>
      </c>
      <c r="R15" t="inlineStr">
        <is>
          <t>ROADWAY_ACCESS</t>
        </is>
      </c>
      <c r="S15" t="inlineStr">
        <is>
          <t>STREET</t>
        </is>
      </c>
      <c r="T15" t="inlineStr"/>
      <c r="U15" t="inlineStr"/>
      <c r="V15" t="inlineStr">
        <is>
          <t>FD25025316|26-0057325|1786619973</t>
        </is>
      </c>
      <c r="W15" t="inlineStr"/>
      <c r="X15" t="inlineStr"/>
      <c r="Y15" t="inlineStr"/>
      <c r="Z15" t="inlineStr"/>
      <c r="AA15" t="inlineStr"/>
      <c r="AB15" t="inlineStr"/>
      <c r="AC15" t="inlineStr">
        <is>
          <t>CONSUMER_PRODUCTS||POWER_BANK</t>
        </is>
      </c>
      <c r="AD15" t="inlineStr">
        <is>
          <t>SOURCE</t>
        </is>
      </c>
      <c r="AE15" t="inlineStr"/>
      <c r="AF15" t="inlineStr"/>
      <c r="AG15" t="inlineStr"/>
      <c r="AH15" t="inlineStr"/>
      <c r="AI15" t="inlineStr"/>
      <c r="AJ15" t="inlineStr"/>
      <c r="AK15" t="inlineStr"/>
      <c r="AL15" t="inlineStr"/>
      <c r="AM15" t="inlineStr"/>
      <c r="AN15" t="inlineStr"/>
      <c r="AO15" t="inlineStr"/>
      <c r="AP15" t="inlineStr"/>
      <c r="AQ15" t="inlineStr"/>
      <c r="AR15" t="inlineStr"/>
      <c r="AS15" t="inlineStr"/>
      <c r="AT15" t="n">
        <v>0</v>
      </c>
      <c r="AU15" t="n">
        <v>0</v>
      </c>
      <c r="AV15" t="n">
        <v>0</v>
      </c>
      <c r="AW15" t="n">
        <v>0</v>
      </c>
    </row>
    <row r="16">
      <c r="A16" t="inlineStr">
        <is>
          <t>FD25017808</t>
        </is>
      </c>
      <c r="B16" t="inlineStr">
        <is>
          <t>Town Of Stoneham Fire Department</t>
        </is>
      </c>
      <c r="C16" t="inlineStr">
        <is>
          <t>2026-08-10T11:20:06+00:00</t>
        </is>
      </c>
      <c r="D16" s="2">
        <f>IF(C16="","",DATE(VALUE(LEFT(C16,4)),VALUE(MID(C16,6,2)),VALUE(MID(C16,9,2)))+TIME(VALUE(MID(C16,12,2)),VALUE(MID(C16,15,2)),VALUE(MID(C16,18,2)))-IF(AND(DATE(VALUE(LEFT(C16,4)),VALUE(MID(C16,6,2)),VALUE(MID(C16,9,2)))+TIME(VALUE(MID(C16,12,2)),VALUE(MID(C16,15,2)),VALUE(MID(C16,18,2)))&gt;=DATE(VALUE(LEFT(C16,4)),3,1)+MOD(8-WEEKDAY(DATE(VALUE(LEFT(C16,4)),3,1)),7)+7+TIME(7,0,0),DATE(VALUE(LEFT(C16,4)),3,1)+MOD(8-WEEKDAY(DATE(VALUE(LEFT(C16,4)),3,1)),7)+7+TIME(7,0,0)&lt;DATE(VALUE(LEFT(C16,4)),11,1)+MOD(8-WEEKDAY(DATE(VALUE(LEFT(C16,4)),11,1)),7)+TIME(6,0,0)), TIME(4,0,0),TIME(5,0,0)))</f>
        <v/>
      </c>
      <c r="E16" s="3">
        <f>IF(D16="","",MOD(D16,1))</f>
        <v/>
      </c>
      <c r="F16">
        <f>IF(D16="","",TEXT(D16,"mmm"))</f>
        <v/>
      </c>
      <c r="G16">
        <f>IF(D16="","",YEAR(D16))</f>
        <v/>
      </c>
      <c r="H16">
        <f>IF(D16="","",HOUR(D16))</f>
        <v/>
      </c>
      <c r="I16" t="inlineStr">
        <is>
          <t>26-2624</t>
        </is>
      </c>
      <c r="J16" t="inlineStr">
        <is>
          <t>FIRE||STRUCTURE_FIRE||ROOM_AND_CONTENTS_FIRE</t>
        </is>
      </c>
      <c r="K16" t="inlineStr"/>
      <c r="L16" t="inlineStr"/>
      <c r="M16" t="inlineStr">
        <is>
          <t>Gracewood</t>
        </is>
      </c>
      <c r="N16" t="inlineStr">
        <is>
          <t>Stoneham</t>
        </is>
      </c>
      <c r="O16" t="inlineStr">
        <is>
          <t>MA</t>
        </is>
      </c>
      <c r="P16" t="inlineStr">
        <is>
          <t>02180</t>
        </is>
      </c>
      <c r="Q16" t="inlineStr">
        <is>
          <t>Middlesex County</t>
        </is>
      </c>
      <c r="R16" t="inlineStr">
        <is>
          <t>RESIDENTIAL</t>
        </is>
      </c>
      <c r="S16" t="inlineStr">
        <is>
          <t>ATTACHED_SINGLE_FAMILY_DWELLING</t>
        </is>
      </c>
      <c r="T16" t="inlineStr"/>
      <c r="U16" t="inlineStr"/>
      <c r="V16" t="inlineStr">
        <is>
          <t>FD25017808|26-2624|1786360806</t>
        </is>
      </c>
      <c r="W16" t="inlineStr"/>
      <c r="X16" t="inlineStr"/>
      <c r="Y16" t="inlineStr"/>
      <c r="Z16" t="inlineStr"/>
      <c r="AA16" t="inlineStr"/>
      <c r="AB16" t="inlineStr"/>
      <c r="AC16" t="inlineStr">
        <is>
          <t>CONSUMER_PRODUCTS||APPLIANCE_TOOL</t>
        </is>
      </c>
      <c r="AD16" t="inlineStr">
        <is>
          <t>SOURCE</t>
        </is>
      </c>
      <c r="AE16" t="inlineStr"/>
      <c r="AF16" t="inlineStr"/>
      <c r="AG16" t="inlineStr"/>
      <c r="AH16" t="inlineStr"/>
      <c r="AI16" t="inlineStr"/>
      <c r="AJ16" t="inlineStr"/>
      <c r="AK16" t="inlineStr"/>
      <c r="AL16" t="inlineStr"/>
      <c r="AM16" t="inlineStr"/>
      <c r="AN16" t="inlineStr"/>
      <c r="AO16" t="inlineStr"/>
      <c r="AP16" t="inlineStr"/>
      <c r="AQ16" t="inlineStr"/>
      <c r="AR16" t="inlineStr"/>
      <c r="AS16" t="inlineStr"/>
      <c r="AT16" t="n">
        <v>0</v>
      </c>
      <c r="AU16" t="n">
        <v>0</v>
      </c>
      <c r="AV16" t="n">
        <v>0</v>
      </c>
      <c r="AW16" t="n">
        <v>0</v>
      </c>
    </row>
    <row r="17">
      <c r="A17" t="inlineStr">
        <is>
          <t>FD25025316</t>
        </is>
      </c>
      <c r="B17" t="inlineStr">
        <is>
          <t>Boston Fire Department</t>
        </is>
      </c>
      <c r="C17" t="inlineStr">
        <is>
          <t>2026-08-08T21:16:11+00:00</t>
        </is>
      </c>
      <c r="D17" s="2">
        <f>IF(C17="","",DATE(VALUE(LEFT(C17,4)),VALUE(MID(C17,6,2)),VALUE(MID(C17,9,2)))+TIME(VALUE(MID(C17,12,2)),VALUE(MID(C17,15,2)),VALUE(MID(C17,18,2)))-IF(AND(DATE(VALUE(LEFT(C17,4)),VALUE(MID(C17,6,2)),VALUE(MID(C17,9,2)))+TIME(VALUE(MID(C17,12,2)),VALUE(MID(C17,15,2)),VALUE(MID(C17,18,2)))&gt;=DATE(VALUE(LEFT(C17,4)),3,1)+MOD(8-WEEKDAY(DATE(VALUE(LEFT(C17,4)),3,1)),7)+7+TIME(7,0,0),DATE(VALUE(LEFT(C17,4)),3,1)+MOD(8-WEEKDAY(DATE(VALUE(LEFT(C17,4)),3,1)),7)+7+TIME(7,0,0)&lt;DATE(VALUE(LEFT(C17,4)),11,1)+MOD(8-WEEKDAY(DATE(VALUE(LEFT(C17,4)),11,1)),7)+TIME(6,0,0)), TIME(4,0,0),TIME(5,0,0)))</f>
        <v/>
      </c>
      <c r="E17" s="3">
        <f>IF(D17="","",MOD(D17,1))</f>
        <v/>
      </c>
      <c r="F17">
        <f>IF(D17="","",TEXT(D17,"mmm"))</f>
        <v/>
      </c>
      <c r="G17">
        <f>IF(D17="","",YEAR(D17))</f>
        <v/>
      </c>
      <c r="H17">
        <f>IF(D17="","",HOUR(D17))</f>
        <v/>
      </c>
      <c r="I17" t="inlineStr">
        <is>
          <t>26-0056139</t>
        </is>
      </c>
      <c r="J17" t="inlineStr">
        <is>
          <t>FIRE||STRUCTURE_FIRE||ROOM_AND_CONTENTS_FIRE</t>
        </is>
      </c>
      <c r="K17" t="inlineStr"/>
      <c r="L17" t="inlineStr"/>
      <c r="M17" t="inlineStr">
        <is>
          <t>WASHINGTON ST</t>
        </is>
      </c>
      <c r="N17" t="inlineStr"/>
      <c r="O17" t="inlineStr">
        <is>
          <t>MA</t>
        </is>
      </c>
      <c r="P17" t="inlineStr">
        <is>
          <t>02135</t>
        </is>
      </c>
      <c r="Q17" t="inlineStr">
        <is>
          <t>SUFFOLK</t>
        </is>
      </c>
      <c r="R17" t="inlineStr">
        <is>
          <t>RESIDENTIAL</t>
        </is>
      </c>
      <c r="S17" t="inlineStr">
        <is>
          <t>MULTI_FAMILY_LOWRISE_DWELLING</t>
        </is>
      </c>
      <c r="T17" t="inlineStr"/>
      <c r="U17" t="inlineStr"/>
      <c r="V17" t="inlineStr">
        <is>
          <t>FD25025316|26-0056139|1786223771</t>
        </is>
      </c>
      <c r="W17" t="inlineStr"/>
      <c r="X17" t="inlineStr"/>
      <c r="Y17" t="inlineStr"/>
      <c r="Z17" t="inlineStr"/>
      <c r="AA17" t="inlineStr"/>
      <c r="AB17" t="inlineStr"/>
      <c r="AC17" t="inlineStr">
        <is>
          <t>E_MOBILITY||ELECTRIC_SCOOTER_MOPED</t>
        </is>
      </c>
      <c r="AD17" t="inlineStr">
        <is>
          <t>SOURCE</t>
        </is>
      </c>
      <c r="AE17" t="inlineStr"/>
      <c r="AF17" t="inlineStr"/>
      <c r="AG17" t="inlineStr"/>
      <c r="AH17" t="inlineStr"/>
      <c r="AI17" t="inlineStr"/>
      <c r="AJ17" t="inlineStr"/>
      <c r="AK17" t="inlineStr"/>
      <c r="AL17" t="inlineStr"/>
      <c r="AM17" t="inlineStr"/>
      <c r="AN17" t="inlineStr"/>
      <c r="AO17" t="inlineStr"/>
      <c r="AP17" t="inlineStr"/>
      <c r="AQ17" t="inlineStr"/>
      <c r="AR17" t="inlineStr"/>
      <c r="AS17" t="inlineStr"/>
      <c r="AT17" t="n">
        <v>0</v>
      </c>
      <c r="AU17" t="n">
        <v>0</v>
      </c>
      <c r="AV17" t="n">
        <v>0</v>
      </c>
      <c r="AW17" t="n">
        <v>0</v>
      </c>
    </row>
    <row r="18">
      <c r="A18" t="inlineStr">
        <is>
          <t>FD25023251</t>
        </is>
      </c>
      <c r="B18" t="inlineStr">
        <is>
          <t>Hanson Fire Department</t>
        </is>
      </c>
      <c r="C18" t="inlineStr">
        <is>
          <t>2026-08-07T13:03:15+00:00</t>
        </is>
      </c>
      <c r="D18" s="2">
        <f>IF(C18="","",DATE(VALUE(LEFT(C18,4)),VALUE(MID(C18,6,2)),VALUE(MID(C18,9,2)))+TIME(VALUE(MID(C18,12,2)),VALUE(MID(C18,15,2)),VALUE(MID(C18,18,2)))-IF(AND(DATE(VALUE(LEFT(C18,4)),VALUE(MID(C18,6,2)),VALUE(MID(C18,9,2)))+TIME(VALUE(MID(C18,12,2)),VALUE(MID(C18,15,2)),VALUE(MID(C18,18,2)))&gt;=DATE(VALUE(LEFT(C18,4)),3,1)+MOD(8-WEEKDAY(DATE(VALUE(LEFT(C18,4)),3,1)),7)+7+TIME(7,0,0),DATE(VALUE(LEFT(C18,4)),3,1)+MOD(8-WEEKDAY(DATE(VALUE(LEFT(C18,4)),3,1)),7)+7+TIME(7,0,0)&lt;DATE(VALUE(LEFT(C18,4)),11,1)+MOD(8-WEEKDAY(DATE(VALUE(LEFT(C18,4)),11,1)),7)+TIME(6,0,0)), TIME(4,0,0),TIME(5,0,0)))</f>
        <v/>
      </c>
      <c r="E18" s="3">
        <f>IF(D18="","",MOD(D18,1))</f>
        <v/>
      </c>
      <c r="F18">
        <f>IF(D18="","",TEXT(D18,"mmm"))</f>
        <v/>
      </c>
      <c r="G18">
        <f>IF(D18="","",YEAR(D18))</f>
        <v/>
      </c>
      <c r="H18">
        <f>IF(D18="","",HOUR(D18))</f>
        <v/>
      </c>
      <c r="I18" t="inlineStr">
        <is>
          <t>2026001501</t>
        </is>
      </c>
      <c r="J18" t="inlineStr">
        <is>
          <t>FIRE||STRUCTURE_FIRE||ROOM_AND_CONTENTS_FIRE</t>
        </is>
      </c>
      <c r="K18" t="inlineStr">
        <is>
          <t>HAZSIT||HAZARD_NONCHEM||ELEC_HAZARD_SHORT_CIRCUIT</t>
        </is>
      </c>
      <c r="L18" t="inlineStr"/>
      <c r="M18" t="inlineStr">
        <is>
          <t>211 STATION ST</t>
        </is>
      </c>
      <c r="N18" t="inlineStr">
        <is>
          <t>HANSON</t>
        </is>
      </c>
      <c r="O18" t="inlineStr">
        <is>
          <t>MA</t>
        </is>
      </c>
      <c r="P18" t="inlineStr">
        <is>
          <t>02341</t>
        </is>
      </c>
      <c r="Q18" t="inlineStr"/>
      <c r="R18" t="inlineStr">
        <is>
          <t>INDUSTRIAL</t>
        </is>
      </c>
      <c r="S18" t="inlineStr">
        <is>
          <t>LIGHT</t>
        </is>
      </c>
      <c r="T18" t="inlineStr"/>
      <c r="U18" t="inlineStr"/>
      <c r="V18" t="inlineStr">
        <is>
          <t>FD25023251|2026001501|1786107795</t>
        </is>
      </c>
      <c r="W18" t="inlineStr"/>
      <c r="X18" t="inlineStr"/>
      <c r="Y18" t="inlineStr"/>
      <c r="Z18" t="inlineStr"/>
      <c r="AA18" t="inlineStr"/>
      <c r="AB18" t="inlineStr"/>
      <c r="AC18" t="inlineStr">
        <is>
          <t>ENERGY_STORAGE_SYSTEM||BATTERY</t>
        </is>
      </c>
      <c r="AD18" t="inlineStr"/>
      <c r="AE18" t="inlineStr"/>
      <c r="AF18" t="inlineStr"/>
      <c r="AG18" t="inlineStr"/>
      <c r="AH18" t="inlineStr"/>
      <c r="AI18" t="inlineStr"/>
      <c r="AJ18" t="inlineStr"/>
      <c r="AK18" t="inlineStr"/>
      <c r="AL18" t="inlineStr"/>
      <c r="AM18" t="inlineStr"/>
      <c r="AN18" t="inlineStr"/>
      <c r="AO18" t="inlineStr"/>
      <c r="AP18" t="inlineStr"/>
      <c r="AQ18" t="inlineStr"/>
      <c r="AR18" t="inlineStr"/>
      <c r="AS18" t="inlineStr"/>
      <c r="AT18" t="n">
        <v>0</v>
      </c>
      <c r="AU18" t="n">
        <v>0</v>
      </c>
      <c r="AV18" t="n">
        <v>0</v>
      </c>
      <c r="AW18" t="n">
        <v>0</v>
      </c>
    </row>
    <row r="19">
      <c r="A19" t="inlineStr">
        <is>
          <t>FD25025316</t>
        </is>
      </c>
      <c r="B19" t="inlineStr">
        <is>
          <t>Boston Fire Department</t>
        </is>
      </c>
      <c r="C19" t="inlineStr">
        <is>
          <t>2026-08-07T02:52:37+00:00</t>
        </is>
      </c>
      <c r="D19" s="2">
        <f>IF(C19="","",DATE(VALUE(LEFT(C19,4)),VALUE(MID(C19,6,2)),VALUE(MID(C19,9,2)))+TIME(VALUE(MID(C19,12,2)),VALUE(MID(C19,15,2)),VALUE(MID(C19,18,2)))-IF(AND(DATE(VALUE(LEFT(C19,4)),VALUE(MID(C19,6,2)),VALUE(MID(C19,9,2)))+TIME(VALUE(MID(C19,12,2)),VALUE(MID(C19,15,2)),VALUE(MID(C19,18,2)))&gt;=DATE(VALUE(LEFT(C19,4)),3,1)+MOD(8-WEEKDAY(DATE(VALUE(LEFT(C19,4)),3,1)),7)+7+TIME(7,0,0),DATE(VALUE(LEFT(C19,4)),3,1)+MOD(8-WEEKDAY(DATE(VALUE(LEFT(C19,4)),3,1)),7)+7+TIME(7,0,0)&lt;DATE(VALUE(LEFT(C19,4)),11,1)+MOD(8-WEEKDAY(DATE(VALUE(LEFT(C19,4)),11,1)),7)+TIME(6,0,0)), TIME(4,0,0),TIME(5,0,0)))</f>
        <v/>
      </c>
      <c r="E19" s="3">
        <f>IF(D19="","",MOD(D19,1))</f>
        <v/>
      </c>
      <c r="F19">
        <f>IF(D19="","",TEXT(D19,"mmm"))</f>
        <v/>
      </c>
      <c r="G19">
        <f>IF(D19="","",YEAR(D19))</f>
        <v/>
      </c>
      <c r="H19">
        <f>IF(D19="","",HOUR(D19))</f>
        <v/>
      </c>
      <c r="I19" t="inlineStr">
        <is>
          <t>26-0055624</t>
        </is>
      </c>
      <c r="J19" t="inlineStr">
        <is>
          <t>HAZSIT||HAZARD_NONCHEM||ELEC_HAZARD_SHORT_CIRCUIT</t>
        </is>
      </c>
      <c r="K19" t="inlineStr"/>
      <c r="L19" t="inlineStr"/>
      <c r="M19" t="inlineStr">
        <is>
          <t>BLUEFIELD TER</t>
        </is>
      </c>
      <c r="N19" t="inlineStr"/>
      <c r="O19" t="inlineStr">
        <is>
          <t>MA</t>
        </is>
      </c>
      <c r="P19" t="inlineStr">
        <is>
          <t>02126</t>
        </is>
      </c>
      <c r="Q19" t="inlineStr">
        <is>
          <t>SUFFOLK</t>
        </is>
      </c>
      <c r="R19" t="inlineStr">
        <is>
          <t>RESIDENTIAL</t>
        </is>
      </c>
      <c r="S19" t="inlineStr">
        <is>
          <t>DETATCHED_SINGLE_FAMILY_DWELLING</t>
        </is>
      </c>
      <c r="T19" t="inlineStr"/>
      <c r="U19" t="inlineStr"/>
      <c r="V19" t="inlineStr">
        <is>
          <t>FD25025316|26-0055624|1786071157</t>
        </is>
      </c>
      <c r="W19" t="inlineStr"/>
      <c r="X19" t="inlineStr"/>
      <c r="Y19" t="inlineStr"/>
      <c r="Z19" t="inlineStr"/>
      <c r="AA19" t="inlineStr"/>
      <c r="AB19" t="inlineStr"/>
      <c r="AC19" t="inlineStr">
        <is>
          <t>CONSUMER_PRODUCTS||OTHER||CONSUMER_PRODUCTS||APPLIANCE_TOOL</t>
        </is>
      </c>
      <c r="AD19" t="inlineStr"/>
      <c r="AE19" t="inlineStr"/>
      <c r="AF19" t="inlineStr"/>
      <c r="AG19" t="inlineStr"/>
      <c r="AH19" t="inlineStr"/>
      <c r="AI19" t="inlineStr"/>
      <c r="AJ19" t="inlineStr"/>
      <c r="AK19" t="inlineStr"/>
      <c r="AL19" t="inlineStr"/>
      <c r="AM19" t="inlineStr"/>
      <c r="AN19" t="inlineStr"/>
      <c r="AO19" t="inlineStr"/>
      <c r="AP19" t="inlineStr"/>
      <c r="AQ19" t="inlineStr"/>
      <c r="AR19" t="inlineStr"/>
      <c r="AS19" t="inlineStr"/>
      <c r="AT19" t="n">
        <v>0</v>
      </c>
      <c r="AU19" t="n">
        <v>0</v>
      </c>
      <c r="AV19" t="n">
        <v>0</v>
      </c>
      <c r="AW19" t="n">
        <v>0</v>
      </c>
    </row>
    <row r="20">
      <c r="A20" t="inlineStr">
        <is>
          <t>FD25017401</t>
        </is>
      </c>
      <c r="B20" t="inlineStr">
        <is>
          <t>Groton Fire Department</t>
        </is>
      </c>
      <c r="C20" t="inlineStr">
        <is>
          <t>2026-08-05T16:13:00+00:00</t>
        </is>
      </c>
      <c r="D20" s="2">
        <f>IF(C20="","",DATE(VALUE(LEFT(C20,4)),VALUE(MID(C20,6,2)),VALUE(MID(C20,9,2)))+TIME(VALUE(MID(C20,12,2)),VALUE(MID(C20,15,2)),VALUE(MID(C20,18,2)))-IF(AND(DATE(VALUE(LEFT(C20,4)),VALUE(MID(C20,6,2)),VALUE(MID(C20,9,2)))+TIME(VALUE(MID(C20,12,2)),VALUE(MID(C20,15,2)),VALUE(MID(C20,18,2)))&gt;=DATE(VALUE(LEFT(C20,4)),3,1)+MOD(8-WEEKDAY(DATE(VALUE(LEFT(C20,4)),3,1)),7)+7+TIME(7,0,0),DATE(VALUE(LEFT(C20,4)),3,1)+MOD(8-WEEKDAY(DATE(VALUE(LEFT(C20,4)),3,1)),7)+7+TIME(7,0,0)&lt;DATE(VALUE(LEFT(C20,4)),11,1)+MOD(8-WEEKDAY(DATE(VALUE(LEFT(C20,4)),11,1)),7)+TIME(6,0,0)), TIME(4,0,0),TIME(5,0,0)))</f>
        <v/>
      </c>
      <c r="E20" s="3">
        <f>IF(D20="","",MOD(D20,1))</f>
        <v/>
      </c>
      <c r="F20">
        <f>IF(D20="","",TEXT(D20,"mmm"))</f>
        <v/>
      </c>
      <c r="G20">
        <f>IF(D20="","",YEAR(D20))</f>
        <v/>
      </c>
      <c r="H20">
        <f>IF(D20="","",HOUR(D20))</f>
        <v/>
      </c>
      <c r="I20" t="inlineStr">
        <is>
          <t>26-41258_639217213465817871</t>
        </is>
      </c>
      <c r="J20" t="inlineStr">
        <is>
          <t>FIRE||TRANSPORTATION_FIRE||VEHICLE_FIRE_PASSENGER</t>
        </is>
      </c>
      <c r="K20" t="inlineStr"/>
      <c r="L20" t="inlineStr"/>
      <c r="M20" t="inlineStr">
        <is>
          <t>Gay</t>
        </is>
      </c>
      <c r="N20" t="inlineStr">
        <is>
          <t>Groton</t>
        </is>
      </c>
      <c r="O20" t="inlineStr">
        <is>
          <t>MA</t>
        </is>
      </c>
      <c r="P20" t="inlineStr">
        <is>
          <t>01450</t>
        </is>
      </c>
      <c r="Q20" t="inlineStr">
        <is>
          <t>Middlesex County</t>
        </is>
      </c>
      <c r="R20" t="inlineStr"/>
      <c r="S20" t="inlineStr"/>
      <c r="T20" t="inlineStr"/>
      <c r="U20" t="inlineStr"/>
      <c r="V20" t="inlineStr">
        <is>
          <t>FD25017401|26-41258_639217213465817871|1785946507</t>
        </is>
      </c>
      <c r="W20" t="inlineStr"/>
      <c r="X20" t="inlineStr"/>
      <c r="Y20" t="inlineStr"/>
      <c r="Z20" t="inlineStr"/>
      <c r="AA20" t="inlineStr"/>
      <c r="AB20" t="inlineStr"/>
      <c r="AC20" t="inlineStr">
        <is>
          <t>ELECTRIC_VEHICLE||CAR_RR||FULL_ELECTRIC</t>
        </is>
      </c>
      <c r="AD20" t="inlineStr">
        <is>
          <t>UNKNOWN</t>
        </is>
      </c>
      <c r="AE20" t="inlineStr"/>
      <c r="AF20" t="inlineStr"/>
      <c r="AG20" t="inlineStr"/>
      <c r="AH20" t="inlineStr"/>
      <c r="AI20" t="inlineStr"/>
      <c r="AJ20" t="inlineStr"/>
      <c r="AK20" t="inlineStr"/>
      <c r="AL20" t="inlineStr"/>
      <c r="AM20" t="inlineStr"/>
      <c r="AN20" t="inlineStr"/>
      <c r="AO20" t="inlineStr"/>
      <c r="AP20" t="inlineStr"/>
      <c r="AQ20" t="inlineStr"/>
      <c r="AR20" t="inlineStr"/>
      <c r="AS20" t="inlineStr"/>
      <c r="AT20" t="n">
        <v>0</v>
      </c>
      <c r="AU20" t="n">
        <v>4</v>
      </c>
      <c r="AV20" t="n">
        <v>0</v>
      </c>
      <c r="AW20" t="n">
        <v>1</v>
      </c>
    </row>
    <row r="21">
      <c r="A21" t="inlineStr">
        <is>
          <t>FD25027116</t>
        </is>
      </c>
      <c r="B21" t="inlineStr">
        <is>
          <t>Douglas Fire Department</t>
        </is>
      </c>
      <c r="C21" t="inlineStr">
        <is>
          <t>2026-08-04T13:23:00+00:00</t>
        </is>
      </c>
      <c r="D21" s="2">
        <f>IF(C21="","",DATE(VALUE(LEFT(C21,4)),VALUE(MID(C21,6,2)),VALUE(MID(C21,9,2)))+TIME(VALUE(MID(C21,12,2)),VALUE(MID(C21,15,2)),VALUE(MID(C21,18,2)))-IF(AND(DATE(VALUE(LEFT(C21,4)),VALUE(MID(C21,6,2)),VALUE(MID(C21,9,2)))+TIME(VALUE(MID(C21,12,2)),VALUE(MID(C21,15,2)),VALUE(MID(C21,18,2)))&gt;=DATE(VALUE(LEFT(C21,4)),3,1)+MOD(8-WEEKDAY(DATE(VALUE(LEFT(C21,4)),3,1)),7)+7+TIME(7,0,0),DATE(VALUE(LEFT(C21,4)),3,1)+MOD(8-WEEKDAY(DATE(VALUE(LEFT(C21,4)),3,1)),7)+7+TIME(7,0,0)&lt;DATE(VALUE(LEFT(C21,4)),11,1)+MOD(8-WEEKDAY(DATE(VALUE(LEFT(C21,4)),11,1)),7)+TIME(6,0,0)), TIME(4,0,0),TIME(5,0,0)))</f>
        <v/>
      </c>
      <c r="E21" s="3">
        <f>IF(D21="","",MOD(D21,1))</f>
        <v/>
      </c>
      <c r="F21">
        <f>IF(D21="","",TEXT(D21,"mmm"))</f>
        <v/>
      </c>
      <c r="G21">
        <f>IF(D21="","",YEAR(D21))</f>
        <v/>
      </c>
      <c r="H21">
        <f>IF(D21="","",HOUR(D21))</f>
        <v/>
      </c>
      <c r="I21" t="inlineStr">
        <is>
          <t>26-849-IN_639216671338379984</t>
        </is>
      </c>
      <c r="J21" t="inlineStr">
        <is>
          <t>FIRE||OUTSIDE_FIRE||UTILITY_INFRASTRUCTURE_FIRE</t>
        </is>
      </c>
      <c r="K21" t="inlineStr"/>
      <c r="L21" t="inlineStr"/>
      <c r="M21" t="inlineStr">
        <is>
          <t>Oak</t>
        </is>
      </c>
      <c r="N21" t="inlineStr">
        <is>
          <t>Douglas</t>
        </is>
      </c>
      <c r="O21" t="inlineStr">
        <is>
          <t>MA</t>
        </is>
      </c>
      <c r="P21" t="inlineStr">
        <is>
          <t>01516</t>
        </is>
      </c>
      <c r="Q21" t="inlineStr">
        <is>
          <t>Worcester County</t>
        </is>
      </c>
      <c r="R21" t="inlineStr">
        <is>
          <t>UTILITY_MISC</t>
        </is>
      </c>
      <c r="S21" t="inlineStr">
        <is>
          <t>ENERGY_FACILITY_INFRASTRUCTURE</t>
        </is>
      </c>
      <c r="T21" t="inlineStr"/>
      <c r="U21" t="inlineStr"/>
      <c r="V21" t="inlineStr">
        <is>
          <t>FD25027116|26-849-IN_639216671338379984|1785849870</t>
        </is>
      </c>
      <c r="W21" t="inlineStr"/>
      <c r="X21" t="inlineStr"/>
      <c r="Y21" t="inlineStr"/>
      <c r="Z21" t="inlineStr"/>
      <c r="AA21" t="inlineStr"/>
      <c r="AB21" t="inlineStr"/>
      <c r="AC21" t="inlineStr">
        <is>
          <t>ENERGY_STORAGE_SYSTEM||BATTERY</t>
        </is>
      </c>
      <c r="AD21" t="inlineStr">
        <is>
          <t>TARGET</t>
        </is>
      </c>
      <c r="AE21" t="inlineStr"/>
      <c r="AF21" t="inlineStr"/>
      <c r="AG21" t="inlineStr"/>
      <c r="AH21" t="inlineStr"/>
      <c r="AI21" t="inlineStr"/>
      <c r="AJ21" t="inlineStr"/>
      <c r="AK21" t="inlineStr"/>
      <c r="AL21" t="inlineStr"/>
      <c r="AM21" t="inlineStr"/>
      <c r="AN21" t="inlineStr"/>
      <c r="AO21" t="inlineStr"/>
      <c r="AP21" t="inlineStr"/>
      <c r="AQ21" t="inlineStr"/>
      <c r="AR21" t="inlineStr"/>
      <c r="AS21" t="inlineStr"/>
      <c r="AT21" t="n">
        <v>0</v>
      </c>
      <c r="AU21" t="n">
        <v>0</v>
      </c>
      <c r="AV21" t="n">
        <v>0</v>
      </c>
      <c r="AW21" t="n">
        <v>0</v>
      </c>
    </row>
    <row r="22">
      <c r="A22" t="inlineStr">
        <is>
          <t>FD25025316</t>
        </is>
      </c>
      <c r="B22" t="inlineStr">
        <is>
          <t>Boston Fire Department</t>
        </is>
      </c>
      <c r="C22" t="inlineStr">
        <is>
          <t>2026-08-03T13:35:50+00:00</t>
        </is>
      </c>
      <c r="D22" s="2">
        <f>IF(C22="","",DATE(VALUE(LEFT(C22,4)),VALUE(MID(C22,6,2)),VALUE(MID(C22,9,2)))+TIME(VALUE(MID(C22,12,2)),VALUE(MID(C22,15,2)),VALUE(MID(C22,18,2)))-IF(AND(DATE(VALUE(LEFT(C22,4)),VALUE(MID(C22,6,2)),VALUE(MID(C22,9,2)))+TIME(VALUE(MID(C22,12,2)),VALUE(MID(C22,15,2)),VALUE(MID(C22,18,2)))&gt;=DATE(VALUE(LEFT(C22,4)),3,1)+MOD(8-WEEKDAY(DATE(VALUE(LEFT(C22,4)),3,1)),7)+7+TIME(7,0,0),DATE(VALUE(LEFT(C22,4)),3,1)+MOD(8-WEEKDAY(DATE(VALUE(LEFT(C22,4)),3,1)),7)+7+TIME(7,0,0)&lt;DATE(VALUE(LEFT(C22,4)),11,1)+MOD(8-WEEKDAY(DATE(VALUE(LEFT(C22,4)),11,1)),7)+TIME(6,0,0)), TIME(4,0,0),TIME(5,0,0)))</f>
        <v/>
      </c>
      <c r="E22" s="3">
        <f>IF(D22="","",MOD(D22,1))</f>
        <v/>
      </c>
      <c r="F22">
        <f>IF(D22="","",TEXT(D22,"mmm"))</f>
        <v/>
      </c>
      <c r="G22">
        <f>IF(D22="","",YEAR(D22))</f>
        <v/>
      </c>
      <c r="H22">
        <f>IF(D22="","",HOUR(D22))</f>
        <v/>
      </c>
      <c r="I22" t="inlineStr">
        <is>
          <t>26-0054565</t>
        </is>
      </c>
      <c r="J22" t="inlineStr">
        <is>
          <t>FIRE||TRANSPORTATION_FIRE||VEHICLE_FIRE_PASSENGER</t>
        </is>
      </c>
      <c r="K22" t="inlineStr"/>
      <c r="L22" t="inlineStr"/>
      <c r="M22" t="inlineStr">
        <is>
          <t>BEACON ST / FAIRMOUNT AVE</t>
        </is>
      </c>
      <c r="N22" t="inlineStr"/>
      <c r="O22" t="inlineStr">
        <is>
          <t>MA</t>
        </is>
      </c>
      <c r="P22" t="inlineStr">
        <is>
          <t>02136</t>
        </is>
      </c>
      <c r="Q22" t="inlineStr">
        <is>
          <t>SUFFOLK</t>
        </is>
      </c>
      <c r="R22" t="inlineStr">
        <is>
          <t>ROADWAY_ACCESS</t>
        </is>
      </c>
      <c r="S22" t="inlineStr">
        <is>
          <t>STREET</t>
        </is>
      </c>
      <c r="T22" t="inlineStr"/>
      <c r="U22" t="inlineStr"/>
      <c r="V22" t="inlineStr">
        <is>
          <t>FD25025316|26-0054565|1785764150</t>
        </is>
      </c>
      <c r="W22" t="inlineStr"/>
      <c r="X22" t="inlineStr"/>
      <c r="Y22" t="inlineStr"/>
      <c r="Z22" t="inlineStr"/>
      <c r="AA22" t="inlineStr"/>
      <c r="AB22" t="inlineStr"/>
      <c r="AC22" t="inlineStr">
        <is>
          <t>CONSUMER_PRODUCTS||OTHER</t>
        </is>
      </c>
      <c r="AD22" t="inlineStr">
        <is>
          <t>UNKNOWN</t>
        </is>
      </c>
      <c r="AE22" t="inlineStr"/>
      <c r="AF22" t="inlineStr"/>
      <c r="AG22" t="inlineStr"/>
      <c r="AH22" t="inlineStr"/>
      <c r="AI22" t="inlineStr"/>
      <c r="AJ22" t="inlineStr"/>
      <c r="AK22" t="inlineStr"/>
      <c r="AL22" t="inlineStr"/>
      <c r="AM22" t="inlineStr"/>
      <c r="AN22" t="inlineStr"/>
      <c r="AO22" t="inlineStr"/>
      <c r="AP22" t="inlineStr"/>
      <c r="AQ22" t="inlineStr"/>
      <c r="AR22" t="inlineStr"/>
      <c r="AS22" t="inlineStr"/>
      <c r="AT22" t="n">
        <v>0</v>
      </c>
      <c r="AU22" t="n">
        <v>0</v>
      </c>
      <c r="AV22" t="n">
        <v>0</v>
      </c>
      <c r="AW22" t="n">
        <v>0</v>
      </c>
    </row>
    <row r="23">
      <c r="A23" t="inlineStr">
        <is>
          <t>FD25017955</t>
        </is>
      </c>
      <c r="B23" t="inlineStr">
        <is>
          <t>Stow Fire</t>
        </is>
      </c>
      <c r="C23" t="inlineStr">
        <is>
          <t>2026-08-02T21:36:00+00:00</t>
        </is>
      </c>
      <c r="D23" s="2">
        <f>IF(C23="","",DATE(VALUE(LEFT(C23,4)),VALUE(MID(C23,6,2)),VALUE(MID(C23,9,2)))+TIME(VALUE(MID(C23,12,2)),VALUE(MID(C23,15,2)),VALUE(MID(C23,18,2)))-IF(AND(DATE(VALUE(LEFT(C23,4)),VALUE(MID(C23,6,2)),VALUE(MID(C23,9,2)))+TIME(VALUE(MID(C23,12,2)),VALUE(MID(C23,15,2)),VALUE(MID(C23,18,2)))&gt;=DATE(VALUE(LEFT(C23,4)),3,1)+MOD(8-WEEKDAY(DATE(VALUE(LEFT(C23,4)),3,1)),7)+7+TIME(7,0,0),DATE(VALUE(LEFT(C23,4)),3,1)+MOD(8-WEEKDAY(DATE(VALUE(LEFT(C23,4)),3,1)),7)+7+TIME(7,0,0)&lt;DATE(VALUE(LEFT(C23,4)),11,1)+MOD(8-WEEKDAY(DATE(VALUE(LEFT(C23,4)),11,1)),7)+TIME(6,0,0)), TIME(4,0,0),TIME(5,0,0)))</f>
        <v/>
      </c>
      <c r="E23" s="3">
        <f>IF(D23="","",MOD(D23,1))</f>
        <v/>
      </c>
      <c r="F23">
        <f>IF(D23="","",TEXT(D23,"mmm"))</f>
        <v/>
      </c>
      <c r="G23">
        <f>IF(D23="","",YEAR(D23))</f>
        <v/>
      </c>
      <c r="H23">
        <f>IF(D23="","",HOUR(D23))</f>
        <v/>
      </c>
      <c r="I23" t="inlineStr">
        <is>
          <t>50e9ffbb-dd6d-4f62-8a00-70b42b453712</t>
        </is>
      </c>
      <c r="J23" t="inlineStr">
        <is>
          <t>PUBSERV||CITIZEN_ASSIST||CITIZEN_ASSIST_SERVICE_CALL</t>
        </is>
      </c>
      <c r="K23" t="inlineStr"/>
      <c r="L23" t="inlineStr"/>
      <c r="M23" t="inlineStr">
        <is>
          <t>Hudson</t>
        </is>
      </c>
      <c r="N23" t="inlineStr">
        <is>
          <t>Stow</t>
        </is>
      </c>
      <c r="O23" t="inlineStr">
        <is>
          <t>MA</t>
        </is>
      </c>
      <c r="P23" t="inlineStr">
        <is>
          <t>01775</t>
        </is>
      </c>
      <c r="Q23" t="inlineStr">
        <is>
          <t>Middlesex County</t>
        </is>
      </c>
      <c r="R23" t="inlineStr">
        <is>
          <t>RESIDENTIAL</t>
        </is>
      </c>
      <c r="S23" t="inlineStr">
        <is>
          <t>DETATCHED_SINGLE_FAMILY_DWELLING</t>
        </is>
      </c>
      <c r="T23" t="inlineStr"/>
      <c r="U23" t="inlineStr"/>
      <c r="V23" t="inlineStr">
        <is>
          <t>FD25017955|26-694|1785706560</t>
        </is>
      </c>
      <c r="W23" t="inlineStr"/>
      <c r="X23" t="inlineStr"/>
      <c r="Y23" t="inlineStr"/>
      <c r="Z23" t="inlineStr"/>
      <c r="AA23" t="inlineStr"/>
      <c r="AB23" t="inlineStr"/>
      <c r="AC23" t="inlineStr">
        <is>
          <t>CONSUMER_PRODUCTS||POWER_BANK</t>
        </is>
      </c>
      <c r="AD23" t="inlineStr"/>
      <c r="AE23" t="inlineStr"/>
      <c r="AF23" t="inlineStr"/>
      <c r="AG23" t="inlineStr"/>
      <c r="AH23" t="inlineStr"/>
      <c r="AI23" t="inlineStr"/>
      <c r="AJ23" t="inlineStr"/>
      <c r="AK23" t="inlineStr"/>
      <c r="AL23" t="inlineStr"/>
      <c r="AM23" t="inlineStr"/>
      <c r="AN23" t="inlineStr"/>
      <c r="AO23" t="inlineStr"/>
      <c r="AP23" t="inlineStr"/>
      <c r="AQ23" t="inlineStr"/>
      <c r="AR23" t="inlineStr"/>
      <c r="AS23" t="inlineStr"/>
      <c r="AT23" t="n">
        <v>0</v>
      </c>
      <c r="AU23" t="n">
        <v>0</v>
      </c>
      <c r="AV23" t="n">
        <v>0</v>
      </c>
      <c r="AW23" t="n">
        <v>0</v>
      </c>
    </row>
    <row r="24">
      <c r="A24" t="inlineStr">
        <is>
          <t>FD25027809</t>
        </is>
      </c>
      <c r="B24" t="inlineStr">
        <is>
          <t>Lunenburg Fire Department</t>
        </is>
      </c>
      <c r="C24" t="inlineStr">
        <is>
          <t>2026-07-30T11:50:32+00:00</t>
        </is>
      </c>
      <c r="D24" s="2">
        <f>IF(C24="","",DATE(VALUE(LEFT(C24,4)),VALUE(MID(C24,6,2)),VALUE(MID(C24,9,2)))+TIME(VALUE(MID(C24,12,2)),VALUE(MID(C24,15,2)),VALUE(MID(C24,18,2)))-IF(AND(DATE(VALUE(LEFT(C24,4)),VALUE(MID(C24,6,2)),VALUE(MID(C24,9,2)))+TIME(VALUE(MID(C24,12,2)),VALUE(MID(C24,15,2)),VALUE(MID(C24,18,2)))&gt;=DATE(VALUE(LEFT(C24,4)),3,1)+MOD(8-WEEKDAY(DATE(VALUE(LEFT(C24,4)),3,1)),7)+7+TIME(7,0,0),DATE(VALUE(LEFT(C24,4)),3,1)+MOD(8-WEEKDAY(DATE(VALUE(LEFT(C24,4)),3,1)),7)+7+TIME(7,0,0)&lt;DATE(VALUE(LEFT(C24,4)),11,1)+MOD(8-WEEKDAY(DATE(VALUE(LEFT(C24,4)),11,1)),7)+TIME(6,0,0)), TIME(4,0,0),TIME(5,0,0)))</f>
        <v/>
      </c>
      <c r="E24" s="3">
        <f>IF(D24="","",MOD(D24,1))</f>
        <v/>
      </c>
      <c r="F24">
        <f>IF(D24="","",TEXT(D24,"mmm"))</f>
        <v/>
      </c>
      <c r="G24">
        <f>IF(D24="","",YEAR(D24))</f>
        <v/>
      </c>
      <c r="H24">
        <f>IF(D24="","",HOUR(D24))</f>
        <v/>
      </c>
      <c r="I24" t="inlineStr">
        <is>
          <t>26-60265_639210171641425597</t>
        </is>
      </c>
      <c r="J24" t="inlineStr">
        <is>
          <t>HAZSIT||HAZARD_NONCHEM||ELEC_POWER_LINE_DOWN_ARCHING_MALFUNC</t>
        </is>
      </c>
      <c r="K24" t="inlineStr"/>
      <c r="L24" t="inlineStr"/>
      <c r="M24" t="inlineStr">
        <is>
          <t>Hemlock DRIVE</t>
        </is>
      </c>
      <c r="N24" t="inlineStr"/>
      <c r="O24" t="inlineStr">
        <is>
          <t>MA</t>
        </is>
      </c>
      <c r="P24" t="inlineStr">
        <is>
          <t>01462</t>
        </is>
      </c>
      <c r="Q24" t="inlineStr">
        <is>
          <t>Worcester County</t>
        </is>
      </c>
      <c r="R24" t="inlineStr">
        <is>
          <t>ROADWAY_ACCESS</t>
        </is>
      </c>
      <c r="S24" t="inlineStr">
        <is>
          <t>STREET</t>
        </is>
      </c>
      <c r="T24" t="inlineStr"/>
      <c r="U24" t="inlineStr"/>
      <c r="V24" t="inlineStr">
        <is>
          <t>FD25027809|26-60265_639210171641425597|1785412232</t>
        </is>
      </c>
      <c r="W24" t="inlineStr"/>
      <c r="X24" t="inlineStr"/>
      <c r="Y24" t="inlineStr"/>
      <c r="Z24" t="inlineStr"/>
      <c r="AA24" t="inlineStr"/>
      <c r="AB24" t="inlineStr"/>
      <c r="AC24" t="inlineStr">
        <is>
          <t>ENERGY_STORAGE_SYSTEM||OTHER</t>
        </is>
      </c>
      <c r="AD24" t="inlineStr">
        <is>
          <t>SOURCE</t>
        </is>
      </c>
      <c r="AE24" t="inlineStr"/>
      <c r="AF24" t="inlineStr"/>
      <c r="AG24" t="inlineStr"/>
      <c r="AH24" t="inlineStr"/>
      <c r="AI24" t="inlineStr"/>
      <c r="AJ24" t="inlineStr"/>
      <c r="AK24" t="inlineStr"/>
      <c r="AL24" t="inlineStr"/>
      <c r="AM24" t="inlineStr"/>
      <c r="AN24" t="inlineStr"/>
      <c r="AO24" t="inlineStr"/>
      <c r="AP24" t="inlineStr"/>
      <c r="AQ24" t="inlineStr"/>
      <c r="AR24" t="inlineStr"/>
      <c r="AS24" t="inlineStr"/>
      <c r="AT24" t="n">
        <v>0</v>
      </c>
      <c r="AU24" t="n">
        <v>0</v>
      </c>
      <c r="AV24" t="n">
        <v>0</v>
      </c>
      <c r="AW24" t="n">
        <v>0</v>
      </c>
    </row>
    <row r="25">
      <c r="A25" t="inlineStr">
        <is>
          <t>FD25025316</t>
        </is>
      </c>
      <c r="B25" t="inlineStr">
        <is>
          <t>Boston Fire Department</t>
        </is>
      </c>
      <c r="C25" t="inlineStr">
        <is>
          <t>2026-07-28T05:02:47+00:00</t>
        </is>
      </c>
      <c r="D25" s="2">
        <f>IF(C25="","",DATE(VALUE(LEFT(C25,4)),VALUE(MID(C25,6,2)),VALUE(MID(C25,9,2)))+TIME(VALUE(MID(C25,12,2)),VALUE(MID(C25,15,2)),VALUE(MID(C25,18,2)))-IF(AND(DATE(VALUE(LEFT(C25,4)),VALUE(MID(C25,6,2)),VALUE(MID(C25,9,2)))+TIME(VALUE(MID(C25,12,2)),VALUE(MID(C25,15,2)),VALUE(MID(C25,18,2)))&gt;=DATE(VALUE(LEFT(C25,4)),3,1)+MOD(8-WEEKDAY(DATE(VALUE(LEFT(C25,4)),3,1)),7)+7+TIME(7,0,0),DATE(VALUE(LEFT(C25,4)),3,1)+MOD(8-WEEKDAY(DATE(VALUE(LEFT(C25,4)),3,1)),7)+7+TIME(7,0,0)&lt;DATE(VALUE(LEFT(C25,4)),11,1)+MOD(8-WEEKDAY(DATE(VALUE(LEFT(C25,4)),11,1)),7)+TIME(6,0,0)), TIME(4,0,0),TIME(5,0,0)))</f>
        <v/>
      </c>
      <c r="E25" s="3">
        <f>IF(D25="","",MOD(D25,1))</f>
        <v/>
      </c>
      <c r="F25">
        <f>IF(D25="","",TEXT(D25,"mmm"))</f>
        <v/>
      </c>
      <c r="G25">
        <f>IF(D25="","",YEAR(D25))</f>
        <v/>
      </c>
      <c r="H25">
        <f>IF(D25="","",HOUR(D25))</f>
        <v/>
      </c>
      <c r="I25" t="inlineStr">
        <is>
          <t>26-0052873</t>
        </is>
      </c>
      <c r="J25" t="inlineStr">
        <is>
          <t>FIRE||STRUCTURE_FIRE||ROOM_AND_CONTENTS_FIRE</t>
        </is>
      </c>
      <c r="K25" t="inlineStr"/>
      <c r="L25" t="inlineStr"/>
      <c r="M25" t="inlineStr">
        <is>
          <t>BENNINGTON ST</t>
        </is>
      </c>
      <c r="N25" t="inlineStr"/>
      <c r="O25" t="inlineStr">
        <is>
          <t>MA</t>
        </is>
      </c>
      <c r="P25" t="inlineStr">
        <is>
          <t>02128</t>
        </is>
      </c>
      <c r="Q25" t="inlineStr">
        <is>
          <t>SUFFOLK</t>
        </is>
      </c>
      <c r="R25" t="inlineStr">
        <is>
          <t>RESIDENTIAL</t>
        </is>
      </c>
      <c r="S25" t="inlineStr">
        <is>
          <t>MULTI_FAMILY_LOWRISE_DWELLING</t>
        </is>
      </c>
      <c r="T25" t="inlineStr"/>
      <c r="U25" t="inlineStr"/>
      <c r="V25" t="inlineStr">
        <is>
          <t>FD25025316|26-0052873|1785214967</t>
        </is>
      </c>
      <c r="W25" t="inlineStr"/>
      <c r="X25" t="inlineStr"/>
      <c r="Y25" t="inlineStr"/>
      <c r="Z25" t="inlineStr"/>
      <c r="AA25" t="inlineStr"/>
      <c r="AB25" t="inlineStr"/>
      <c r="AC25" t="inlineStr">
        <is>
          <t>E_MOBILITY||ELECTRIC_SCOOTER_MOPED</t>
        </is>
      </c>
      <c r="AD25" t="inlineStr"/>
      <c r="AE25" t="inlineStr"/>
      <c r="AF25" t="inlineStr"/>
      <c r="AG25" t="inlineStr"/>
      <c r="AH25" t="inlineStr"/>
      <c r="AI25" t="inlineStr"/>
      <c r="AJ25" t="inlineStr"/>
      <c r="AK25" t="inlineStr"/>
      <c r="AL25" t="inlineStr"/>
      <c r="AM25" t="inlineStr"/>
      <c r="AN25" t="inlineStr"/>
      <c r="AO25" t="inlineStr"/>
      <c r="AP25" t="inlineStr"/>
      <c r="AQ25" t="inlineStr"/>
      <c r="AR25" t="inlineStr"/>
      <c r="AS25" t="inlineStr"/>
      <c r="AT25" t="n">
        <v>0</v>
      </c>
      <c r="AU25" t="n">
        <v>0</v>
      </c>
      <c r="AV25" t="n">
        <v>0</v>
      </c>
      <c r="AW25" t="n">
        <v>0</v>
      </c>
    </row>
    <row r="26">
      <c r="A26" t="inlineStr">
        <is>
          <t>FD25011903</t>
        </is>
      </c>
      <c r="B26" t="inlineStr">
        <is>
          <t>Wendell Fire Department</t>
        </is>
      </c>
      <c r="C26" t="inlineStr">
        <is>
          <t>2026-07-27T20:25:36+00:00</t>
        </is>
      </c>
      <c r="D26" s="2">
        <f>IF(C26="","",DATE(VALUE(LEFT(C26,4)),VALUE(MID(C26,6,2)),VALUE(MID(C26,9,2)))+TIME(VALUE(MID(C26,12,2)),VALUE(MID(C26,15,2)),VALUE(MID(C26,18,2)))-IF(AND(DATE(VALUE(LEFT(C26,4)),VALUE(MID(C26,6,2)),VALUE(MID(C26,9,2)))+TIME(VALUE(MID(C26,12,2)),VALUE(MID(C26,15,2)),VALUE(MID(C26,18,2)))&gt;=DATE(VALUE(LEFT(C26,4)),3,1)+MOD(8-WEEKDAY(DATE(VALUE(LEFT(C26,4)),3,1)),7)+7+TIME(7,0,0),DATE(VALUE(LEFT(C26,4)),3,1)+MOD(8-WEEKDAY(DATE(VALUE(LEFT(C26,4)),3,1)),7)+7+TIME(7,0,0)&lt;DATE(VALUE(LEFT(C26,4)),11,1)+MOD(8-WEEKDAY(DATE(VALUE(LEFT(C26,4)),11,1)),7)+TIME(6,0,0)), TIME(4,0,0),TIME(5,0,0)))</f>
        <v/>
      </c>
      <c r="E26" s="3">
        <f>IF(D26="","",MOD(D26,1))</f>
        <v/>
      </c>
      <c r="F26">
        <f>IF(D26="","",TEXT(D26,"mmm"))</f>
        <v/>
      </c>
      <c r="G26">
        <f>IF(D26="","",YEAR(D26))</f>
        <v/>
      </c>
      <c r="H26">
        <f>IF(D26="","",HOUR(D26))</f>
        <v/>
      </c>
      <c r="I26" t="inlineStr">
        <is>
          <t>0e950018-3f32-44f8-85e8-735b6a861289</t>
        </is>
      </c>
      <c r="J26" t="inlineStr">
        <is>
          <t>PUBSERV||CITIZEN_ASSIST||CITIZEN_ASSIST_SERVICE_CALL</t>
        </is>
      </c>
      <c r="K26" t="inlineStr"/>
      <c r="L26" t="inlineStr"/>
      <c r="M26" t="inlineStr">
        <is>
          <t>West STREET</t>
        </is>
      </c>
      <c r="N26" t="inlineStr">
        <is>
          <t>Wendell</t>
        </is>
      </c>
      <c r="O26" t="inlineStr">
        <is>
          <t>MA</t>
        </is>
      </c>
      <c r="P26" t="inlineStr">
        <is>
          <t>01379</t>
        </is>
      </c>
      <c r="Q26" t="inlineStr">
        <is>
          <t>Franklin County</t>
        </is>
      </c>
      <c r="R26" t="inlineStr">
        <is>
          <t>OUTDOOR</t>
        </is>
      </c>
      <c r="S26" t="inlineStr">
        <is>
          <t>GROUND_VACANT_LAND</t>
        </is>
      </c>
      <c r="T26" t="inlineStr"/>
      <c r="U26" t="inlineStr"/>
      <c r="V26" t="inlineStr">
        <is>
          <t>FD25011903|1785870514|1785183936</t>
        </is>
      </c>
      <c r="W26" t="inlineStr"/>
      <c r="X26" t="inlineStr"/>
      <c r="Y26" t="inlineStr"/>
      <c r="Z26" t="inlineStr"/>
      <c r="AA26" t="inlineStr"/>
      <c r="AB26" t="inlineStr"/>
      <c r="AC26" t="inlineStr">
        <is>
          <t>E_MOBILITY||ELECTRIC_SCOOTER_MOPED</t>
        </is>
      </c>
      <c r="AD26" t="inlineStr"/>
      <c r="AE26" t="inlineStr"/>
      <c r="AF26" t="inlineStr"/>
      <c r="AG26" t="inlineStr"/>
      <c r="AH26" t="inlineStr"/>
      <c r="AI26" t="inlineStr"/>
      <c r="AJ26" t="inlineStr"/>
      <c r="AK26" t="inlineStr"/>
      <c r="AL26" t="inlineStr"/>
      <c r="AM26" t="inlineStr"/>
      <c r="AN26" t="inlineStr"/>
      <c r="AO26" t="inlineStr"/>
      <c r="AP26" t="inlineStr"/>
      <c r="AQ26" t="inlineStr"/>
      <c r="AR26" t="inlineStr"/>
      <c r="AS26" t="inlineStr"/>
      <c r="AT26" t="n">
        <v>0</v>
      </c>
      <c r="AU26" t="n">
        <v>0</v>
      </c>
      <c r="AV26" t="n">
        <v>0</v>
      </c>
      <c r="AW26" t="n">
        <v>0</v>
      </c>
    </row>
    <row r="27">
      <c r="A27" t="inlineStr">
        <is>
          <t>FD25023455</t>
        </is>
      </c>
      <c r="B27" t="inlineStr">
        <is>
          <t>Wareham Fire Department</t>
        </is>
      </c>
      <c r="C27" t="inlineStr">
        <is>
          <t>2026-07-27T15:45:00+00:00</t>
        </is>
      </c>
      <c r="D27" s="2">
        <f>IF(C27="","",DATE(VALUE(LEFT(C27,4)),VALUE(MID(C27,6,2)),VALUE(MID(C27,9,2)))+TIME(VALUE(MID(C27,12,2)),VALUE(MID(C27,15,2)),VALUE(MID(C27,18,2)))-IF(AND(DATE(VALUE(LEFT(C27,4)),VALUE(MID(C27,6,2)),VALUE(MID(C27,9,2)))+TIME(VALUE(MID(C27,12,2)),VALUE(MID(C27,15,2)),VALUE(MID(C27,18,2)))&gt;=DATE(VALUE(LEFT(C27,4)),3,1)+MOD(8-WEEKDAY(DATE(VALUE(LEFT(C27,4)),3,1)),7)+7+TIME(7,0,0),DATE(VALUE(LEFT(C27,4)),3,1)+MOD(8-WEEKDAY(DATE(VALUE(LEFT(C27,4)),3,1)),7)+7+TIME(7,0,0)&lt;DATE(VALUE(LEFT(C27,4)),11,1)+MOD(8-WEEKDAY(DATE(VALUE(LEFT(C27,4)),11,1)),7)+TIME(6,0,0)), TIME(4,0,0),TIME(5,0,0)))</f>
        <v/>
      </c>
      <c r="E27" s="3">
        <f>IF(D27="","",MOD(D27,1))</f>
        <v/>
      </c>
      <c r="F27">
        <f>IF(D27="","",TEXT(D27,"mmm"))</f>
        <v/>
      </c>
      <c r="G27">
        <f>IF(D27="","",YEAR(D27))</f>
        <v/>
      </c>
      <c r="H27">
        <f>IF(D27="","",HOUR(D27))</f>
        <v/>
      </c>
      <c r="I27" t="inlineStr">
        <is>
          <t>WFM-2026-1939</t>
        </is>
      </c>
      <c r="J27" t="inlineStr">
        <is>
          <t>FIRE||TRANSPORTATION_FIRE||VEHICLE_FIRE_PASSENGER</t>
        </is>
      </c>
      <c r="K27" t="inlineStr"/>
      <c r="L27" t="inlineStr"/>
      <c r="M27" t="inlineStr">
        <is>
          <t>Glen Charlie</t>
        </is>
      </c>
      <c r="N27" t="inlineStr">
        <is>
          <t>East Wareham</t>
        </is>
      </c>
      <c r="O27" t="inlineStr">
        <is>
          <t>MA</t>
        </is>
      </c>
      <c r="P27" t="inlineStr">
        <is>
          <t>02538</t>
        </is>
      </c>
      <c r="Q27" t="inlineStr">
        <is>
          <t>Plymouth County</t>
        </is>
      </c>
      <c r="R27" t="inlineStr">
        <is>
          <t>OUTDOOR</t>
        </is>
      </c>
      <c r="S27" t="inlineStr">
        <is>
          <t>CAMP_SITE</t>
        </is>
      </c>
      <c r="T27" t="inlineStr"/>
      <c r="U27" t="inlineStr"/>
      <c r="V27" t="inlineStr">
        <is>
          <t>FD25023455|WFM-2026-1939|1785167100</t>
        </is>
      </c>
      <c r="W27" t="inlineStr"/>
      <c r="X27" t="inlineStr"/>
      <c r="Y27" t="inlineStr"/>
      <c r="Z27" t="inlineStr"/>
      <c r="AA27" t="inlineStr"/>
      <c r="AB27" t="inlineStr"/>
      <c r="AC27" t="inlineStr">
        <is>
          <t>ELECTRIC_VEHICLE||LIGHT_EV_NRR||FUEL_CELL</t>
        </is>
      </c>
      <c r="AD27" t="inlineStr"/>
      <c r="AE27" t="inlineStr"/>
      <c r="AF27" t="inlineStr"/>
      <c r="AG27" t="inlineStr"/>
      <c r="AH27" t="inlineStr"/>
      <c r="AI27" t="inlineStr"/>
      <c r="AJ27" t="inlineStr"/>
      <c r="AK27" t="inlineStr"/>
      <c r="AL27" t="inlineStr"/>
      <c r="AM27" t="inlineStr"/>
      <c r="AN27" t="inlineStr"/>
      <c r="AO27" t="inlineStr"/>
      <c r="AP27" t="inlineStr"/>
      <c r="AQ27" t="inlineStr"/>
      <c r="AR27" t="inlineStr"/>
      <c r="AS27" t="inlineStr"/>
      <c r="AT27" t="n">
        <v>0</v>
      </c>
      <c r="AU27" t="n">
        <v>0</v>
      </c>
      <c r="AV27" t="n">
        <v>0</v>
      </c>
      <c r="AW27" t="n">
        <v>0</v>
      </c>
    </row>
    <row r="28">
      <c r="A28" t="inlineStr">
        <is>
          <t>FD25017107</t>
        </is>
      </c>
      <c r="B28" t="inlineStr">
        <is>
          <t>Melrose Fire Department</t>
        </is>
      </c>
      <c r="C28" t="inlineStr">
        <is>
          <t>2026-07-26T21:12:34+00:00</t>
        </is>
      </c>
      <c r="D28" s="2">
        <f>IF(C28="","",DATE(VALUE(LEFT(C28,4)),VALUE(MID(C28,6,2)),VALUE(MID(C28,9,2)))+TIME(VALUE(MID(C28,12,2)),VALUE(MID(C28,15,2)),VALUE(MID(C28,18,2)))-IF(AND(DATE(VALUE(LEFT(C28,4)),VALUE(MID(C28,6,2)),VALUE(MID(C28,9,2)))+TIME(VALUE(MID(C28,12,2)),VALUE(MID(C28,15,2)),VALUE(MID(C28,18,2)))&gt;=DATE(VALUE(LEFT(C28,4)),3,1)+MOD(8-WEEKDAY(DATE(VALUE(LEFT(C28,4)),3,1)),7)+7+TIME(7,0,0),DATE(VALUE(LEFT(C28,4)),3,1)+MOD(8-WEEKDAY(DATE(VALUE(LEFT(C28,4)),3,1)),7)+7+TIME(7,0,0)&lt;DATE(VALUE(LEFT(C28,4)),11,1)+MOD(8-WEEKDAY(DATE(VALUE(LEFT(C28,4)),11,1)),7)+TIME(6,0,0)), TIME(4,0,0),TIME(5,0,0)))</f>
        <v/>
      </c>
      <c r="E28" s="3">
        <f>IF(D28="","",MOD(D28,1))</f>
        <v/>
      </c>
      <c r="F28">
        <f>IF(D28="","",TEXT(D28,"mmm"))</f>
        <v/>
      </c>
      <c r="G28">
        <f>IF(D28="","",YEAR(D28))</f>
        <v/>
      </c>
      <c r="H28">
        <f>IF(D28="","",HOUR(D28))</f>
        <v/>
      </c>
      <c r="I28" t="inlineStr">
        <is>
          <t>26-2422</t>
        </is>
      </c>
      <c r="J28" t="inlineStr">
        <is>
          <t>FIRE||STRUCTURE_FIRE||ROOM_AND_CONTENTS_FIRE</t>
        </is>
      </c>
      <c r="K28" t="inlineStr"/>
      <c r="L28" t="inlineStr"/>
      <c r="M28" t="inlineStr">
        <is>
          <t>50 PARK</t>
        </is>
      </c>
      <c r="N28" t="inlineStr"/>
      <c r="O28" t="inlineStr">
        <is>
          <t>MA</t>
        </is>
      </c>
      <c r="P28" t="inlineStr">
        <is>
          <t>02176</t>
        </is>
      </c>
      <c r="Q28" t="inlineStr">
        <is>
          <t>Middlesex County</t>
        </is>
      </c>
      <c r="R28" t="inlineStr"/>
      <c r="S28" t="inlineStr"/>
      <c r="T28" t="inlineStr"/>
      <c r="U28" t="inlineStr"/>
      <c r="V28" t="inlineStr">
        <is>
          <t>FD25017107|26-2422|1785100354</t>
        </is>
      </c>
      <c r="W28" t="inlineStr"/>
      <c r="X28" t="inlineStr"/>
      <c r="Y28" t="inlineStr"/>
      <c r="Z28" t="inlineStr"/>
      <c r="AA28" t="inlineStr"/>
      <c r="AB28" t="inlineStr"/>
      <c r="AC28" t="inlineStr">
        <is>
          <t>CONSUMER_PRODUCTS||OTHER</t>
        </is>
      </c>
      <c r="AD28" t="inlineStr">
        <is>
          <t>SOURCE</t>
        </is>
      </c>
      <c r="AE28" t="inlineStr"/>
      <c r="AF28" t="inlineStr"/>
      <c r="AG28" t="inlineStr"/>
      <c r="AH28" t="inlineStr"/>
      <c r="AI28" t="inlineStr"/>
      <c r="AJ28" t="inlineStr"/>
      <c r="AK28" t="inlineStr"/>
      <c r="AL28" t="inlineStr"/>
      <c r="AM28" t="inlineStr"/>
      <c r="AN28" t="inlineStr"/>
      <c r="AO28" t="inlineStr"/>
      <c r="AP28" t="inlineStr"/>
      <c r="AQ28" t="inlineStr"/>
      <c r="AR28" t="inlineStr"/>
      <c r="AS28" t="inlineStr"/>
      <c r="AT28" t="n">
        <v>0</v>
      </c>
      <c r="AU28" t="n">
        <v>0</v>
      </c>
      <c r="AV28" t="n">
        <v>0</v>
      </c>
      <c r="AW28" t="n">
        <v>0</v>
      </c>
    </row>
    <row r="29">
      <c r="A29" t="inlineStr">
        <is>
          <t>FD25005492</t>
        </is>
      </c>
      <c r="B29" t="inlineStr">
        <is>
          <t>Town Of North Attleboro Fire Department</t>
        </is>
      </c>
      <c r="C29" t="inlineStr">
        <is>
          <t>2026-07-25T21:28:22+00:00</t>
        </is>
      </c>
      <c r="D29" s="2">
        <f>IF(C29="","",DATE(VALUE(LEFT(C29,4)),VALUE(MID(C29,6,2)),VALUE(MID(C29,9,2)))+TIME(VALUE(MID(C29,12,2)),VALUE(MID(C29,15,2)),VALUE(MID(C29,18,2)))-IF(AND(DATE(VALUE(LEFT(C29,4)),VALUE(MID(C29,6,2)),VALUE(MID(C29,9,2)))+TIME(VALUE(MID(C29,12,2)),VALUE(MID(C29,15,2)),VALUE(MID(C29,18,2)))&gt;=DATE(VALUE(LEFT(C29,4)),3,1)+MOD(8-WEEKDAY(DATE(VALUE(LEFT(C29,4)),3,1)),7)+7+TIME(7,0,0),DATE(VALUE(LEFT(C29,4)),3,1)+MOD(8-WEEKDAY(DATE(VALUE(LEFT(C29,4)),3,1)),7)+7+TIME(7,0,0)&lt;DATE(VALUE(LEFT(C29,4)),11,1)+MOD(8-WEEKDAY(DATE(VALUE(LEFT(C29,4)),11,1)),7)+TIME(6,0,0)), TIME(4,0,0),TIME(5,0,0)))</f>
        <v/>
      </c>
      <c r="E29" s="3">
        <f>IF(D29="","",MOD(D29,1))</f>
        <v/>
      </c>
      <c r="F29">
        <f>IF(D29="","",TEXT(D29,"mmm"))</f>
        <v/>
      </c>
      <c r="G29">
        <f>IF(D29="","",YEAR(D29))</f>
        <v/>
      </c>
      <c r="H29">
        <f>IF(D29="","",HOUR(D29))</f>
        <v/>
      </c>
      <c r="I29" t="inlineStr">
        <is>
          <t>2026003195</t>
        </is>
      </c>
      <c r="J29" t="inlineStr">
        <is>
          <t>HAZSIT||HAZARD_NONCHEM||ELEC_HAZARD_SHORT_CIRCUIT</t>
        </is>
      </c>
      <c r="K29" t="inlineStr"/>
      <c r="L29" t="inlineStr"/>
      <c r="M29" t="inlineStr">
        <is>
          <t>Adamsdale</t>
        </is>
      </c>
      <c r="N29" t="inlineStr">
        <is>
          <t>North Attleboro</t>
        </is>
      </c>
      <c r="O29" t="inlineStr">
        <is>
          <t>MA</t>
        </is>
      </c>
      <c r="P29" t="inlineStr">
        <is>
          <t>02760</t>
        </is>
      </c>
      <c r="Q29" t="inlineStr">
        <is>
          <t>Bristol County</t>
        </is>
      </c>
      <c r="R29" t="inlineStr">
        <is>
          <t>RESIDENTIAL</t>
        </is>
      </c>
      <c r="S29" t="inlineStr">
        <is>
          <t>DETATCHED_SINGLE_FAMILY_DWELLING</t>
        </is>
      </c>
      <c r="T29" t="inlineStr"/>
      <c r="U29" t="inlineStr"/>
      <c r="V29" t="inlineStr">
        <is>
          <t>FD25005492|2026003195|1785014961</t>
        </is>
      </c>
      <c r="W29" t="inlineStr"/>
      <c r="X29" t="inlineStr"/>
      <c r="Y29" t="inlineStr"/>
      <c r="Z29" t="inlineStr"/>
      <c r="AA29" t="inlineStr"/>
      <c r="AB29" t="inlineStr"/>
      <c r="AC29" t="inlineStr">
        <is>
          <t>CONSUMER_PRODUCTS||POWER_BANK</t>
        </is>
      </c>
      <c r="AD29" t="inlineStr"/>
      <c r="AE29" t="inlineStr"/>
      <c r="AF29" t="inlineStr"/>
      <c r="AG29" t="inlineStr"/>
      <c r="AH29" t="inlineStr"/>
      <c r="AI29" t="inlineStr"/>
      <c r="AJ29" t="inlineStr"/>
      <c r="AK29" t="inlineStr"/>
      <c r="AL29" t="inlineStr"/>
      <c r="AM29" t="inlineStr"/>
      <c r="AN29" t="inlineStr"/>
      <c r="AO29" t="inlineStr"/>
      <c r="AP29" t="inlineStr"/>
      <c r="AQ29" t="inlineStr"/>
      <c r="AR29" t="inlineStr"/>
      <c r="AS29" t="inlineStr"/>
      <c r="AT29" t="n">
        <v>0</v>
      </c>
      <c r="AU29" t="n">
        <v>0</v>
      </c>
      <c r="AV29" t="n">
        <v>0</v>
      </c>
      <c r="AW29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9" customWidth="1" min="1" max="1"/>
    <col width="12" customWidth="1" min="2" max="2"/>
  </cols>
  <sheetData>
    <row r="1">
      <c r="A1" s="1" t="inlineStr">
        <is>
          <t>Metric</t>
        </is>
      </c>
      <c r="B1" s="1" t="inlineStr">
        <is>
          <t>Count</t>
        </is>
      </c>
    </row>
    <row r="2">
      <c r="A2" t="inlineStr">
        <is>
          <t>Total Incidents Reported</t>
        </is>
      </c>
      <c r="B2" t="n">
        <v>28</v>
      </c>
    </row>
    <row r="3">
      <c r="A3" t="inlineStr">
        <is>
          <t>Battery-Related Structure Fires</t>
        </is>
      </c>
      <c r="B3" t="n">
        <v>0</v>
      </c>
    </row>
    <row r="4">
      <c r="A4" t="inlineStr">
        <is>
          <t>Battery-Related Outside Fires</t>
        </is>
      </c>
      <c r="B4" t="n">
        <v>0</v>
      </c>
    </row>
    <row r="5">
      <c r="A5" t="inlineStr">
        <is>
          <t>Electric Vehicle Related</t>
        </is>
      </c>
      <c r="B5" t="n">
        <v>0</v>
      </c>
    </row>
    <row r="6">
      <c r="A6" t="inlineStr">
        <is>
          <t>Incidents with Electric Hazards</t>
        </is>
      </c>
      <c r="B6" t="n">
        <v>28</v>
      </c>
    </row>
    <row r="7">
      <c r="A7" t="inlineStr">
        <is>
          <t>Thermal Runaway Events</t>
        </is>
      </c>
      <c r="B7" t="n">
        <v>0</v>
      </c>
    </row>
    <row r="8">
      <c r="A8" t="inlineStr">
        <is>
          <t>Incidents with Original Battery Info</t>
        </is>
      </c>
      <c r="B8" t="n">
        <v>0</v>
      </c>
    </row>
    <row r="9">
      <c r="A9" t="inlineStr">
        <is>
          <t>Incidents with Battery Chemistry Info</t>
        </is>
      </c>
      <c r="B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36" customWidth="1" min="1" max="1"/>
    <col width="85" customWidth="1" min="2" max="2"/>
  </cols>
  <sheetData>
    <row r="1">
      <c r="A1" s="4" t="inlineStr">
        <is>
          <t>Report source</t>
        </is>
      </c>
      <c r="B1" s="4" t="inlineStr">
        <is>
          <t>IncidentPull_LithiumIonBatteries.py</t>
        </is>
      </c>
    </row>
    <row r="2">
      <c r="A2" t="inlineStr">
        <is>
          <t>Report date/range</t>
        </is>
      </c>
      <c r="B2" t="inlineStr">
        <is>
          <t>2026-07-25T21:29:21+00:00 through 2026-09-03T16:53:34+00:00 (observed incident timestamps)</t>
        </is>
      </c>
    </row>
    <row r="3">
      <c r="A3" t="inlineStr">
        <is>
          <t>Generated at</t>
        </is>
      </c>
      <c r="B3" t="inlineStr">
        <is>
          <t>2026-09-04T11:33:51-04:00</t>
        </is>
      </c>
    </row>
    <row r="5">
      <c r="A5" s="4" t="inlineStr">
        <is>
          <t>Report Type</t>
        </is>
      </c>
      <c r="B5" s="4" t="inlineStr">
        <is>
          <t>Lithium-ion Battery Fires</t>
        </is>
      </c>
    </row>
    <row r="6">
      <c r="A6" t="inlineStr">
        <is>
          <t>Date Range</t>
        </is>
      </c>
      <c r="B6" t="inlineStr">
        <is>
          <t>Occurred in current calendar year to date</t>
        </is>
      </c>
    </row>
    <row r="7">
      <c r="A7" t="inlineStr">
        <is>
          <t>Entity Filter</t>
        </is>
      </c>
      <c r="B7" t="inlineStr">
        <is>
          <t>Statewide</t>
        </is>
      </c>
    </row>
    <row r="8">
      <c r="A8" t="inlineStr">
        <is>
          <t>Included sheets</t>
        </is>
      </c>
      <c r="B8" t="inlineStr">
        <is>
          <t>Incident Details, Summary, Report Sources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2026-09-04T15:33:51Z</dcterms:created>
  <dcterms:modified xsi:type="dcterms:W3CDTF">2026-09-04T15:33:51Z</dcterms:modified>
</cp:coreProperties>
</file>