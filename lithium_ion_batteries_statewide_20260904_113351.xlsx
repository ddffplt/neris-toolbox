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7862D061-0164-46D7-8223-15D6DD7ADF38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Incident Details" sheetId="1" r:id="rId1"/>
    <sheet name="Summary" sheetId="2" r:id="rId2"/>
    <sheet name="Report Sourc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 s="1"/>
  <c r="D28" i="1"/>
  <c r="H28" i="1" s="1"/>
  <c r="D27" i="1"/>
  <c r="G27" i="1" s="1"/>
  <c r="D26" i="1"/>
  <c r="G26" i="1" s="1"/>
  <c r="D25" i="1"/>
  <c r="H25" i="1" s="1"/>
  <c r="D24" i="1"/>
  <c r="E24" i="1" s="1"/>
  <c r="D23" i="1"/>
  <c r="F23" i="1" s="1"/>
  <c r="D22" i="1"/>
  <c r="G22" i="1" s="1"/>
  <c r="D21" i="1"/>
  <c r="G21" i="1" s="1"/>
  <c r="D20" i="1"/>
  <c r="E20" i="1" s="1"/>
  <c r="D19" i="1"/>
  <c r="F19" i="1" s="1"/>
  <c r="D18" i="1"/>
  <c r="G18" i="1" s="1"/>
  <c r="D17" i="1"/>
  <c r="H17" i="1" s="1"/>
  <c r="D16" i="1"/>
  <c r="G16" i="1" s="1"/>
  <c r="D15" i="1"/>
  <c r="F15" i="1" s="1"/>
  <c r="D14" i="1"/>
  <c r="G14" i="1" s="1"/>
  <c r="D13" i="1"/>
  <c r="H13" i="1" s="1"/>
  <c r="D12" i="1"/>
  <c r="E12" i="1" s="1"/>
  <c r="D11" i="1"/>
  <c r="F11" i="1" s="1"/>
  <c r="D10" i="1"/>
  <c r="G10" i="1" s="1"/>
  <c r="D9" i="1"/>
  <c r="H9" i="1" s="1"/>
  <c r="D8" i="1"/>
  <c r="E8" i="1" s="1"/>
  <c r="D7" i="1"/>
  <c r="F7" i="1" s="1"/>
  <c r="D6" i="1"/>
  <c r="G6" i="1" s="1"/>
  <c r="D5" i="1"/>
  <c r="G5" i="1" s="1"/>
  <c r="D4" i="1"/>
  <c r="E4" i="1" s="1"/>
  <c r="D3" i="1"/>
  <c r="F3" i="1" s="1"/>
  <c r="D2" i="1"/>
  <c r="G2" i="1" s="1"/>
  <c r="E26" i="1" l="1"/>
  <c r="H5" i="1"/>
  <c r="H26" i="1"/>
  <c r="G28" i="1"/>
  <c r="H24" i="1"/>
  <c r="G8" i="1"/>
  <c r="H14" i="1"/>
  <c r="H21" i="1"/>
  <c r="G29" i="1"/>
  <c r="H8" i="1"/>
  <c r="H29" i="1"/>
  <c r="F8" i="1"/>
  <c r="F26" i="1"/>
  <c r="F24" i="1"/>
  <c r="G24" i="1"/>
  <c r="E5" i="1"/>
  <c r="G11" i="1"/>
  <c r="H16" i="1"/>
  <c r="E21" i="1"/>
  <c r="F5" i="1"/>
  <c r="H11" i="1"/>
  <c r="E14" i="1"/>
  <c r="F21" i="1"/>
  <c r="F29" i="1"/>
  <c r="G3" i="1"/>
  <c r="E13" i="1"/>
  <c r="G19" i="1"/>
  <c r="H27" i="1"/>
  <c r="H3" i="1"/>
  <c r="E6" i="1"/>
  <c r="F13" i="1"/>
  <c r="E16" i="1"/>
  <c r="H19" i="1"/>
  <c r="E22" i="1"/>
  <c r="H6" i="1"/>
  <c r="G13" i="1"/>
  <c r="F16" i="1"/>
  <c r="H22" i="1"/>
  <c r="E28" i="1"/>
  <c r="E2" i="1"/>
  <c r="H2" i="1"/>
  <c r="F4" i="1"/>
  <c r="G7" i="1"/>
  <c r="E9" i="1"/>
  <c r="H10" i="1"/>
  <c r="F12" i="1"/>
  <c r="G15" i="1"/>
  <c r="E17" i="1"/>
  <c r="H18" i="1"/>
  <c r="F20" i="1"/>
  <c r="G23" i="1"/>
  <c r="E25" i="1"/>
  <c r="F28" i="1"/>
  <c r="E10" i="1"/>
  <c r="E23" i="1"/>
  <c r="G4" i="1"/>
  <c r="H7" i="1"/>
  <c r="F9" i="1"/>
  <c r="G12" i="1"/>
  <c r="H15" i="1"/>
  <c r="F17" i="1"/>
  <c r="G20" i="1"/>
  <c r="H23" i="1"/>
  <c r="F25" i="1"/>
  <c r="E3" i="1"/>
  <c r="H4" i="1"/>
  <c r="F6" i="1"/>
  <c r="G9" i="1"/>
  <c r="E11" i="1"/>
  <c r="H12" i="1"/>
  <c r="F14" i="1"/>
  <c r="G17" i="1"/>
  <c r="E19" i="1"/>
  <c r="H20" i="1"/>
  <c r="F22" i="1"/>
  <c r="G25" i="1"/>
  <c r="E27" i="1"/>
  <c r="E18" i="1"/>
  <c r="E7" i="1"/>
  <c r="F10" i="1"/>
  <c r="E15" i="1"/>
  <c r="F18" i="1"/>
  <c r="F27" i="1"/>
  <c r="F2" i="1"/>
</calcChain>
</file>

<file path=xl/sharedStrings.xml><?xml version="1.0" encoding="utf-8"?>
<sst xmlns="http://schemas.openxmlformats.org/spreadsheetml/2006/main" count="460" uniqueCount="301">
  <si>
    <t>Entity ID</t>
  </si>
  <si>
    <t>Department Name</t>
  </si>
  <si>
    <t>Incident Date/Time (UTC)</t>
  </si>
  <si>
    <t>Incident Date</t>
  </si>
  <si>
    <t>Incident Time</t>
  </si>
  <si>
    <t>Incident Month</t>
  </si>
  <si>
    <t>Incident Year</t>
  </si>
  <si>
    <t>Incident Hour</t>
  </si>
  <si>
    <t>Incident Number</t>
  </si>
  <si>
    <t>Primary Incident Type</t>
  </si>
  <si>
    <t>Secondary Incident Type</t>
  </si>
  <si>
    <t>Tertiary Incident Type</t>
  </si>
  <si>
    <t>Address</t>
  </si>
  <si>
    <t>City</t>
  </si>
  <si>
    <t>State</t>
  </si>
  <si>
    <t>Zip Code</t>
  </si>
  <si>
    <t>County</t>
  </si>
  <si>
    <t>Primary Location Use</t>
  </si>
  <si>
    <t>Secondary Location Use</t>
  </si>
  <si>
    <t>Latitude</t>
  </si>
  <si>
    <t>Longitude</t>
  </si>
  <si>
    <t>NERIS ID</t>
  </si>
  <si>
    <t>Structure Fire Cause - Battery_Power_storage</t>
  </si>
  <si>
    <t>Outside Fire Cause - Battery_Power_storage</t>
  </si>
  <si>
    <t>Electric Vehicle Status</t>
  </si>
  <si>
    <t>Electric Reignition</t>
  </si>
  <si>
    <t>Electric Suppression</t>
  </si>
  <si>
    <t>Electric Target</t>
  </si>
  <si>
    <t>Electric Hazard Types</t>
  </si>
  <si>
    <t>Electric Hazard Source/Target</t>
  </si>
  <si>
    <t>Electric Hazard Electrification Hazard</t>
  </si>
  <si>
    <t>Electric Hazard Battery Powered/Stored Energy Category</t>
  </si>
  <si>
    <t>Electric Hazard Specific Type</t>
  </si>
  <si>
    <t>Product Type</t>
  </si>
  <si>
    <t>Original Battery</t>
  </si>
  <si>
    <t>Installation Status</t>
  </si>
  <si>
    <t>Safety Listed</t>
  </si>
  <si>
    <t>Vehicle Battery</t>
  </si>
  <si>
    <t>Charging at Ignition</t>
  </si>
  <si>
    <t>Incident Indoor/Outdoor</t>
  </si>
  <si>
    <t>Impacted from Source</t>
  </si>
  <si>
    <t>Thermal Runaway</t>
  </si>
  <si>
    <t>FD Suppression</t>
  </si>
  <si>
    <t>Battery Cell</t>
  </si>
  <si>
    <t>Battery Chemistry</t>
  </si>
  <si>
    <t>Civilian Deaths</t>
  </si>
  <si>
    <t>Civilian Injuries</t>
  </si>
  <si>
    <t>Firefighter Deaths</t>
  </si>
  <si>
    <t>Firefighter Injuries</t>
  </si>
  <si>
    <t>FD25017814</t>
  </si>
  <si>
    <t>City Of Somerville Fire Deparment</t>
  </si>
  <si>
    <t>2026-09-03T16:53:34+00:00</t>
  </si>
  <si>
    <t>26-10576</t>
  </si>
  <si>
    <t>NOEMERG||GOOD_INTENT||INVESTIGATE_HAZARDOUS_RELEASE</t>
  </si>
  <si>
    <t>Dartmouth</t>
  </si>
  <si>
    <t>Somerville</t>
  </si>
  <si>
    <t>MA</t>
  </si>
  <si>
    <t>02145</t>
  </si>
  <si>
    <t>Middlesex County</t>
  </si>
  <si>
    <t>ROADWAY_ACCESS</t>
  </si>
  <si>
    <t>SIDEWALK</t>
  </si>
  <si>
    <t>FD25017814|26-10576|1788454414</t>
  </si>
  <si>
    <t>CONSUMER_PRODUCTS||CELL_PHONE</t>
  </si>
  <si>
    <t>SOURCE</t>
  </si>
  <si>
    <t>FD25001274</t>
  </si>
  <si>
    <t>Falmouth Fire/ Rescue</t>
  </si>
  <si>
    <t>2026-09-03T14:15:43+00:00</t>
  </si>
  <si>
    <t>26-022485</t>
  </si>
  <si>
    <t>HAZSIT||HAZARD_NONCHEM||ELEC_HAZARD_SHORT_CIRCUIT</t>
  </si>
  <si>
    <t>37 GRAY LANE</t>
  </si>
  <si>
    <t>02543</t>
  </si>
  <si>
    <t>Barnstable</t>
  </si>
  <si>
    <t>RESIDENTIAL</t>
  </si>
  <si>
    <t>DETATCHED_SINGLE_FAMILY_DWELLING</t>
  </si>
  <si>
    <t>FD25001274|26-022485|1788444943</t>
  </si>
  <si>
    <t>ENERGY_STORAGE_SYSTEM||BATTERY</t>
  </si>
  <si>
    <t>FD25023065</t>
  </si>
  <si>
    <t>Plymouth Fire Department</t>
  </si>
  <si>
    <t>2026-09-02T16:47:36+00:00</t>
  </si>
  <si>
    <t>2026009962</t>
  </si>
  <si>
    <t>HAZSIT||OVERPRESSURE||RUPTURE_WITHOUT_FIRE</t>
  </si>
  <si>
    <t>64 PALMER ROAD</t>
  </si>
  <si>
    <t>PLYMOUTH</t>
  </si>
  <si>
    <t>02360</t>
  </si>
  <si>
    <t>FD25023065|2026009962|1788367656</t>
  </si>
  <si>
    <t>CONSUMER_PRODUCTS||APPLIANCE_TOOL</t>
  </si>
  <si>
    <t>FD25025316</t>
  </si>
  <si>
    <t>Boston Fire Department</t>
  </si>
  <si>
    <t>2026-09-01T02:54:51+00:00</t>
  </si>
  <si>
    <t>26-0062237</t>
  </si>
  <si>
    <t>HAMILTON ST</t>
  </si>
  <si>
    <t>02125</t>
  </si>
  <si>
    <t>SUFFOLK</t>
  </si>
  <si>
    <t>MULTI_FAMILY_LOWRISE_DWELLING</t>
  </si>
  <si>
    <t>FD25025316|26-0062237|1788231291</t>
  </si>
  <si>
    <t>CONSUMER_PRODUCTS||OTHER</t>
  </si>
  <si>
    <t>2026-08-31T13:01:06+00:00</t>
  </si>
  <si>
    <t>26-0062028</t>
  </si>
  <si>
    <t>FIRE||STRUCTURE_FIRE||STRUCTURAL_INVOLVEMENT_FIRE</t>
  </si>
  <si>
    <t>N BEACON ST</t>
  </si>
  <si>
    <t>02135</t>
  </si>
  <si>
    <t>FD25025316|26-0062028|1788181266</t>
  </si>
  <si>
    <t>E_MOBILITY||ELECTRIC_SCOOTER_MOPED</t>
  </si>
  <si>
    <t>UNKNOWN</t>
  </si>
  <si>
    <t>2026-08-28T04:22:03+00:00</t>
  </si>
  <si>
    <t>26-0061151</t>
  </si>
  <si>
    <t>FIRE||STRUCTURE_FIRE||CONFINED_COOKING_APPLIANCE_FIRE</t>
  </si>
  <si>
    <t>HARRISON AVE</t>
  </si>
  <si>
    <t>02118</t>
  </si>
  <si>
    <t>MULTI_FAMILY_HIGHRISE_DWELLING</t>
  </si>
  <si>
    <t>FD25025316|26-0061151|1787890923</t>
  </si>
  <si>
    <t>2026-08-27T17:24:00+00:00</t>
  </si>
  <si>
    <t>26-0061002</t>
  </si>
  <si>
    <t>BOYLSTON ST</t>
  </si>
  <si>
    <t>02130</t>
  </si>
  <si>
    <t>FD25025316|26-0061002|1787851440</t>
  </si>
  <si>
    <t>CONSUMER_PRODUCTS||POWER_BANK</t>
  </si>
  <si>
    <t>2026-08-24T21:37:11+00:00</t>
  </si>
  <si>
    <t>26-0060313</t>
  </si>
  <si>
    <t>HAZSIT||OVERPRESSURE||NO_RUPTURE</t>
  </si>
  <si>
    <t>COLUMBIA RD</t>
  </si>
  <si>
    <t>02127</t>
  </si>
  <si>
    <t>STREET</t>
  </si>
  <si>
    <t>FD25025316|26-0060313|1787607431</t>
  </si>
  <si>
    <t>2026-08-24T10:44:00+00:00</t>
  </si>
  <si>
    <t>26-0060150</t>
  </si>
  <si>
    <t>FIRE||OUTSIDE_FIRE||UTILITY_INFRASTRUCTURE_FIRE</t>
  </si>
  <si>
    <t>FREEPORT ST / ELLSWORTH ST</t>
  </si>
  <si>
    <t>02122</t>
  </si>
  <si>
    <t>FD25025316|26-0060150|1787568240</t>
  </si>
  <si>
    <t>ENERGY_STORAGE_SYSTEM||OTHER</t>
  </si>
  <si>
    <t>2026-08-18T16:12:58+00:00</t>
  </si>
  <si>
    <t>26-0058698</t>
  </si>
  <si>
    <t>PUBSERV||CITIZEN_ASSIST||CITIZEN_ASSIST_SERVICE_CALL</t>
  </si>
  <si>
    <t>FIRE||SPECIAL_FIRE||EXPLOSION</t>
  </si>
  <si>
    <t>S HUNTINGTON AVE</t>
  </si>
  <si>
    <t>FD25025316|26-0058698|1787069578</t>
  </si>
  <si>
    <t>2026-08-18T14:49:09+00:00</t>
  </si>
  <si>
    <t>26-0058670</t>
  </si>
  <si>
    <t>FD25025316|26-0058670|1787064549</t>
  </si>
  <si>
    <t>2026-08-17T05:42:09+00:00</t>
  </si>
  <si>
    <t>26-0058323</t>
  </si>
  <si>
    <t>HAZSIT||HAZARD_NONCHEM||MOTOR_VEHICLE_COLLISION</t>
  </si>
  <si>
    <t>BRAY ST / COLUMBUS AVE</t>
  </si>
  <si>
    <t>02119</t>
  </si>
  <si>
    <t>DETATCHED_GARAGE</t>
  </si>
  <si>
    <t>FD25025316|26-0058323|1786945329</t>
  </si>
  <si>
    <t>FD25027451</t>
  </si>
  <si>
    <t>Town Of Northborough Fire Department</t>
  </si>
  <si>
    <t>2026-08-15T21:42:16+00:00</t>
  </si>
  <si>
    <t>26-0001637_639224322613616029</t>
  </si>
  <si>
    <t>Church Apt A 4</t>
  </si>
  <si>
    <t>Northborough</t>
  </si>
  <si>
    <t>01532</t>
  </si>
  <si>
    <t>Worcester County</t>
  </si>
  <si>
    <t>FD25027451|26-0001637_639224322613616029|1786830136</t>
  </si>
  <si>
    <t>2026-08-13T11:19:33+00:00</t>
  </si>
  <si>
    <t>26-0057325</t>
  </si>
  <si>
    <t>FIRE||OUTSIDE_FIRE||TRASH_RUBBISH_FIRE</t>
  </si>
  <si>
    <t>ASHMONT ST / RUNDEL PARK</t>
  </si>
  <si>
    <t>02124</t>
  </si>
  <si>
    <t>FD25025316|26-0057325|1786619973</t>
  </si>
  <si>
    <t>FD25017808</t>
  </si>
  <si>
    <t>Town Of Stoneham Fire Department</t>
  </si>
  <si>
    <t>2026-08-10T11:20:06+00:00</t>
  </si>
  <si>
    <t>26-2624</t>
  </si>
  <si>
    <t>FIRE||STRUCTURE_FIRE||ROOM_AND_CONTENTS_FIRE</t>
  </si>
  <si>
    <t>Gracewood</t>
  </si>
  <si>
    <t>Stoneham</t>
  </si>
  <si>
    <t>02180</t>
  </si>
  <si>
    <t>ATTACHED_SINGLE_FAMILY_DWELLING</t>
  </si>
  <si>
    <t>FD25017808|26-2624|1786360806</t>
  </si>
  <si>
    <t>2026-08-08T21:16:11+00:00</t>
  </si>
  <si>
    <t>26-0056139</t>
  </si>
  <si>
    <t>WASHINGTON ST</t>
  </si>
  <si>
    <t>FD25025316|26-0056139|1786223771</t>
  </si>
  <si>
    <t>FD25023251</t>
  </si>
  <si>
    <t>Hanson Fire Department</t>
  </si>
  <si>
    <t>2026-08-07T13:03:15+00:00</t>
  </si>
  <si>
    <t>2026001501</t>
  </si>
  <si>
    <t>211 STATION ST</t>
  </si>
  <si>
    <t>HANSON</t>
  </si>
  <si>
    <t>02341</t>
  </si>
  <si>
    <t>INDUSTRIAL</t>
  </si>
  <si>
    <t>LIGHT</t>
  </si>
  <si>
    <t>FD25023251|2026001501|1786107795</t>
  </si>
  <si>
    <t>2026-08-07T02:52:37+00:00</t>
  </si>
  <si>
    <t>26-0055624</t>
  </si>
  <si>
    <t>BLUEFIELD TER</t>
  </si>
  <si>
    <t>02126</t>
  </si>
  <si>
    <t>FD25025316|26-0055624|1786071157</t>
  </si>
  <si>
    <t>CONSUMER_PRODUCTS||OTHER||CONSUMER_PRODUCTS||APPLIANCE_TOOL</t>
  </si>
  <si>
    <t>FD25017401</t>
  </si>
  <si>
    <t>Groton Fire Department</t>
  </si>
  <si>
    <t>2026-08-05T16:13:00+00:00</t>
  </si>
  <si>
    <t>26-41258_639217213465817871</t>
  </si>
  <si>
    <t>FIRE||TRANSPORTATION_FIRE||VEHICLE_FIRE_PASSENGER</t>
  </si>
  <si>
    <t>Gay</t>
  </si>
  <si>
    <t>Groton</t>
  </si>
  <si>
    <t>01450</t>
  </si>
  <si>
    <t>FD25017401|26-41258_639217213465817871|1785946507</t>
  </si>
  <si>
    <t>ELECTRIC_VEHICLE||CAR_RR||FULL_ELECTRIC</t>
  </si>
  <si>
    <t>FD25027116</t>
  </si>
  <si>
    <t>Douglas Fire Department</t>
  </si>
  <si>
    <t>2026-08-04T13:23:00+00:00</t>
  </si>
  <si>
    <t>26-849-IN_639216671338379984</t>
  </si>
  <si>
    <t>Oak</t>
  </si>
  <si>
    <t>Douglas</t>
  </si>
  <si>
    <t>01516</t>
  </si>
  <si>
    <t>UTILITY_MISC</t>
  </si>
  <si>
    <t>ENERGY_FACILITY_INFRASTRUCTURE</t>
  </si>
  <si>
    <t>FD25027116|26-849-IN_639216671338379984|1785849870</t>
  </si>
  <si>
    <t>TARGET</t>
  </si>
  <si>
    <t>2026-08-03T13:35:50+00:00</t>
  </si>
  <si>
    <t>26-0054565</t>
  </si>
  <si>
    <t>BEACON ST / FAIRMOUNT AVE</t>
  </si>
  <si>
    <t>02136</t>
  </si>
  <si>
    <t>FD25025316|26-0054565|1785764150</t>
  </si>
  <si>
    <t>FD25017955</t>
  </si>
  <si>
    <t>Stow Fire</t>
  </si>
  <si>
    <t>2026-08-02T21:36:00+00:00</t>
  </si>
  <si>
    <t>50e9ffbb-dd6d-4f62-8a00-70b42b453712</t>
  </si>
  <si>
    <t>Hudson</t>
  </si>
  <si>
    <t>Stow</t>
  </si>
  <si>
    <t>01775</t>
  </si>
  <si>
    <t>FD25017955|26-694|1785706560</t>
  </si>
  <si>
    <t>FD25027809</t>
  </si>
  <si>
    <t>Lunenburg Fire Department</t>
  </si>
  <si>
    <t>2026-07-30T11:50:32+00:00</t>
  </si>
  <si>
    <t>26-60265_639210171641425597</t>
  </si>
  <si>
    <t>HAZSIT||HAZARD_NONCHEM||ELEC_POWER_LINE_DOWN_ARCHING_MALFUNC</t>
  </si>
  <si>
    <t>Hemlock DRIVE</t>
  </si>
  <si>
    <t>01462</t>
  </si>
  <si>
    <t>FD25027809|26-60265_639210171641425597|1785412232</t>
  </si>
  <si>
    <t>2026-07-28T05:02:47+00:00</t>
  </si>
  <si>
    <t>26-0052873</t>
  </si>
  <si>
    <t>BENNINGTON ST</t>
  </si>
  <si>
    <t>02128</t>
  </si>
  <si>
    <t>FD25025316|26-0052873|1785214967</t>
  </si>
  <si>
    <t>FD25011903</t>
  </si>
  <si>
    <t>Wendell Fire Department</t>
  </si>
  <si>
    <t>2026-07-27T20:25:36+00:00</t>
  </si>
  <si>
    <t>0e950018-3f32-44f8-85e8-735b6a861289</t>
  </si>
  <si>
    <t>West STREET</t>
  </si>
  <si>
    <t>Wendell</t>
  </si>
  <si>
    <t>01379</t>
  </si>
  <si>
    <t>Franklin County</t>
  </si>
  <si>
    <t>OUTDOOR</t>
  </si>
  <si>
    <t>GROUND_VACANT_LAND</t>
  </si>
  <si>
    <t>FD25011903|1785870514|1785183936</t>
  </si>
  <si>
    <t>FD25023455</t>
  </si>
  <si>
    <t>Wareham Fire Department</t>
  </si>
  <si>
    <t>2026-07-27T15:45:00+00:00</t>
  </si>
  <si>
    <t>WFM-2026-1939</t>
  </si>
  <si>
    <t>Glen Charlie</t>
  </si>
  <si>
    <t>East Wareham</t>
  </si>
  <si>
    <t>02538</t>
  </si>
  <si>
    <t>Plymouth County</t>
  </si>
  <si>
    <t>CAMP_SITE</t>
  </si>
  <si>
    <t>FD25023455|WFM-2026-1939|1785167100</t>
  </si>
  <si>
    <t>ELECTRIC_VEHICLE||LIGHT_EV_NRR||FUEL_CELL</t>
  </si>
  <si>
    <t>FD25017107</t>
  </si>
  <si>
    <t>Melrose Fire Department</t>
  </si>
  <si>
    <t>2026-07-26T21:12:34+00:00</t>
  </si>
  <si>
    <t>26-2422</t>
  </si>
  <si>
    <t>50 PARK</t>
  </si>
  <si>
    <t>02176</t>
  </si>
  <si>
    <t>FD25017107|26-2422|1785100354</t>
  </si>
  <si>
    <t>FD25005492</t>
  </si>
  <si>
    <t>Town Of North Attleboro Fire Department</t>
  </si>
  <si>
    <t>2026-07-25T21:28:22+00:00</t>
  </si>
  <si>
    <t>2026003195</t>
  </si>
  <si>
    <t>Adamsdale</t>
  </si>
  <si>
    <t>North Attleboro</t>
  </si>
  <si>
    <t>02760</t>
  </si>
  <si>
    <t>Bristol County</t>
  </si>
  <si>
    <t>FD25005492|2026003195|1785014961</t>
  </si>
  <si>
    <t>Metric</t>
  </si>
  <si>
    <t>Count</t>
  </si>
  <si>
    <t>Total Incidents Reported</t>
  </si>
  <si>
    <t>Battery-Related Structure Fires</t>
  </si>
  <si>
    <t>Battery-Related Outside Fires</t>
  </si>
  <si>
    <t>Electric Vehicle Related</t>
  </si>
  <si>
    <t>Incidents with Electric Hazards</t>
  </si>
  <si>
    <t>Thermal Runaway Events</t>
  </si>
  <si>
    <t>Incidents with Original Battery Info</t>
  </si>
  <si>
    <t>Incidents with Battery Chemistry Info</t>
  </si>
  <si>
    <t>Report source</t>
  </si>
  <si>
    <t>IncidentPull_LithiumIonBatteries.py</t>
  </si>
  <si>
    <t>Report date/range</t>
  </si>
  <si>
    <t>2026-07-25T21:29:21+00:00 through 2026-09-03T16:53:34+00:00 (observed incident timestamps)</t>
  </si>
  <si>
    <t>Generated at</t>
  </si>
  <si>
    <t>2026-09-04T11:33:51-04:00</t>
  </si>
  <si>
    <t>Report Type</t>
  </si>
  <si>
    <t>Lithium-ion Battery Fires</t>
  </si>
  <si>
    <t>Date Range</t>
  </si>
  <si>
    <t>Occurred in current calendar year to date</t>
  </si>
  <si>
    <t>Entity Filter</t>
  </si>
  <si>
    <t>Statewide</t>
  </si>
  <si>
    <t>Included sheets</t>
  </si>
  <si>
    <t>Incident Details, Summary, Report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</si>
</sst>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"/>
    <numFmt numFmtId="165" formatCode="hh: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1" customWidth="1"/>
    <col min="3" max="3" width="27" customWidth="1"/>
    <col min="4" max="4" width="60" customWidth="1"/>
    <col min="5" max="5" width="27" customWidth="1"/>
    <col min="6" max="6" width="32" customWidth="1"/>
    <col min="7" max="8" width="26" customWidth="1"/>
    <col min="9" max="9" width="38" customWidth="1"/>
    <col min="10" max="10" width="60" customWidth="1"/>
    <col min="11" max="11" width="54" customWidth="1"/>
    <col min="12" max="12" width="31" customWidth="1"/>
    <col min="13" max="13" width="28" customWidth="1"/>
    <col min="14" max="14" width="17" customWidth="1"/>
    <col min="15" max="16" width="12" customWidth="1"/>
    <col min="17" max="17" width="18" customWidth="1"/>
    <col min="18" max="18" width="22" customWidth="1"/>
    <col min="19" max="19" width="34" customWidth="1"/>
    <col min="20" max="21" width="12" customWidth="1"/>
    <col min="22" max="22" width="53" customWidth="1"/>
    <col min="23" max="23" width="46" customWidth="1"/>
    <col min="24" max="24" width="44" customWidth="1"/>
    <col min="25" max="25" width="25" customWidth="1"/>
    <col min="26" max="26" width="21" customWidth="1"/>
    <col min="27" max="27" width="22" customWidth="1"/>
    <col min="28" max="28" width="17" customWidth="1"/>
    <col min="29" max="29" width="60" customWidth="1"/>
    <col min="30" max="30" width="31" customWidth="1"/>
    <col min="31" max="31" width="40" customWidth="1"/>
    <col min="32" max="32" width="56" customWidth="1"/>
    <col min="33" max="33" width="31" customWidth="1"/>
    <col min="34" max="34" width="14" customWidth="1"/>
    <col min="35" max="35" width="18" customWidth="1"/>
    <col min="36" max="36" width="21" customWidth="1"/>
    <col min="37" max="37" width="15" customWidth="1"/>
    <col min="38" max="38" width="17" customWidth="1"/>
    <col min="39" max="39" width="22" customWidth="1"/>
    <col min="40" max="40" width="25" customWidth="1"/>
    <col min="41" max="41" width="22" customWidth="1"/>
    <col min="42" max="42" width="17" customWidth="1"/>
    <col min="43" max="43" width="16" customWidth="1"/>
    <col min="44" max="44" width="14" customWidth="1"/>
    <col min="45" max="45" width="19" customWidth="1"/>
    <col min="46" max="46" width="17" customWidth="1"/>
    <col min="47" max="47" width="19" customWidth="1"/>
    <col min="48" max="48" width="20" customWidth="1"/>
    <col min="49" max="49" width="22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 s="2">
        <f t="shared" ref="D2:D29" si="0">IF(C2="","",DATE(VALUE(LEFT(C2,4)),VALUE(MID(C2,6,2)),VALUE(MID(C2,9,2)))+TIME(VALUE(MID(C2,12,2)),VALUE(MID(C2,15,2)),VALUE(MID(C2,18,2)))-IF(AND(DATE(VALUE(LEFT(C2,4)),VALUE(MID(C2,6,2)),VALUE(MID(C2,9,2)))+TIME(VALUE(MID(C2,12,2)),VALUE(MID(C2,15,2)),VALUE(MID(C2,18,2)))&gt;=DATE(VALUE(LEFT(C2,4)),3,1)+MOD(8-WEEKDAY(DATE(VALUE(LEFT(C2,4)),3,1)),7)+7+TIME(7,0,0),DATE(VALUE(LEFT(C2,4)),3,1)+MOD(8-WEEKDAY(DATE(VALUE(LEFT(C2,4)),3,1)),7)+7+TIME(7,0,0)&lt;DATE(VALUE(LEFT(C2,4)),11,1)+MOD(8-WEEKDAY(DATE(VALUE(LEFT(C2,4)),11,1)),7)+TIME(6,0,0)), TIME(4,0,0),TIME(5,0,0)))</f>
        <v>46268.537199074075</v>
      </c>
      <c r="E2" s="3">
        <f t="shared" ref="E2:E29" si="1">IF(D2="","",MOD(D2,1))</f>
        <v>0.53719907407503342</v>
      </c>
      <c r="F2" t="str">
        <f t="shared" ref="F2:F29" si="2">IF(D2="","",TEXT(D2,"mmm"))</f>
        <v>Sep</v>
      </c>
      <c r="G2">
        <f t="shared" ref="G2:G29" si="3">IF(D2="","",YEAR(D2))</f>
        <v>2026</v>
      </c>
      <c r="H2">
        <f t="shared" ref="H2:H29" si="4">IF(D2="","",HOUR(D2))</f>
        <v>12</v>
      </c>
      <c r="I2" t="s">
        <v>52</v>
      </c>
      <c r="J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V2" t="s">
        <v>61</v>
      </c>
      <c r="AC2" t="s">
        <v>62</v>
      </c>
      <c r="AD2" t="s">
        <v>63</v>
      </c>
      <c r="AT2">
        <v>0</v>
      </c>
      <c r="AU2">
        <v>0</v>
      </c>
      <c r="AV2">
        <v>0</v>
      </c>
      <c r="AW2">
        <v>0</v>
      </c>
    </row>
    <row r="3" spans="1:49" x14ac:dyDescent="0.25">
      <c r="A3" t="s">
        <v>64</v>
      </c>
      <c r="B3" t="s">
        <v>65</v>
      </c>
      <c r="C3" t="s">
        <v>66</v>
      </c>
      <c r="D3" s="2">
        <f t="shared" si="0"/>
        <v>46268.427581018521</v>
      </c>
      <c r="E3" s="3">
        <f t="shared" si="1"/>
        <v>0.42758101852086838</v>
      </c>
      <c r="F3" t="str">
        <f t="shared" si="2"/>
        <v>Sep</v>
      </c>
      <c r="G3">
        <f t="shared" si="3"/>
        <v>2026</v>
      </c>
      <c r="H3">
        <f t="shared" si="4"/>
        <v>10</v>
      </c>
      <c r="I3" t="s">
        <v>67</v>
      </c>
      <c r="J3" t="s">
        <v>68</v>
      </c>
      <c r="M3" t="s">
        <v>69</v>
      </c>
      <c r="O3" t="s">
        <v>56</v>
      </c>
      <c r="P3" t="s">
        <v>70</v>
      </c>
      <c r="Q3" t="s">
        <v>71</v>
      </c>
      <c r="R3" t="s">
        <v>72</v>
      </c>
      <c r="S3" t="s">
        <v>73</v>
      </c>
      <c r="V3" t="s">
        <v>74</v>
      </c>
      <c r="AC3" t="s">
        <v>75</v>
      </c>
      <c r="AD3" t="s">
        <v>63</v>
      </c>
      <c r="AT3">
        <v>0</v>
      </c>
      <c r="AU3">
        <v>0</v>
      </c>
      <c r="AV3">
        <v>0</v>
      </c>
      <c r="AW3">
        <v>0</v>
      </c>
    </row>
    <row r="4" spans="1:49" x14ac:dyDescent="0.25">
      <c r="A4" t="s">
        <v>76</v>
      </c>
      <c r="B4" t="s">
        <v>77</v>
      </c>
      <c r="C4" t="s">
        <v>78</v>
      </c>
      <c r="D4" s="2">
        <f t="shared" si="0"/>
        <v>46267.533055555556</v>
      </c>
      <c r="E4" s="3">
        <f t="shared" si="1"/>
        <v>0.53305555555562023</v>
      </c>
      <c r="F4" t="str">
        <f t="shared" si="2"/>
        <v>Sep</v>
      </c>
      <c r="G4">
        <f t="shared" si="3"/>
        <v>2026</v>
      </c>
      <c r="H4">
        <f t="shared" si="4"/>
        <v>12</v>
      </c>
      <c r="I4" t="s">
        <v>79</v>
      </c>
      <c r="J4" t="s">
        <v>80</v>
      </c>
      <c r="M4" t="s">
        <v>81</v>
      </c>
      <c r="N4" t="s">
        <v>82</v>
      </c>
      <c r="O4" t="s">
        <v>56</v>
      </c>
      <c r="P4" t="s">
        <v>83</v>
      </c>
      <c r="V4" t="s">
        <v>84</v>
      </c>
      <c r="AC4" t="s">
        <v>85</v>
      </c>
      <c r="AD4" t="s">
        <v>63</v>
      </c>
      <c r="AT4">
        <v>0</v>
      </c>
      <c r="AU4">
        <v>0</v>
      </c>
      <c r="AV4">
        <v>0</v>
      </c>
      <c r="AW4">
        <v>0</v>
      </c>
    </row>
    <row r="5" spans="1:49" x14ac:dyDescent="0.25">
      <c r="A5" t="s">
        <v>86</v>
      </c>
      <c r="B5" t="s">
        <v>87</v>
      </c>
      <c r="C5" t="s">
        <v>88</v>
      </c>
      <c r="D5" s="2">
        <f t="shared" si="0"/>
        <v>46265.954756944448</v>
      </c>
      <c r="E5" s="3">
        <f t="shared" si="1"/>
        <v>0.95475694444758119</v>
      </c>
      <c r="F5" t="str">
        <f t="shared" si="2"/>
        <v>Aug</v>
      </c>
      <c r="G5">
        <f t="shared" si="3"/>
        <v>2026</v>
      </c>
      <c r="H5">
        <f t="shared" si="4"/>
        <v>22</v>
      </c>
      <c r="I5" t="s">
        <v>89</v>
      </c>
      <c r="J5" t="s">
        <v>68</v>
      </c>
      <c r="M5" t="s">
        <v>90</v>
      </c>
      <c r="O5" t="s">
        <v>56</v>
      </c>
      <c r="P5" t="s">
        <v>91</v>
      </c>
      <c r="Q5" t="s">
        <v>92</v>
      </c>
      <c r="R5" t="s">
        <v>72</v>
      </c>
      <c r="S5" t="s">
        <v>93</v>
      </c>
      <c r="V5" t="s">
        <v>94</v>
      </c>
      <c r="AC5" t="s">
        <v>95</v>
      </c>
      <c r="AT5">
        <v>0</v>
      </c>
      <c r="AU5">
        <v>0</v>
      </c>
      <c r="AV5">
        <v>0</v>
      </c>
      <c r="AW5">
        <v>0</v>
      </c>
    </row>
    <row r="6" spans="1:49" x14ac:dyDescent="0.25">
      <c r="A6" t="s">
        <v>86</v>
      </c>
      <c r="B6" t="s">
        <v>87</v>
      </c>
      <c r="C6" t="s">
        <v>96</v>
      </c>
      <c r="D6" s="2">
        <f t="shared" si="0"/>
        <v>46265.375763888893</v>
      </c>
      <c r="E6" s="3">
        <f t="shared" si="1"/>
        <v>0.37576388889283407</v>
      </c>
      <c r="F6" t="str">
        <f t="shared" si="2"/>
        <v>Aug</v>
      </c>
      <c r="G6">
        <f t="shared" si="3"/>
        <v>2026</v>
      </c>
      <c r="H6">
        <f t="shared" si="4"/>
        <v>9</v>
      </c>
      <c r="I6" t="s">
        <v>97</v>
      </c>
      <c r="J6" t="s">
        <v>98</v>
      </c>
      <c r="M6" t="s">
        <v>99</v>
      </c>
      <c r="O6" t="s">
        <v>56</v>
      </c>
      <c r="P6" t="s">
        <v>100</v>
      </c>
      <c r="Q6" t="s">
        <v>92</v>
      </c>
      <c r="R6" t="s">
        <v>72</v>
      </c>
      <c r="S6" t="s">
        <v>93</v>
      </c>
      <c r="V6" t="s">
        <v>101</v>
      </c>
      <c r="AC6" t="s">
        <v>102</v>
      </c>
      <c r="AD6" t="s">
        <v>103</v>
      </c>
      <c r="AT6">
        <v>0</v>
      </c>
      <c r="AU6">
        <v>0</v>
      </c>
      <c r="AV6">
        <v>0</v>
      </c>
      <c r="AW6">
        <v>0</v>
      </c>
    </row>
    <row r="7" spans="1:49" x14ac:dyDescent="0.25">
      <c r="A7" t="s">
        <v>86</v>
      </c>
      <c r="B7" t="s">
        <v>87</v>
      </c>
      <c r="C7" t="s">
        <v>104</v>
      </c>
      <c r="D7" s="2">
        <f t="shared" si="0"/>
        <v>46262.0153125</v>
      </c>
      <c r="E7" s="3">
        <f t="shared" si="1"/>
        <v>1.5312499999708962E-2</v>
      </c>
      <c r="F7" t="str">
        <f t="shared" si="2"/>
        <v>Aug</v>
      </c>
      <c r="G7">
        <f t="shared" si="3"/>
        <v>2026</v>
      </c>
      <c r="H7">
        <f t="shared" si="4"/>
        <v>0</v>
      </c>
      <c r="I7" t="s">
        <v>105</v>
      </c>
      <c r="J7" t="s">
        <v>106</v>
      </c>
      <c r="M7" t="s">
        <v>107</v>
      </c>
      <c r="O7" t="s">
        <v>56</v>
      </c>
      <c r="P7" t="s">
        <v>108</v>
      </c>
      <c r="Q7" t="s">
        <v>92</v>
      </c>
      <c r="R7" t="s">
        <v>72</v>
      </c>
      <c r="S7" t="s">
        <v>109</v>
      </c>
      <c r="V7" t="s">
        <v>110</v>
      </c>
      <c r="AC7" t="s">
        <v>85</v>
      </c>
      <c r="AD7" t="s">
        <v>103</v>
      </c>
      <c r="AT7">
        <v>0</v>
      </c>
      <c r="AU7">
        <v>0</v>
      </c>
      <c r="AV7">
        <v>0</v>
      </c>
      <c r="AW7">
        <v>0</v>
      </c>
    </row>
    <row r="8" spans="1:49" x14ac:dyDescent="0.25">
      <c r="A8" t="s">
        <v>86</v>
      </c>
      <c r="B8" t="s">
        <v>87</v>
      </c>
      <c r="C8" t="s">
        <v>111</v>
      </c>
      <c r="D8" s="2">
        <f t="shared" si="0"/>
        <v>46261.558333333334</v>
      </c>
      <c r="E8" s="3">
        <f t="shared" si="1"/>
        <v>0.55833333333430346</v>
      </c>
      <c r="F8" t="str">
        <f t="shared" si="2"/>
        <v>Aug</v>
      </c>
      <c r="G8">
        <f t="shared" si="3"/>
        <v>2026</v>
      </c>
      <c r="H8">
        <f t="shared" si="4"/>
        <v>13</v>
      </c>
      <c r="I8" t="s">
        <v>112</v>
      </c>
      <c r="J8" t="s">
        <v>80</v>
      </c>
      <c r="K8" t="s">
        <v>53</v>
      </c>
      <c r="M8" t="s">
        <v>113</v>
      </c>
      <c r="O8" t="s">
        <v>56</v>
      </c>
      <c r="P8" t="s">
        <v>114</v>
      </c>
      <c r="Q8" t="s">
        <v>92</v>
      </c>
      <c r="R8" t="s">
        <v>72</v>
      </c>
      <c r="S8" t="s">
        <v>93</v>
      </c>
      <c r="V8" t="s">
        <v>115</v>
      </c>
      <c r="AC8" t="s">
        <v>116</v>
      </c>
      <c r="AD8" t="s">
        <v>63</v>
      </c>
      <c r="AT8">
        <v>0</v>
      </c>
      <c r="AU8">
        <v>0</v>
      </c>
      <c r="AV8">
        <v>0</v>
      </c>
      <c r="AW8">
        <v>0</v>
      </c>
    </row>
    <row r="9" spans="1:49" x14ac:dyDescent="0.25">
      <c r="A9" t="s">
        <v>86</v>
      </c>
      <c r="B9" t="s">
        <v>87</v>
      </c>
      <c r="C9" t="s">
        <v>117</v>
      </c>
      <c r="D9" s="2">
        <f t="shared" si="0"/>
        <v>46258.734155092592</v>
      </c>
      <c r="E9" s="3">
        <f t="shared" si="1"/>
        <v>0.73415509259211831</v>
      </c>
      <c r="F9" t="str">
        <f t="shared" si="2"/>
        <v>Aug</v>
      </c>
      <c r="G9">
        <f t="shared" si="3"/>
        <v>2026</v>
      </c>
      <c r="H9">
        <f t="shared" si="4"/>
        <v>17</v>
      </c>
      <c r="I9" t="s">
        <v>118</v>
      </c>
      <c r="J9" t="s">
        <v>119</v>
      </c>
      <c r="M9" t="s">
        <v>120</v>
      </c>
      <c r="O9" t="s">
        <v>56</v>
      </c>
      <c r="P9" t="s">
        <v>121</v>
      </c>
      <c r="Q9" t="s">
        <v>92</v>
      </c>
      <c r="R9" t="s">
        <v>59</v>
      </c>
      <c r="S9" t="s">
        <v>122</v>
      </c>
      <c r="V9" t="s">
        <v>123</v>
      </c>
      <c r="AC9" t="s">
        <v>95</v>
      </c>
      <c r="AD9" t="s">
        <v>63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t="s">
        <v>86</v>
      </c>
      <c r="B10" t="s">
        <v>87</v>
      </c>
      <c r="C10" t="s">
        <v>124</v>
      </c>
      <c r="D10" s="2">
        <f t="shared" si="0"/>
        <v>46258.280555555561</v>
      </c>
      <c r="E10" s="3">
        <f t="shared" si="1"/>
        <v>0.28055555556056788</v>
      </c>
      <c r="F10" t="str">
        <f t="shared" si="2"/>
        <v>Aug</v>
      </c>
      <c r="G10">
        <f t="shared" si="3"/>
        <v>2026</v>
      </c>
      <c r="H10">
        <f t="shared" si="4"/>
        <v>6</v>
      </c>
      <c r="I10" t="s">
        <v>125</v>
      </c>
      <c r="J10" t="s">
        <v>126</v>
      </c>
      <c r="M10" t="s">
        <v>127</v>
      </c>
      <c r="O10" t="s">
        <v>56</v>
      </c>
      <c r="P10" t="s">
        <v>128</v>
      </c>
      <c r="Q10" t="s">
        <v>92</v>
      </c>
      <c r="R10" t="s">
        <v>59</v>
      </c>
      <c r="S10" t="s">
        <v>122</v>
      </c>
      <c r="V10" t="s">
        <v>129</v>
      </c>
      <c r="AC10" t="s">
        <v>130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t="s">
        <v>86</v>
      </c>
      <c r="B11" t="s">
        <v>87</v>
      </c>
      <c r="C11" t="s">
        <v>131</v>
      </c>
      <c r="D11" s="2">
        <f t="shared" si="0"/>
        <v>46252.509004629632</v>
      </c>
      <c r="E11" s="3">
        <f t="shared" si="1"/>
        <v>0.50900462963181781</v>
      </c>
      <c r="F11" t="str">
        <f t="shared" si="2"/>
        <v>Aug</v>
      </c>
      <c r="G11">
        <f t="shared" si="3"/>
        <v>2026</v>
      </c>
      <c r="H11">
        <f t="shared" si="4"/>
        <v>12</v>
      </c>
      <c r="I11" t="s">
        <v>132</v>
      </c>
      <c r="J11" t="s">
        <v>68</v>
      </c>
      <c r="K11" t="s">
        <v>133</v>
      </c>
      <c r="L11" t="s">
        <v>134</v>
      </c>
      <c r="M11" t="s">
        <v>135</v>
      </c>
      <c r="O11" t="s">
        <v>56</v>
      </c>
      <c r="P11" t="s">
        <v>114</v>
      </c>
      <c r="Q11" t="s">
        <v>92</v>
      </c>
      <c r="R11" t="s">
        <v>59</v>
      </c>
      <c r="S11" t="s">
        <v>60</v>
      </c>
      <c r="V11" t="s">
        <v>136</v>
      </c>
      <c r="AC11" t="s">
        <v>85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t="s">
        <v>86</v>
      </c>
      <c r="B12" t="s">
        <v>87</v>
      </c>
      <c r="C12" t="s">
        <v>137</v>
      </c>
      <c r="D12" s="2">
        <f t="shared" si="0"/>
        <v>46252.450798611113</v>
      </c>
      <c r="E12" s="3">
        <f t="shared" si="1"/>
        <v>0.45079861111298669</v>
      </c>
      <c r="F12" t="str">
        <f t="shared" si="2"/>
        <v>Aug</v>
      </c>
      <c r="G12">
        <f t="shared" si="3"/>
        <v>2026</v>
      </c>
      <c r="H12">
        <f t="shared" si="4"/>
        <v>10</v>
      </c>
      <c r="I12" t="s">
        <v>138</v>
      </c>
      <c r="J12" t="s">
        <v>68</v>
      </c>
      <c r="M12" t="s">
        <v>135</v>
      </c>
      <c r="O12" t="s">
        <v>56</v>
      </c>
      <c r="P12" t="s">
        <v>114</v>
      </c>
      <c r="Q12" t="s">
        <v>92</v>
      </c>
      <c r="R12" t="s">
        <v>72</v>
      </c>
      <c r="S12" t="s">
        <v>93</v>
      </c>
      <c r="V12" t="s">
        <v>139</v>
      </c>
      <c r="AC12" t="s">
        <v>85</v>
      </c>
      <c r="AD12" t="s">
        <v>63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t="s">
        <v>86</v>
      </c>
      <c r="B13" t="s">
        <v>87</v>
      </c>
      <c r="C13" t="s">
        <v>140</v>
      </c>
      <c r="D13" s="2">
        <f t="shared" si="0"/>
        <v>46251.070937500001</v>
      </c>
      <c r="E13" s="3">
        <f t="shared" si="1"/>
        <v>7.0937500000582077E-2</v>
      </c>
      <c r="F13" t="str">
        <f t="shared" si="2"/>
        <v>Aug</v>
      </c>
      <c r="G13">
        <f t="shared" si="3"/>
        <v>2026</v>
      </c>
      <c r="H13">
        <f t="shared" si="4"/>
        <v>1</v>
      </c>
      <c r="I13" t="s">
        <v>141</v>
      </c>
      <c r="J13" t="s">
        <v>142</v>
      </c>
      <c r="M13" t="s">
        <v>143</v>
      </c>
      <c r="O13" t="s">
        <v>56</v>
      </c>
      <c r="P13" t="s">
        <v>144</v>
      </c>
      <c r="Q13" t="s">
        <v>92</v>
      </c>
      <c r="R13" t="s">
        <v>72</v>
      </c>
      <c r="S13" t="s">
        <v>145</v>
      </c>
      <c r="V13" t="s">
        <v>146</v>
      </c>
      <c r="AC13" t="s">
        <v>95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t="s">
        <v>147</v>
      </c>
      <c r="B14" t="s">
        <v>148</v>
      </c>
      <c r="C14" t="s">
        <v>149</v>
      </c>
      <c r="D14" s="2">
        <f t="shared" si="0"/>
        <v>46249.737685185188</v>
      </c>
      <c r="E14" s="3">
        <f t="shared" si="1"/>
        <v>0.73768518518772908</v>
      </c>
      <c r="F14" t="str">
        <f t="shared" si="2"/>
        <v>Aug</v>
      </c>
      <c r="G14">
        <f t="shared" si="3"/>
        <v>2026</v>
      </c>
      <c r="H14">
        <f t="shared" si="4"/>
        <v>17</v>
      </c>
      <c r="I14" t="s">
        <v>150</v>
      </c>
      <c r="J14" t="s">
        <v>106</v>
      </c>
      <c r="M14" t="s">
        <v>151</v>
      </c>
      <c r="N14" t="s">
        <v>152</v>
      </c>
      <c r="O14" t="s">
        <v>56</v>
      </c>
      <c r="P14" t="s">
        <v>153</v>
      </c>
      <c r="Q14" t="s">
        <v>154</v>
      </c>
      <c r="R14" t="s">
        <v>72</v>
      </c>
      <c r="S14" t="s">
        <v>93</v>
      </c>
      <c r="V14" t="s">
        <v>155</v>
      </c>
      <c r="AC14" t="s">
        <v>85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 t="s">
        <v>86</v>
      </c>
      <c r="B15" t="s">
        <v>87</v>
      </c>
      <c r="C15" t="s">
        <v>156</v>
      </c>
      <c r="D15" s="2">
        <f t="shared" si="0"/>
        <v>46247.305243055554</v>
      </c>
      <c r="E15" s="3">
        <f t="shared" si="1"/>
        <v>0.30524305555445608</v>
      </c>
      <c r="F15" t="str">
        <f t="shared" si="2"/>
        <v>Aug</v>
      </c>
      <c r="G15">
        <f t="shared" si="3"/>
        <v>2026</v>
      </c>
      <c r="H15">
        <f t="shared" si="4"/>
        <v>7</v>
      </c>
      <c r="I15" t="s">
        <v>157</v>
      </c>
      <c r="J15" t="s">
        <v>158</v>
      </c>
      <c r="M15" t="s">
        <v>159</v>
      </c>
      <c r="O15" t="s">
        <v>56</v>
      </c>
      <c r="P15" t="s">
        <v>160</v>
      </c>
      <c r="Q15" t="s">
        <v>92</v>
      </c>
      <c r="R15" t="s">
        <v>59</v>
      </c>
      <c r="S15" t="s">
        <v>122</v>
      </c>
      <c r="V15" t="s">
        <v>161</v>
      </c>
      <c r="AC15" t="s">
        <v>116</v>
      </c>
      <c r="AD15" t="s">
        <v>63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t="s">
        <v>162</v>
      </c>
      <c r="B16" t="s">
        <v>163</v>
      </c>
      <c r="C16" t="s">
        <v>164</v>
      </c>
      <c r="D16" s="2">
        <f t="shared" si="0"/>
        <v>46244.305625000001</v>
      </c>
      <c r="E16" s="3">
        <f t="shared" si="1"/>
        <v>0.30562500000087311</v>
      </c>
      <c r="F16" t="str">
        <f t="shared" si="2"/>
        <v>Aug</v>
      </c>
      <c r="G16">
        <f t="shared" si="3"/>
        <v>2026</v>
      </c>
      <c r="H16">
        <f t="shared" si="4"/>
        <v>7</v>
      </c>
      <c r="I16" t="s">
        <v>165</v>
      </c>
      <c r="J16" t="s">
        <v>166</v>
      </c>
      <c r="M16" t="s">
        <v>167</v>
      </c>
      <c r="N16" t="s">
        <v>168</v>
      </c>
      <c r="O16" t="s">
        <v>56</v>
      </c>
      <c r="P16" t="s">
        <v>169</v>
      </c>
      <c r="Q16" t="s">
        <v>58</v>
      </c>
      <c r="R16" t="s">
        <v>72</v>
      </c>
      <c r="S16" t="s">
        <v>170</v>
      </c>
      <c r="V16" t="s">
        <v>171</v>
      </c>
      <c r="AC16" t="s">
        <v>85</v>
      </c>
      <c r="AD16" t="s">
        <v>63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t="s">
        <v>86</v>
      </c>
      <c r="B17" t="s">
        <v>87</v>
      </c>
      <c r="C17" t="s">
        <v>172</v>
      </c>
      <c r="D17" s="2">
        <f t="shared" si="0"/>
        <v>46242.719571759262</v>
      </c>
      <c r="E17" s="3">
        <f t="shared" si="1"/>
        <v>0.71957175926218042</v>
      </c>
      <c r="F17" t="str">
        <f t="shared" si="2"/>
        <v>Aug</v>
      </c>
      <c r="G17">
        <f t="shared" si="3"/>
        <v>2026</v>
      </c>
      <c r="H17">
        <f t="shared" si="4"/>
        <v>17</v>
      </c>
      <c r="I17" t="s">
        <v>173</v>
      </c>
      <c r="J17" t="s">
        <v>166</v>
      </c>
      <c r="M17" t="s">
        <v>174</v>
      </c>
      <c r="O17" t="s">
        <v>56</v>
      </c>
      <c r="P17" t="s">
        <v>100</v>
      </c>
      <c r="Q17" t="s">
        <v>92</v>
      </c>
      <c r="R17" t="s">
        <v>72</v>
      </c>
      <c r="S17" t="s">
        <v>93</v>
      </c>
      <c r="V17" t="s">
        <v>175</v>
      </c>
      <c r="AC17" t="s">
        <v>102</v>
      </c>
      <c r="AD17" t="s">
        <v>63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t="s">
        <v>176</v>
      </c>
      <c r="B18" t="s">
        <v>177</v>
      </c>
      <c r="C18" t="s">
        <v>178</v>
      </c>
      <c r="D18" s="2">
        <f t="shared" si="0"/>
        <v>46241.377256944448</v>
      </c>
      <c r="E18" s="3">
        <f t="shared" si="1"/>
        <v>0.37725694444816327</v>
      </c>
      <c r="F18" t="str">
        <f t="shared" si="2"/>
        <v>Aug</v>
      </c>
      <c r="G18">
        <f t="shared" si="3"/>
        <v>2026</v>
      </c>
      <c r="H18">
        <f t="shared" si="4"/>
        <v>9</v>
      </c>
      <c r="I18" t="s">
        <v>179</v>
      </c>
      <c r="J18" t="s">
        <v>166</v>
      </c>
      <c r="K18" t="s">
        <v>68</v>
      </c>
      <c r="M18" t="s">
        <v>180</v>
      </c>
      <c r="N18" t="s">
        <v>181</v>
      </c>
      <c r="O18" t="s">
        <v>56</v>
      </c>
      <c r="P18" t="s">
        <v>182</v>
      </c>
      <c r="R18" t="s">
        <v>183</v>
      </c>
      <c r="S18" t="s">
        <v>184</v>
      </c>
      <c r="V18" t="s">
        <v>185</v>
      </c>
      <c r="AC18" t="s">
        <v>75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t="s">
        <v>86</v>
      </c>
      <c r="B19" t="s">
        <v>87</v>
      </c>
      <c r="C19" t="s">
        <v>186</v>
      </c>
      <c r="D19" s="2">
        <f t="shared" si="0"/>
        <v>46240.953206018523</v>
      </c>
      <c r="E19" s="3">
        <f t="shared" si="1"/>
        <v>0.95320601852290565</v>
      </c>
      <c r="F19" t="str">
        <f t="shared" si="2"/>
        <v>Aug</v>
      </c>
      <c r="G19">
        <f t="shared" si="3"/>
        <v>2026</v>
      </c>
      <c r="H19">
        <f t="shared" si="4"/>
        <v>22</v>
      </c>
      <c r="I19" t="s">
        <v>187</v>
      </c>
      <c r="J19" t="s">
        <v>68</v>
      </c>
      <c r="M19" t="s">
        <v>188</v>
      </c>
      <c r="O19" t="s">
        <v>56</v>
      </c>
      <c r="P19" t="s">
        <v>189</v>
      </c>
      <c r="Q19" t="s">
        <v>92</v>
      </c>
      <c r="R19" t="s">
        <v>72</v>
      </c>
      <c r="S19" t="s">
        <v>73</v>
      </c>
      <c r="V19" t="s">
        <v>190</v>
      </c>
      <c r="AC19" t="s">
        <v>191</v>
      </c>
      <c r="AT19">
        <v>0</v>
      </c>
      <c r="AU19">
        <v>0</v>
      </c>
      <c r="AV19">
        <v>0</v>
      </c>
      <c r="AW19">
        <v>0</v>
      </c>
    </row>
    <row r="20" spans="1:49" x14ac:dyDescent="0.25">
      <c r="A20" t="s">
        <v>192</v>
      </c>
      <c r="B20" t="s">
        <v>193</v>
      </c>
      <c r="C20" t="s">
        <v>194</v>
      </c>
      <c r="D20" s="2">
        <f t="shared" si="0"/>
        <v>46239.509027777778</v>
      </c>
      <c r="E20" s="3">
        <f t="shared" si="1"/>
        <v>0.50902777777810115</v>
      </c>
      <c r="F20" t="str">
        <f t="shared" si="2"/>
        <v>Aug</v>
      </c>
      <c r="G20">
        <f t="shared" si="3"/>
        <v>2026</v>
      </c>
      <c r="H20">
        <f t="shared" si="4"/>
        <v>12</v>
      </c>
      <c r="I20" t="s">
        <v>195</v>
      </c>
      <c r="J20" t="s">
        <v>196</v>
      </c>
      <c r="M20" t="s">
        <v>197</v>
      </c>
      <c r="N20" t="s">
        <v>198</v>
      </c>
      <c r="O20" t="s">
        <v>56</v>
      </c>
      <c r="P20" t="s">
        <v>199</v>
      </c>
      <c r="Q20" t="s">
        <v>58</v>
      </c>
      <c r="V20" t="s">
        <v>200</v>
      </c>
      <c r="AC20" t="s">
        <v>201</v>
      </c>
      <c r="AD20" t="s">
        <v>103</v>
      </c>
      <c r="AT20">
        <v>0</v>
      </c>
      <c r="AU20">
        <v>4</v>
      </c>
      <c r="AV20">
        <v>0</v>
      </c>
      <c r="AW20">
        <v>1</v>
      </c>
    </row>
    <row r="21" spans="1:49" x14ac:dyDescent="0.25">
      <c r="A21" t="s">
        <v>202</v>
      </c>
      <c r="B21" t="s">
        <v>203</v>
      </c>
      <c r="C21" t="s">
        <v>204</v>
      </c>
      <c r="D21" s="2">
        <f t="shared" si="0"/>
        <v>46238.390972222223</v>
      </c>
      <c r="E21" s="3">
        <f t="shared" si="1"/>
        <v>0.39097222222335404</v>
      </c>
      <c r="F21" t="str">
        <f t="shared" si="2"/>
        <v>Aug</v>
      </c>
      <c r="G21">
        <f t="shared" si="3"/>
        <v>2026</v>
      </c>
      <c r="H21">
        <f t="shared" si="4"/>
        <v>9</v>
      </c>
      <c r="I21" t="s">
        <v>205</v>
      </c>
      <c r="J21" t="s">
        <v>126</v>
      </c>
      <c r="M21" t="s">
        <v>206</v>
      </c>
      <c r="N21" t="s">
        <v>207</v>
      </c>
      <c r="O21" t="s">
        <v>56</v>
      </c>
      <c r="P21" t="s">
        <v>208</v>
      </c>
      <c r="Q21" t="s">
        <v>154</v>
      </c>
      <c r="R21" t="s">
        <v>209</v>
      </c>
      <c r="S21" t="s">
        <v>210</v>
      </c>
      <c r="V21" t="s">
        <v>211</v>
      </c>
      <c r="AC21" t="s">
        <v>75</v>
      </c>
      <c r="AD21" t="s">
        <v>212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 t="s">
        <v>86</v>
      </c>
      <c r="B22" t="s">
        <v>87</v>
      </c>
      <c r="C22" t="s">
        <v>213</v>
      </c>
      <c r="D22" s="2">
        <f t="shared" si="0"/>
        <v>46237.399884259263</v>
      </c>
      <c r="E22" s="3">
        <f t="shared" si="1"/>
        <v>0.3998842592627625</v>
      </c>
      <c r="F22" t="str">
        <f t="shared" si="2"/>
        <v>Aug</v>
      </c>
      <c r="G22">
        <f t="shared" si="3"/>
        <v>2026</v>
      </c>
      <c r="H22">
        <f t="shared" si="4"/>
        <v>9</v>
      </c>
      <c r="I22" t="s">
        <v>214</v>
      </c>
      <c r="J22" t="s">
        <v>196</v>
      </c>
      <c r="M22" t="s">
        <v>215</v>
      </c>
      <c r="O22" t="s">
        <v>56</v>
      </c>
      <c r="P22" t="s">
        <v>216</v>
      </c>
      <c r="Q22" t="s">
        <v>92</v>
      </c>
      <c r="R22" t="s">
        <v>59</v>
      </c>
      <c r="S22" t="s">
        <v>122</v>
      </c>
      <c r="V22" t="s">
        <v>217</v>
      </c>
      <c r="AC22" t="s">
        <v>95</v>
      </c>
      <c r="AD22" t="s">
        <v>103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t="s">
        <v>218</v>
      </c>
      <c r="B23" t="s">
        <v>219</v>
      </c>
      <c r="C23" t="s">
        <v>220</v>
      </c>
      <c r="D23" s="2">
        <f t="shared" si="0"/>
        <v>46236.733333333337</v>
      </c>
      <c r="E23" s="3">
        <f t="shared" si="1"/>
        <v>0.73333333333721384</v>
      </c>
      <c r="F23" t="str">
        <f t="shared" si="2"/>
        <v>Aug</v>
      </c>
      <c r="G23">
        <f t="shared" si="3"/>
        <v>2026</v>
      </c>
      <c r="H23">
        <f t="shared" si="4"/>
        <v>17</v>
      </c>
      <c r="I23" t="s">
        <v>221</v>
      </c>
      <c r="J23" t="s">
        <v>133</v>
      </c>
      <c r="M23" t="s">
        <v>222</v>
      </c>
      <c r="N23" t="s">
        <v>223</v>
      </c>
      <c r="O23" t="s">
        <v>56</v>
      </c>
      <c r="P23" t="s">
        <v>224</v>
      </c>
      <c r="Q23" t="s">
        <v>58</v>
      </c>
      <c r="R23" t="s">
        <v>72</v>
      </c>
      <c r="S23" t="s">
        <v>73</v>
      </c>
      <c r="V23" t="s">
        <v>225</v>
      </c>
      <c r="AC23" t="s">
        <v>116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t="s">
        <v>226</v>
      </c>
      <c r="B24" t="s">
        <v>227</v>
      </c>
      <c r="C24" t="s">
        <v>228</v>
      </c>
      <c r="D24" s="2">
        <f t="shared" si="0"/>
        <v>46233.32675925926</v>
      </c>
      <c r="E24" s="3">
        <f t="shared" si="1"/>
        <v>0.32675925926014315</v>
      </c>
      <c r="F24" t="str">
        <f t="shared" si="2"/>
        <v>Jul</v>
      </c>
      <c r="G24">
        <f t="shared" si="3"/>
        <v>2026</v>
      </c>
      <c r="H24">
        <f t="shared" si="4"/>
        <v>7</v>
      </c>
      <c r="I24" t="s">
        <v>229</v>
      </c>
      <c r="J24" t="s">
        <v>230</v>
      </c>
      <c r="M24" t="s">
        <v>231</v>
      </c>
      <c r="O24" t="s">
        <v>56</v>
      </c>
      <c r="P24" t="s">
        <v>232</v>
      </c>
      <c r="Q24" t="s">
        <v>154</v>
      </c>
      <c r="R24" t="s">
        <v>59</v>
      </c>
      <c r="S24" t="s">
        <v>122</v>
      </c>
      <c r="V24" t="s">
        <v>233</v>
      </c>
      <c r="AC24" t="s">
        <v>130</v>
      </c>
      <c r="AD24" t="s">
        <v>63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t="s">
        <v>86</v>
      </c>
      <c r="B25" t="s">
        <v>87</v>
      </c>
      <c r="C25" t="s">
        <v>234</v>
      </c>
      <c r="D25" s="2">
        <f t="shared" si="0"/>
        <v>46231.043599537043</v>
      </c>
      <c r="E25" s="3">
        <f t="shared" si="1"/>
        <v>4.3599537042609882E-2</v>
      </c>
      <c r="F25" t="str">
        <f t="shared" si="2"/>
        <v>Jul</v>
      </c>
      <c r="G25">
        <f t="shared" si="3"/>
        <v>2026</v>
      </c>
      <c r="H25">
        <f t="shared" si="4"/>
        <v>1</v>
      </c>
      <c r="I25" t="s">
        <v>235</v>
      </c>
      <c r="J25" t="s">
        <v>166</v>
      </c>
      <c r="M25" t="s">
        <v>236</v>
      </c>
      <c r="O25" t="s">
        <v>56</v>
      </c>
      <c r="P25" t="s">
        <v>237</v>
      </c>
      <c r="Q25" t="s">
        <v>92</v>
      </c>
      <c r="R25" t="s">
        <v>72</v>
      </c>
      <c r="S25" t="s">
        <v>93</v>
      </c>
      <c r="V25" t="s">
        <v>238</v>
      </c>
      <c r="AC25" t="s">
        <v>102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t="s">
        <v>239</v>
      </c>
      <c r="B26" t="s">
        <v>240</v>
      </c>
      <c r="C26" t="s">
        <v>241</v>
      </c>
      <c r="D26" s="2">
        <f t="shared" si="0"/>
        <v>46230.68444444445</v>
      </c>
      <c r="E26" s="3">
        <f t="shared" si="1"/>
        <v>0.68444444445049157</v>
      </c>
      <c r="F26" t="str">
        <f t="shared" si="2"/>
        <v>Jul</v>
      </c>
      <c r="G26">
        <f t="shared" si="3"/>
        <v>2026</v>
      </c>
      <c r="H26">
        <f t="shared" si="4"/>
        <v>16</v>
      </c>
      <c r="I26" t="s">
        <v>242</v>
      </c>
      <c r="J26" t="s">
        <v>133</v>
      </c>
      <c r="M26" t="s">
        <v>243</v>
      </c>
      <c r="N26" t="s">
        <v>244</v>
      </c>
      <c r="O26" t="s">
        <v>56</v>
      </c>
      <c r="P26" t="s">
        <v>245</v>
      </c>
      <c r="Q26" t="s">
        <v>246</v>
      </c>
      <c r="R26" t="s">
        <v>247</v>
      </c>
      <c r="S26" t="s">
        <v>248</v>
      </c>
      <c r="V26" t="s">
        <v>249</v>
      </c>
      <c r="AC26" t="s">
        <v>102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t="s">
        <v>250</v>
      </c>
      <c r="B27" t="s">
        <v>251</v>
      </c>
      <c r="C27" t="s">
        <v>252</v>
      </c>
      <c r="D27" s="2">
        <f t="shared" si="0"/>
        <v>46230.489583333336</v>
      </c>
      <c r="E27" s="3">
        <f t="shared" si="1"/>
        <v>0.48958333333575865</v>
      </c>
      <c r="F27" t="str">
        <f t="shared" si="2"/>
        <v>Jul</v>
      </c>
      <c r="G27">
        <f t="shared" si="3"/>
        <v>2026</v>
      </c>
      <c r="H27">
        <f t="shared" si="4"/>
        <v>11</v>
      </c>
      <c r="I27" t="s">
        <v>253</v>
      </c>
      <c r="J27" t="s">
        <v>196</v>
      </c>
      <c r="M27" t="s">
        <v>254</v>
      </c>
      <c r="N27" t="s">
        <v>255</v>
      </c>
      <c r="O27" t="s">
        <v>56</v>
      </c>
      <c r="P27" t="s">
        <v>256</v>
      </c>
      <c r="Q27" t="s">
        <v>257</v>
      </c>
      <c r="R27" t="s">
        <v>247</v>
      </c>
      <c r="S27" t="s">
        <v>258</v>
      </c>
      <c r="V27" t="s">
        <v>259</v>
      </c>
      <c r="AC27" t="s">
        <v>260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A28" t="s">
        <v>261</v>
      </c>
      <c r="B28" t="s">
        <v>262</v>
      </c>
      <c r="C28" t="s">
        <v>263</v>
      </c>
      <c r="D28" s="2">
        <f t="shared" si="0"/>
        <v>46229.71706018519</v>
      </c>
      <c r="E28" s="3">
        <f t="shared" si="1"/>
        <v>0.71706018519034842</v>
      </c>
      <c r="F28" t="str">
        <f t="shared" si="2"/>
        <v>Jul</v>
      </c>
      <c r="G28">
        <f t="shared" si="3"/>
        <v>2026</v>
      </c>
      <c r="H28">
        <f t="shared" si="4"/>
        <v>17</v>
      </c>
      <c r="I28" t="s">
        <v>264</v>
      </c>
      <c r="J28" t="s">
        <v>166</v>
      </c>
      <c r="M28" t="s">
        <v>265</v>
      </c>
      <c r="O28" t="s">
        <v>56</v>
      </c>
      <c r="P28" t="s">
        <v>266</v>
      </c>
      <c r="Q28" t="s">
        <v>58</v>
      </c>
      <c r="V28" t="s">
        <v>267</v>
      </c>
      <c r="AC28" t="s">
        <v>95</v>
      </c>
      <c r="AD28" t="s">
        <v>63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A29" t="s">
        <v>268</v>
      </c>
      <c r="B29" t="s">
        <v>269</v>
      </c>
      <c r="C29" t="s">
        <v>270</v>
      </c>
      <c r="D29" s="2">
        <f t="shared" si="0"/>
        <v>46228.728032407409</v>
      </c>
      <c r="E29" s="3">
        <f t="shared" si="1"/>
        <v>0.72803240740904585</v>
      </c>
      <c r="F29" t="str">
        <f t="shared" si="2"/>
        <v>Jul</v>
      </c>
      <c r="G29">
        <f t="shared" si="3"/>
        <v>2026</v>
      </c>
      <c r="H29">
        <f t="shared" si="4"/>
        <v>17</v>
      </c>
      <c r="I29" t="s">
        <v>271</v>
      </c>
      <c r="J29" t="s">
        <v>68</v>
      </c>
      <c r="M29" t="s">
        <v>272</v>
      </c>
      <c r="N29" t="s">
        <v>273</v>
      </c>
      <c r="O29" t="s">
        <v>56</v>
      </c>
      <c r="P29" t="s">
        <v>274</v>
      </c>
      <c r="Q29" t="s">
        <v>275</v>
      </c>
      <c r="R29" t="s">
        <v>72</v>
      </c>
      <c r="S29" t="s">
        <v>73</v>
      </c>
      <c r="V29" t="s">
        <v>276</v>
      </c>
      <c r="AC29" t="s">
        <v>116</v>
      </c>
      <c r="AT29">
        <v>0</v>
      </c>
      <c r="AU29">
        <v>0</v>
      </c>
      <c r="AV29">
        <v>0</v>
      </c>
      <c r="AW2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" customWidth="1"/>
    <col min="2" max="2" width="12" customWidth="1"/>
  </cols>
  <sheetData>
    <row r="1" spans="1:2" x14ac:dyDescent="0.25">
      <c r="A1" s="1" t="s">
        <v>277</v>
      </c>
      <c r="B1" s="1" t="s">
        <v>278</v>
      </c>
    </row>
    <row r="2" spans="1:2" x14ac:dyDescent="0.25">
      <c r="A2" t="s">
        <v>279</v>
      </c>
      <c r="B2">
        <v>28</v>
      </c>
    </row>
    <row r="3" spans="1:2" x14ac:dyDescent="0.25">
      <c r="A3" t="s">
        <v>280</v>
      </c>
      <c r="B3">
        <v>0</v>
      </c>
    </row>
    <row r="4" spans="1:2" x14ac:dyDescent="0.25">
      <c r="A4" t="s">
        <v>281</v>
      </c>
      <c r="B4">
        <v>0</v>
      </c>
    </row>
    <row r="5" spans="1:2" x14ac:dyDescent="0.25">
      <c r="A5" t="s">
        <v>282</v>
      </c>
      <c r="B5">
        <v>0</v>
      </c>
    </row>
    <row r="6" spans="1:2" x14ac:dyDescent="0.25">
      <c r="A6" t="s">
        <v>283</v>
      </c>
      <c r="B6">
        <v>28</v>
      </c>
    </row>
    <row r="7" spans="1:2" x14ac:dyDescent="0.25">
      <c r="A7" t="s">
        <v>284</v>
      </c>
      <c r="B7">
        <v>0</v>
      </c>
    </row>
    <row r="8" spans="1:2" x14ac:dyDescent="0.25">
      <c r="A8" t="s">
        <v>285</v>
      </c>
      <c r="B8">
        <v>0</v>
      </c>
    </row>
    <row r="9" spans="1:2" x14ac:dyDescent="0.25">
      <c r="A9" t="s">
        <v>286</v>
      </c>
      <c r="B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36" customWidth="1"/>
    <col min="2" max="2" width="85" customWidth="1"/>
  </cols>
  <sheetData>
    <row r="1" spans="1:2" x14ac:dyDescent="0.25">
      <c r="A1" s="4" t="s">
        <v>287</v>
      </c>
      <c r="B1" s="4" t="s">
        <v>288</v>
      </c>
    </row>
    <row r="2" spans="1:2" x14ac:dyDescent="0.25">
      <c r="A2" t="s">
        <v>289</v>
      </c>
      <c r="B2" t="s">
        <v>290</v>
      </c>
    </row>
    <row r="3" spans="1:2" x14ac:dyDescent="0.25">
      <c r="A3" t="s">
        <v>291</v>
      </c>
      <c r="B3" t="s">
        <v>292</v>
      </c>
    </row>
    <row r="5" spans="1:2" x14ac:dyDescent="0.25">
      <c r="A5" s="4" t="s">
        <v>293</v>
      </c>
      <c r="B5" s="4" t="s">
        <v>294</v>
      </c>
    </row>
    <row r="6" spans="1:2" x14ac:dyDescent="0.25">
      <c r="A6" t="s">
        <v>295</v>
      </c>
      <c r="B6" t="s">
        <v>296</v>
      </c>
    </row>
    <row r="7" spans="1:2" x14ac:dyDescent="0.25">
      <c r="A7" t="s">
        <v>297</v>
      </c>
      <c r="B7" t="s">
        <v>298</v>
      </c>
    </row>
    <row r="8" spans="1:2" x14ac:dyDescent="0.25">
      <c r="A8" t="s">
        <v>299</v>
      </c>
      <c r="B8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 Details</vt:lpstr>
      <vt:lpstr>Summary</vt:lpstr>
      <vt:lpstr>Report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2026-09-04T15:33:51Z</dcterms:created>
  <dcterms:modified xsi:type="dcterms:W3CDTF">2026-09-04T18:14:38Z</dcterms:modified>
</cp:coreProperties>
</file>