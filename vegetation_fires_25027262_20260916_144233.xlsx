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Overview" sheetId="2" state="visible" r:id="rId2"/>
    <sheet name="Raw Data" sheetId="3" state="visible" r:id="rId3"/>
    <sheet name="Report Sources" sheetId="4" state="visible" r:id="rId4"/>
  </sheets>
  <definedNames/>
  <calcPr calcId="124519" calcMode="auto" fullCalcOnLoad="1" forceFullCalc="1"/>
</workbook>
</file>

<file path=xl/styles.xml><?xml version="1.0" encoding="utf-8"?>
<styleSheet xmlns="http://schemas.openxmlformats.org/spreadsheetml/2006/main">
  <numFmts count="6">
    <numFmt numFmtId="164" formatCode="#,##0;(#,##0);-"/>
    <numFmt numFmtId="165" formatCode="$#,##0;($#,##0);-"/>
    <numFmt numFmtId="166" formatCode="#,##0.00;(#,##0.00);-"/>
    <numFmt numFmtId="167" formatCode="mm/dd/yy hh:mm"/>
    <numFmt numFmtId="168" formatCode="mm/dd/yy"/>
    <numFmt numFmtId="169" formatCode="hh:mm"/>
  </numFmts>
  <fonts count="3">
    <font>
      <name val="Calibri"/>
      <family val="2"/>
      <color theme="1"/>
      <sz val="11"/>
      <scheme val="minor"/>
    </font>
    <font>
      <b val="1"/>
      <color rgb="00FFFFFF"/>
      <sz val="11"/>
    </font>
    <font>
      <b val="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169"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27" customWidth="1" min="3" max="3"/>
    <col width="30" customWidth="1" min="4" max="4"/>
    <col width="33" customWidth="1" min="5" max="5"/>
    <col width="27" customWidth="1" min="6" max="6"/>
    <col width="30" customWidth="1" min="7" max="7"/>
    <col width="19" customWidth="1" min="8" max="8"/>
    <col width="14" customWidth="1" min="9" max="9"/>
  </cols>
  <sheetData>
    <row r="1">
      <c r="A1" s="1" t="inlineStr">
        <is>
          <t>Department/Entity ID</t>
        </is>
      </c>
      <c r="B1" s="1" t="inlineStr">
        <is>
          <t>Department Name</t>
        </is>
      </c>
      <c r="C1" s="1" t="inlineStr">
        <is>
          <t>Total Number of Incidents</t>
        </is>
      </c>
      <c r="D1" s="1" t="inlineStr">
        <is>
          <t>Firefighter Fatal Casualties</t>
        </is>
      </c>
      <c r="E1" s="1" t="inlineStr">
        <is>
          <t>Firefighter Nonfatal Casualties</t>
        </is>
      </c>
      <c r="F1" s="1" t="inlineStr">
        <is>
          <t>Civilian Fatal Casualties</t>
        </is>
      </c>
      <c r="G1" s="1" t="inlineStr">
        <is>
          <t>Civilian Nonfatal Casualties</t>
        </is>
      </c>
      <c r="H1" s="1" t="inlineStr">
        <is>
          <t>Total Dollar Loss</t>
        </is>
      </c>
      <c r="I1" s="1" t="inlineStr">
        <is>
          <t>Acres Burned</t>
        </is>
      </c>
    </row>
    <row r="2">
      <c r="A2" t="inlineStr">
        <is>
          <t>FD25027262</t>
        </is>
      </c>
      <c r="B2" t="inlineStr">
        <is>
          <t>Auburn Fire Department</t>
        </is>
      </c>
      <c r="C2" s="2" t="n">
        <v>9</v>
      </c>
      <c r="D2" s="2" t="n">
        <v>0</v>
      </c>
      <c r="E2" s="2" t="n">
        <v>0</v>
      </c>
      <c r="F2" s="2" t="n">
        <v>0</v>
      </c>
      <c r="G2" s="2" t="n">
        <v>0</v>
      </c>
      <c r="H2" s="3" t="n">
        <v>0</v>
      </c>
      <c r="I2" s="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24" customWidth="1" min="3" max="3"/>
    <col width="17" customWidth="1" min="4" max="4"/>
    <col width="27" customWidth="1" min="5" max="5"/>
    <col width="60" customWidth="1" min="6" max="6"/>
    <col width="36" customWidth="1" min="7" max="7"/>
    <col width="36" customWidth="1" min="8" max="8"/>
    <col width="37" customWidth="1" min="9" max="9"/>
    <col width="36" customWidth="1" min="10" max="10"/>
    <col width="36" customWidth="1" min="11" max="11"/>
    <col width="34" customWidth="1" min="12" max="12"/>
    <col width="17" customWidth="1" min="13" max="13"/>
    <col width="43" customWidth="1" min="14" max="14"/>
    <col width="43" customWidth="1" min="15" max="15"/>
    <col width="60" customWidth="1" min="16" max="16"/>
    <col width="16" customWidth="1" min="17" max="17"/>
    <col width="60" customWidth="1" min="18" max="18"/>
    <col width="16" customWidth="1" min="19" max="19"/>
    <col width="24" customWidth="1" min="20" max="20"/>
  </cols>
  <sheetData>
    <row r="1">
      <c r="A1" s="1" t="inlineStr">
        <is>
          <t>Incident NERIS ID</t>
        </is>
      </c>
      <c r="B1" s="1" t="inlineStr">
        <is>
          <t>Department/Entity ID</t>
        </is>
      </c>
      <c r="C1" s="1" t="inlineStr">
        <is>
          <t>Department Name</t>
        </is>
      </c>
      <c r="D1" s="1" t="inlineStr">
        <is>
          <t>Incident Number</t>
        </is>
      </c>
      <c r="E1" s="1" t="inlineStr">
        <is>
          <t>Call Date</t>
        </is>
      </c>
      <c r="F1" s="1" t="inlineStr">
        <is>
          <t>Call Date (Eastern Time Zone)</t>
        </is>
      </c>
      <c r="G1" s="1" t="inlineStr">
        <is>
          <t>Call Date (Eastern Time Zone) Date</t>
        </is>
      </c>
      <c r="H1" s="1" t="inlineStr">
        <is>
          <t>Call Date (Eastern Time Zone) Time</t>
        </is>
      </c>
      <c r="I1" s="1" t="inlineStr">
        <is>
          <t>Call Date (Eastern Time Zone) Month</t>
        </is>
      </c>
      <c r="J1" s="1" t="inlineStr">
        <is>
          <t>Call Date (Eastern Time Zone) Year</t>
        </is>
      </c>
      <c r="K1" s="1" t="inlineStr">
        <is>
          <t>Call Date (Eastern Time Zone) Hour</t>
        </is>
      </c>
      <c r="L1" s="1" t="inlineStr">
        <is>
          <t>Last Modified</t>
        </is>
      </c>
      <c r="M1" s="1" t="inlineStr">
        <is>
          <t>Incident Status</t>
        </is>
      </c>
      <c r="N1" s="1" t="inlineStr">
        <is>
          <t>First Incident Type</t>
        </is>
      </c>
      <c r="O1" s="1" t="inlineStr">
        <is>
          <t>Second Incident Type</t>
        </is>
      </c>
      <c r="P1" s="1" t="inlineStr">
        <is>
          <t>Third Incident Type</t>
        </is>
      </c>
      <c r="Q1" s="1" t="inlineStr">
        <is>
          <t>People Present</t>
        </is>
      </c>
      <c r="R1" s="1" t="inlineStr">
        <is>
          <t>Outcome Narrative</t>
        </is>
      </c>
      <c r="S1" s="1" t="inlineStr">
        <is>
          <t>Submitter Type</t>
        </is>
      </c>
      <c r="T1" s="1" t="inlineStr">
        <is>
          <t>Location Source</t>
        </is>
      </c>
    </row>
    <row r="2">
      <c r="A2" t="inlineStr">
        <is>
          <t>FD25027262|26-16304|1784897280</t>
        </is>
      </c>
      <c r="B2" t="inlineStr">
        <is>
          <t>FD25027262</t>
        </is>
      </c>
      <c r="C2" t="inlineStr">
        <is>
          <t>Auburn Fire Department</t>
        </is>
      </c>
      <c r="D2" t="inlineStr">
        <is>
          <t>26-16304</t>
        </is>
      </c>
      <c r="E2" t="inlineStr">
        <is>
          <t>2026-07-24T12:48:00+00:00</t>
        </is>
      </c>
      <c r="F2" s="5">
        <f>IF(E2="","",DATE(VALUE(LEFT(E2,4)),VALUE(MID(E2,6,2)),VALUE(MID(E2,9,2)))+TIME(VALUE(MID(E2,12,2)),VALUE(MID(E2,15,2)),VALUE(MID(E2,18,2)))-IF(AND(DATE(VALUE(LEFT(E2,4)),VALUE(MID(E2,6,2)),VALUE(MID(E2,9,2)))+TIME(VALUE(MID(E2,12,2)),VALUE(MID(E2,15,2)),VALUE(MID(E2,18,2)))&gt;=DATE(VALUE(LEFT(E2,4)),3,1)+MOD(8-WEEKDAY(DATE(VALUE(LEFT(E2,4)),3,1)),7)+7+TIME(7,0,0),DATE(VALUE(LEFT(E2,4)),3,1)+MOD(8-WEEKDAY(DATE(VALUE(LEFT(E2,4)),3,1)),7)+7+TIME(7,0,0)&lt;DATE(VALUE(LEFT(E2,4)),11,1)+MOD(8-WEEKDAY(DATE(VALUE(LEFT(E2,4)),11,1)),7)+TIME(6,0,0)), TIME(4,0,0),TIME(5,0,0)))</f>
        <v/>
      </c>
      <c r="G2" s="6">
        <f>IF(F2="","",INT(F2))</f>
        <v/>
      </c>
      <c r="H2" s="7">
        <f>IF(F2="","",MOD(F2,1))</f>
        <v/>
      </c>
      <c r="I2">
        <f>IF(F2="","",MONTH(F2))</f>
        <v/>
      </c>
      <c r="J2">
        <f>IF(F2="","",YEAR(F2))</f>
        <v/>
      </c>
      <c r="K2">
        <f>IF(F2="","",HOUR(F2))</f>
        <v/>
      </c>
      <c r="L2" t="inlineStr">
        <is>
          <t>2026-09-11T01:08:41.513209+00:00</t>
        </is>
      </c>
      <c r="M2" t="inlineStr">
        <is>
          <t>APPROVED</t>
        </is>
      </c>
      <c r="N2" t="inlineStr">
        <is>
          <t>FIRE||OUTSIDE_FIRE||VEGETATION_GRASS_FIRE</t>
        </is>
      </c>
      <c r="O2" t="inlineStr"/>
      <c r="P2" t="inlineStr"/>
      <c r="Q2" t="b">
        <v>0</v>
      </c>
      <c r="R2" t="inlineStr">
        <is>
          <t>07/25/2026 06:40:20: Called to address odor of smoke in the area of the business. On arrival found a 1&amp;#x27;x2&amp;#x27; area of mulch burning in front against the building - no flames, smoldering mulch only with no extension to the building. water can used to extinguish the burning compost. Discarded cigarette sitting on curb at point of origin - suspected cause. Responsible person at POB notified. With fire extinguished and overhauled companies cleared.</t>
        </is>
      </c>
      <c r="S2" t="inlineStr">
        <is>
          <t>RMS</t>
        </is>
      </c>
      <c r="T2" t="inlineStr">
        <is>
          <t>base_location</t>
        </is>
      </c>
    </row>
    <row r="3">
      <c r="A3" t="inlineStr">
        <is>
          <t>FD25027262|26-15592|1784322600</t>
        </is>
      </c>
      <c r="B3" t="inlineStr">
        <is>
          <t>FD25027262</t>
        </is>
      </c>
      <c r="C3" t="inlineStr">
        <is>
          <t>Auburn Fire Department</t>
        </is>
      </c>
      <c r="D3" t="inlineStr">
        <is>
          <t>26-15592</t>
        </is>
      </c>
      <c r="E3" t="inlineStr">
        <is>
          <t>2026-07-17T21:10:00+00:00</t>
        </is>
      </c>
      <c r="F3" s="5">
        <f>IF(E3="","",DATE(VALUE(LEFT(E3,4)),VALUE(MID(E3,6,2)),VALUE(MID(E3,9,2)))+TIME(VALUE(MID(E3,12,2)),VALUE(MID(E3,15,2)),VALUE(MID(E3,18,2)))-IF(AND(DATE(VALUE(LEFT(E3,4)),VALUE(MID(E3,6,2)),VALUE(MID(E3,9,2)))+TIME(VALUE(MID(E3,12,2)),VALUE(MID(E3,15,2)),VALUE(MID(E3,18,2)))&gt;=DATE(VALUE(LEFT(E3,4)),3,1)+MOD(8-WEEKDAY(DATE(VALUE(LEFT(E3,4)),3,1)),7)+7+TIME(7,0,0),DATE(VALUE(LEFT(E3,4)),3,1)+MOD(8-WEEKDAY(DATE(VALUE(LEFT(E3,4)),3,1)),7)+7+TIME(7,0,0)&lt;DATE(VALUE(LEFT(E3,4)),11,1)+MOD(8-WEEKDAY(DATE(VALUE(LEFT(E3,4)),11,1)),7)+TIME(6,0,0)), TIME(4,0,0),TIME(5,0,0)))</f>
        <v/>
      </c>
      <c r="G3" s="6">
        <f>IF(F3="","",INT(F3))</f>
        <v/>
      </c>
      <c r="H3" s="7">
        <f>IF(F3="","",MOD(F3,1))</f>
        <v/>
      </c>
      <c r="I3">
        <f>IF(F3="","",MONTH(F3))</f>
        <v/>
      </c>
      <c r="J3">
        <f>IF(F3="","",YEAR(F3))</f>
        <v/>
      </c>
      <c r="K3">
        <f>IF(F3="","",HOUR(F3))</f>
        <v/>
      </c>
      <c r="L3" t="inlineStr">
        <is>
          <t>2026-07-22T11:42:33.869356+00:00</t>
        </is>
      </c>
      <c r="M3" t="inlineStr">
        <is>
          <t>APPROVED</t>
        </is>
      </c>
      <c r="N3" t="inlineStr">
        <is>
          <t>FIRE||OUTSIDE_FIRE||VEGETATION_GRASS_FIRE</t>
        </is>
      </c>
      <c r="O3" t="inlineStr"/>
      <c r="P3" t="inlineStr"/>
      <c r="Q3" t="b">
        <v>0</v>
      </c>
      <c r="R3" t="inlineStr">
        <is>
          <t>07/17/2026 17:47:17: E4 dispatched to the above location for a mulch fire that is reported to now be smoldering. On our arrival noted an approx 1 foot diameter circle of mulch smoldering in the yard next to a tree. Hose reel deployed and area extinguished using tank water (approx 20 gallons) and a trash hook for overhaul. Confirmed area was extinguished and there were no other areas in need of extinguishment.</t>
        </is>
      </c>
      <c r="S3" t="inlineStr">
        <is>
          <t>RMS</t>
        </is>
      </c>
      <c r="T3" t="inlineStr">
        <is>
          <t>base_location</t>
        </is>
      </c>
    </row>
    <row r="4">
      <c r="A4" t="inlineStr">
        <is>
          <t>FD25027262|26-14901|1783707000</t>
        </is>
      </c>
      <c r="B4" t="inlineStr">
        <is>
          <t>FD25027262</t>
        </is>
      </c>
      <c r="C4" t="inlineStr">
        <is>
          <t>Auburn Fire Department</t>
        </is>
      </c>
      <c r="D4" t="inlineStr">
        <is>
          <t>26-14901</t>
        </is>
      </c>
      <c r="E4" t="inlineStr">
        <is>
          <t>2026-07-10T18:10:00+00:00</t>
        </is>
      </c>
      <c r="F4" s="5">
        <f>IF(E4="","",DATE(VALUE(LEFT(E4,4)),VALUE(MID(E4,6,2)),VALUE(MID(E4,9,2)))+TIME(VALUE(MID(E4,12,2)),VALUE(MID(E4,15,2)),VALUE(MID(E4,18,2)))-IF(AND(DATE(VALUE(LEFT(E4,4)),VALUE(MID(E4,6,2)),VALUE(MID(E4,9,2)))+TIME(VALUE(MID(E4,12,2)),VALUE(MID(E4,15,2)),VALUE(MID(E4,18,2)))&gt;=DATE(VALUE(LEFT(E4,4)),3,1)+MOD(8-WEEKDAY(DATE(VALUE(LEFT(E4,4)),3,1)),7)+7+TIME(7,0,0),DATE(VALUE(LEFT(E4,4)),3,1)+MOD(8-WEEKDAY(DATE(VALUE(LEFT(E4,4)),3,1)),7)+7+TIME(7,0,0)&lt;DATE(VALUE(LEFT(E4,4)),11,1)+MOD(8-WEEKDAY(DATE(VALUE(LEFT(E4,4)),11,1)),7)+TIME(6,0,0)), TIME(4,0,0),TIME(5,0,0)))</f>
        <v/>
      </c>
      <c r="G4" s="6">
        <f>IF(F4="","",INT(F4))</f>
        <v/>
      </c>
      <c r="H4" s="7">
        <f>IF(F4="","",MOD(F4,1))</f>
        <v/>
      </c>
      <c r="I4">
        <f>IF(F4="","",MONTH(F4))</f>
        <v/>
      </c>
      <c r="J4">
        <f>IF(F4="","",YEAR(F4))</f>
        <v/>
      </c>
      <c r="K4">
        <f>IF(F4="","",HOUR(F4))</f>
        <v/>
      </c>
      <c r="L4" t="inlineStr">
        <is>
          <t>2026-07-14T18:14:15.816350+00:00</t>
        </is>
      </c>
      <c r="M4" t="inlineStr">
        <is>
          <t>APPROVED</t>
        </is>
      </c>
      <c r="N4" t="inlineStr">
        <is>
          <t>FIRE||OUTSIDE_FIRE||VEGETATION_GRASS_FIRE</t>
        </is>
      </c>
      <c r="O4" t="inlineStr"/>
      <c r="P4" t="inlineStr"/>
      <c r="Q4" t="b">
        <v>0</v>
      </c>
      <c r="R4" t="inlineStr">
        <is>
          <t>07/10/2026 18:30:03: Dispatched for a small outside fire. PTA a passerby had extinguished the fire with a dry chem extinguisher. E4 found a small area or mulch that had recently burned in the median between 2 travel lanes. Area was hydraulically overhauled. Engine 4 cleared.</t>
        </is>
      </c>
      <c r="S4" t="inlineStr">
        <is>
          <t>RMS</t>
        </is>
      </c>
      <c r="T4" t="inlineStr">
        <is>
          <t>base_location</t>
        </is>
      </c>
    </row>
    <row r="5">
      <c r="A5" t="inlineStr">
        <is>
          <t>FD25027262|26-11459|1780600380</t>
        </is>
      </c>
      <c r="B5" t="inlineStr">
        <is>
          <t>FD25027262</t>
        </is>
      </c>
      <c r="C5" t="inlineStr">
        <is>
          <t>Auburn Fire Department</t>
        </is>
      </c>
      <c r="D5" t="inlineStr">
        <is>
          <t>26-11459</t>
        </is>
      </c>
      <c r="E5" t="inlineStr">
        <is>
          <t>2026-06-04T19:13:00+00:00</t>
        </is>
      </c>
      <c r="F5" s="5">
        <f>IF(E5="","",DATE(VALUE(LEFT(E5,4)),VALUE(MID(E5,6,2)),VALUE(MID(E5,9,2)))+TIME(VALUE(MID(E5,12,2)),VALUE(MID(E5,15,2)),VALUE(MID(E5,18,2)))-IF(AND(DATE(VALUE(LEFT(E5,4)),VALUE(MID(E5,6,2)),VALUE(MID(E5,9,2)))+TIME(VALUE(MID(E5,12,2)),VALUE(MID(E5,15,2)),VALUE(MID(E5,18,2)))&gt;=DATE(VALUE(LEFT(E5,4)),3,1)+MOD(8-WEEKDAY(DATE(VALUE(LEFT(E5,4)),3,1)),7)+7+TIME(7,0,0),DATE(VALUE(LEFT(E5,4)),3,1)+MOD(8-WEEKDAY(DATE(VALUE(LEFT(E5,4)),3,1)),7)+7+TIME(7,0,0)&lt;DATE(VALUE(LEFT(E5,4)),11,1)+MOD(8-WEEKDAY(DATE(VALUE(LEFT(E5,4)),11,1)),7)+TIME(6,0,0)), TIME(4,0,0),TIME(5,0,0)))</f>
        <v/>
      </c>
      <c r="G5" s="6">
        <f>IF(F5="","",INT(F5))</f>
        <v/>
      </c>
      <c r="H5" s="7">
        <f>IF(F5="","",MOD(F5,1))</f>
        <v/>
      </c>
      <c r="I5">
        <f>IF(F5="","",MONTH(F5))</f>
        <v/>
      </c>
      <c r="J5">
        <f>IF(F5="","",YEAR(F5))</f>
        <v/>
      </c>
      <c r="K5">
        <f>IF(F5="","",HOUR(F5))</f>
        <v/>
      </c>
      <c r="L5" t="inlineStr">
        <is>
          <t>2026-09-10T23:12:54.315355+00:00</t>
        </is>
      </c>
      <c r="M5" t="inlineStr">
        <is>
          <t>APPROVED</t>
        </is>
      </c>
      <c r="N5" t="inlineStr">
        <is>
          <t>FIRE||OUTSIDE_FIRE||VEGETATION_GRASS_FIRE</t>
        </is>
      </c>
      <c r="O5" t="inlineStr"/>
      <c r="P5" t="inlineStr"/>
      <c r="Q5" t="b">
        <v>0</v>
      </c>
      <c r="R5" t="inlineStr">
        <is>
          <t>06/04/2026 15:59:27: Dispatched to a small mulch fire in the island between LaQuinta and Outback.  Fire extinguished and overhauled.  E4 cleared.</t>
        </is>
      </c>
      <c r="S5" t="inlineStr">
        <is>
          <t>RMS</t>
        </is>
      </c>
      <c r="T5" t="inlineStr">
        <is>
          <t>base_location</t>
        </is>
      </c>
    </row>
    <row r="6">
      <c r="A6" t="inlineStr">
        <is>
          <t>FD25027262|26-8612|1777659540</t>
        </is>
      </c>
      <c r="B6" t="inlineStr">
        <is>
          <t>FD25027262</t>
        </is>
      </c>
      <c r="C6" t="inlineStr">
        <is>
          <t>Auburn Fire Department</t>
        </is>
      </c>
      <c r="D6" t="inlineStr">
        <is>
          <t>26-8612</t>
        </is>
      </c>
      <c r="E6" t="inlineStr">
        <is>
          <t>2026-05-01T18:19:00+00:00</t>
        </is>
      </c>
      <c r="F6" s="5">
        <f>IF(E6="","",DATE(VALUE(LEFT(E6,4)),VALUE(MID(E6,6,2)),VALUE(MID(E6,9,2)))+TIME(VALUE(MID(E6,12,2)),VALUE(MID(E6,15,2)),VALUE(MID(E6,18,2)))-IF(AND(DATE(VALUE(LEFT(E6,4)),VALUE(MID(E6,6,2)),VALUE(MID(E6,9,2)))+TIME(VALUE(MID(E6,12,2)),VALUE(MID(E6,15,2)),VALUE(MID(E6,18,2)))&gt;=DATE(VALUE(LEFT(E6,4)),3,1)+MOD(8-WEEKDAY(DATE(VALUE(LEFT(E6,4)),3,1)),7)+7+TIME(7,0,0),DATE(VALUE(LEFT(E6,4)),3,1)+MOD(8-WEEKDAY(DATE(VALUE(LEFT(E6,4)),3,1)),7)+7+TIME(7,0,0)&lt;DATE(VALUE(LEFT(E6,4)),11,1)+MOD(8-WEEKDAY(DATE(VALUE(LEFT(E6,4)),11,1)),7)+TIME(6,0,0)), TIME(4,0,0),TIME(5,0,0)))</f>
        <v/>
      </c>
      <c r="G6" s="6">
        <f>IF(F6="","",INT(F6))</f>
        <v/>
      </c>
      <c r="H6" s="7">
        <f>IF(F6="","",MOD(F6,1))</f>
        <v/>
      </c>
      <c r="I6">
        <f>IF(F6="","",MONTH(F6))</f>
        <v/>
      </c>
      <c r="J6">
        <f>IF(F6="","",YEAR(F6))</f>
        <v/>
      </c>
      <c r="K6">
        <f>IF(F6="","",HOUR(F6))</f>
        <v/>
      </c>
      <c r="L6" t="inlineStr">
        <is>
          <t>2026-09-10T21:27:56.037212+00:00</t>
        </is>
      </c>
      <c r="M6" t="inlineStr">
        <is>
          <t>APPROVED</t>
        </is>
      </c>
      <c r="N6" t="inlineStr">
        <is>
          <t>FIRE||OUTSIDE_FIRE||VEGETATION_GRASS_FIRE</t>
        </is>
      </c>
      <c r="O6" t="inlineStr"/>
      <c r="P6" t="inlineStr"/>
      <c r="Q6" t="b">
        <v>0</v>
      </c>
      <c r="R6" t="inlineStr">
        <is>
          <t>05/01/2026 16:48:31: Dispatched to the train track behind Ryder rental for a brush fire.  Area of approximately 50&amp;#x27; x 20&amp;#x27; found burning.  Fire extinguished and overhauled.  All companies cleared.</t>
        </is>
      </c>
      <c r="S6" t="inlineStr">
        <is>
          <t>RMS</t>
        </is>
      </c>
      <c r="T6" t="inlineStr">
        <is>
          <t>base_location</t>
        </is>
      </c>
    </row>
    <row r="7">
      <c r="A7" t="inlineStr">
        <is>
          <t>FD25027262|26-8263|1777249260</t>
        </is>
      </c>
      <c r="B7" t="inlineStr">
        <is>
          <t>FD25027262</t>
        </is>
      </c>
      <c r="C7" t="inlineStr">
        <is>
          <t>Auburn Fire Department</t>
        </is>
      </c>
      <c r="D7" t="inlineStr">
        <is>
          <t>26-8263</t>
        </is>
      </c>
      <c r="E7" t="inlineStr">
        <is>
          <t>2026-04-27T00:21:00+00:00</t>
        </is>
      </c>
      <c r="F7" s="5">
        <f>IF(E7="","",DATE(VALUE(LEFT(E7,4)),VALUE(MID(E7,6,2)),VALUE(MID(E7,9,2)))+TIME(VALUE(MID(E7,12,2)),VALUE(MID(E7,15,2)),VALUE(MID(E7,18,2)))-IF(AND(DATE(VALUE(LEFT(E7,4)),VALUE(MID(E7,6,2)),VALUE(MID(E7,9,2)))+TIME(VALUE(MID(E7,12,2)),VALUE(MID(E7,15,2)),VALUE(MID(E7,18,2)))&gt;=DATE(VALUE(LEFT(E7,4)),3,1)+MOD(8-WEEKDAY(DATE(VALUE(LEFT(E7,4)),3,1)),7)+7+TIME(7,0,0),DATE(VALUE(LEFT(E7,4)),3,1)+MOD(8-WEEKDAY(DATE(VALUE(LEFT(E7,4)),3,1)),7)+7+TIME(7,0,0)&lt;DATE(VALUE(LEFT(E7,4)),11,1)+MOD(8-WEEKDAY(DATE(VALUE(LEFT(E7,4)),11,1)),7)+TIME(6,0,0)), TIME(4,0,0),TIME(5,0,0)))</f>
        <v/>
      </c>
      <c r="G7" s="6">
        <f>IF(F7="","",INT(F7))</f>
        <v/>
      </c>
      <c r="H7" s="7">
        <f>IF(F7="","",MOD(F7,1))</f>
        <v/>
      </c>
      <c r="I7">
        <f>IF(F7="","",MONTH(F7))</f>
        <v/>
      </c>
      <c r="J7">
        <f>IF(F7="","",YEAR(F7))</f>
        <v/>
      </c>
      <c r="K7">
        <f>IF(F7="","",HOUR(F7))</f>
        <v/>
      </c>
      <c r="L7" t="inlineStr">
        <is>
          <t>2026-09-10T21:06:22.722887+00:00</t>
        </is>
      </c>
      <c r="M7" t="inlineStr">
        <is>
          <t>APPROVED</t>
        </is>
      </c>
      <c r="N7" t="inlineStr">
        <is>
          <t>FIRE||OUTSIDE_FIRE||VEGETATION_GRASS_FIRE</t>
        </is>
      </c>
      <c r="O7" t="inlineStr"/>
      <c r="P7" t="inlineStr"/>
      <c r="Q7" t="b">
        <v>0</v>
      </c>
      <c r="R7" t="inlineStr">
        <is>
          <t>04/26/2026 22:25:30: Dispatched to an outside fire.  On arrival found a permitted fire that had rekindled an 8x8 foot area with no exposure hazards.  Homeowner was actively attempting to extinguish fire with hose from the house.  Fire extinguished and overhauled.  All companies cleared.</t>
        </is>
      </c>
      <c r="S7" t="inlineStr">
        <is>
          <t>RMS</t>
        </is>
      </c>
      <c r="T7" t="inlineStr">
        <is>
          <t>base_location</t>
        </is>
      </c>
    </row>
    <row r="8">
      <c r="A8" t="inlineStr">
        <is>
          <t>FD25027262|26-8252|1777231620</t>
        </is>
      </c>
      <c r="B8" t="inlineStr">
        <is>
          <t>FD25027262</t>
        </is>
      </c>
      <c r="C8" t="inlineStr">
        <is>
          <t>Auburn Fire Department</t>
        </is>
      </c>
      <c r="D8" t="inlineStr">
        <is>
          <t>26-8252</t>
        </is>
      </c>
      <c r="E8" t="inlineStr">
        <is>
          <t>2026-04-26T19:27:00+00:00</t>
        </is>
      </c>
      <c r="F8" s="5">
        <f>IF(E8="","",DATE(VALUE(LEFT(E8,4)),VALUE(MID(E8,6,2)),VALUE(MID(E8,9,2)))+TIME(VALUE(MID(E8,12,2)),VALUE(MID(E8,15,2)),VALUE(MID(E8,18,2)))-IF(AND(DATE(VALUE(LEFT(E8,4)),VALUE(MID(E8,6,2)),VALUE(MID(E8,9,2)))+TIME(VALUE(MID(E8,12,2)),VALUE(MID(E8,15,2)),VALUE(MID(E8,18,2)))&gt;=DATE(VALUE(LEFT(E8,4)),3,1)+MOD(8-WEEKDAY(DATE(VALUE(LEFT(E8,4)),3,1)),7)+7+TIME(7,0,0),DATE(VALUE(LEFT(E8,4)),3,1)+MOD(8-WEEKDAY(DATE(VALUE(LEFT(E8,4)),3,1)),7)+7+TIME(7,0,0)&lt;DATE(VALUE(LEFT(E8,4)),11,1)+MOD(8-WEEKDAY(DATE(VALUE(LEFT(E8,4)),11,1)),7)+TIME(6,0,0)), TIME(4,0,0),TIME(5,0,0)))</f>
        <v/>
      </c>
      <c r="G8" s="6">
        <f>IF(F8="","",INT(F8))</f>
        <v/>
      </c>
      <c r="H8" s="7">
        <f>IF(F8="","",MOD(F8,1))</f>
        <v/>
      </c>
      <c r="I8">
        <f>IF(F8="","",MONTH(F8))</f>
        <v/>
      </c>
      <c r="J8">
        <f>IF(F8="","",YEAR(F8))</f>
        <v/>
      </c>
      <c r="K8">
        <f>IF(F8="","",HOUR(F8))</f>
        <v/>
      </c>
      <c r="L8" t="inlineStr">
        <is>
          <t>2026-09-10T21:05:13.287219+00:00</t>
        </is>
      </c>
      <c r="M8" t="inlineStr">
        <is>
          <t>APPROVED</t>
        </is>
      </c>
      <c r="N8" t="inlineStr">
        <is>
          <t>FIRE||OUTSIDE_FIRE||VEGETATION_GRASS_FIRE</t>
        </is>
      </c>
      <c r="O8" t="inlineStr"/>
      <c r="P8" t="inlineStr"/>
      <c r="Q8" t="b">
        <v>0</v>
      </c>
      <c r="R8" t="inlineStr">
        <is>
          <t>04/26/2026 17:49:24: Engine 3 and Car 3 to the area of 377 Washington Street for the potential brush fire called in by a passerby. Upon arrival smoke showing from the back yard of 4 Old Common Road. Upon investigation we find an approximately 60x50 area of brush burning. The resident appears to be trying to extinguish areas. He does not have a burn permit and the fire is not under control or contained at this time. Forestry requested to the scene. Fire extinguished, overhauled, and resident advised. All companies clear.</t>
        </is>
      </c>
      <c r="S8" t="inlineStr">
        <is>
          <t>RMS</t>
        </is>
      </c>
      <c r="T8" t="inlineStr">
        <is>
          <t>base_location_geocoded</t>
        </is>
      </c>
    </row>
    <row r="9">
      <c r="A9" t="inlineStr">
        <is>
          <t>FD25027262|26-7020|1775840880</t>
        </is>
      </c>
      <c r="B9" t="inlineStr">
        <is>
          <t>FD25027262</t>
        </is>
      </c>
      <c r="C9" t="inlineStr">
        <is>
          <t>Auburn Fire Department</t>
        </is>
      </c>
      <c r="D9" t="inlineStr">
        <is>
          <t>26-7020</t>
        </is>
      </c>
      <c r="E9" t="inlineStr">
        <is>
          <t>2026-04-10T17:08:00+00:00</t>
        </is>
      </c>
      <c r="F9" s="5">
        <f>IF(E9="","",DATE(VALUE(LEFT(E9,4)),VALUE(MID(E9,6,2)),VALUE(MID(E9,9,2)))+TIME(VALUE(MID(E9,12,2)),VALUE(MID(E9,15,2)),VALUE(MID(E9,18,2)))-IF(AND(DATE(VALUE(LEFT(E9,4)),VALUE(MID(E9,6,2)),VALUE(MID(E9,9,2)))+TIME(VALUE(MID(E9,12,2)),VALUE(MID(E9,15,2)),VALUE(MID(E9,18,2)))&gt;=DATE(VALUE(LEFT(E9,4)),3,1)+MOD(8-WEEKDAY(DATE(VALUE(LEFT(E9,4)),3,1)),7)+7+TIME(7,0,0),DATE(VALUE(LEFT(E9,4)),3,1)+MOD(8-WEEKDAY(DATE(VALUE(LEFT(E9,4)),3,1)),7)+7+TIME(7,0,0)&lt;DATE(VALUE(LEFT(E9,4)),11,1)+MOD(8-WEEKDAY(DATE(VALUE(LEFT(E9,4)),11,1)),7)+TIME(6,0,0)), TIME(4,0,0),TIME(5,0,0)))</f>
        <v/>
      </c>
      <c r="G9" s="6">
        <f>IF(F9="","",INT(F9))</f>
        <v/>
      </c>
      <c r="H9" s="7">
        <f>IF(F9="","",MOD(F9,1))</f>
        <v/>
      </c>
      <c r="I9">
        <f>IF(F9="","",MONTH(F9))</f>
        <v/>
      </c>
      <c r="J9">
        <f>IF(F9="","",YEAR(F9))</f>
        <v/>
      </c>
      <c r="K9">
        <f>IF(F9="","",HOUR(F9))</f>
        <v/>
      </c>
      <c r="L9" t="inlineStr">
        <is>
          <t>2026-09-10T20:06:48.878922+00:00</t>
        </is>
      </c>
      <c r="M9" t="inlineStr">
        <is>
          <t>APPROVED</t>
        </is>
      </c>
      <c r="N9" t="inlineStr">
        <is>
          <t>FIRE||OUTSIDE_FIRE||VEGETATION_GRASS_FIRE</t>
        </is>
      </c>
      <c r="O9" t="inlineStr"/>
      <c r="P9" t="inlineStr"/>
      <c r="Q9" t="b">
        <v>0</v>
      </c>
      <c r="R9" t="inlineStr">
        <is>
          <t>04/10/2026 13:50:28: The companies were dispatched to location for a Odor of smoke in the area.  U/T/A of the companies it was determined that the cause of the smoke was from a permitted fire on Pinrock Rd.  Engine-1 went to investigate to confirm it was a permitted fire, once confirmation was made all companies cleared the scene.  ***</t>
        </is>
      </c>
      <c r="S9" t="inlineStr">
        <is>
          <t>RMS</t>
        </is>
      </c>
      <c r="T9" t="inlineStr">
        <is>
          <t>base_location</t>
        </is>
      </c>
    </row>
    <row r="10">
      <c r="A10" t="inlineStr">
        <is>
          <t>FD25027262|26-6326|1774979460</t>
        </is>
      </c>
      <c r="B10" t="inlineStr">
        <is>
          <t>FD25027262</t>
        </is>
      </c>
      <c r="C10" t="inlineStr">
        <is>
          <t>Auburn Fire Department</t>
        </is>
      </c>
      <c r="D10" t="inlineStr">
        <is>
          <t>26-6326</t>
        </is>
      </c>
      <c r="E10" t="inlineStr">
        <is>
          <t>2026-03-31T17:51:00+00:00</t>
        </is>
      </c>
      <c r="F10" s="5">
        <f>IF(E10="","",DATE(VALUE(LEFT(E10,4)),VALUE(MID(E10,6,2)),VALUE(MID(E10,9,2)))+TIME(VALUE(MID(E10,12,2)),VALUE(MID(E10,15,2)),VALUE(MID(E10,18,2)))-IF(AND(DATE(VALUE(LEFT(E10,4)),VALUE(MID(E10,6,2)),VALUE(MID(E10,9,2)))+TIME(VALUE(MID(E10,12,2)),VALUE(MID(E10,15,2)),VALUE(MID(E10,18,2)))&gt;=DATE(VALUE(LEFT(E10,4)),3,1)+MOD(8-WEEKDAY(DATE(VALUE(LEFT(E10,4)),3,1)),7)+7+TIME(7,0,0),DATE(VALUE(LEFT(E10,4)),3,1)+MOD(8-WEEKDAY(DATE(VALUE(LEFT(E10,4)),3,1)),7)+7+TIME(7,0,0)&lt;DATE(VALUE(LEFT(E10,4)),11,1)+MOD(8-WEEKDAY(DATE(VALUE(LEFT(E10,4)),11,1)),7)+TIME(6,0,0)), TIME(4,0,0),TIME(5,0,0)))</f>
        <v/>
      </c>
      <c r="G10" s="6">
        <f>IF(F10="","",INT(F10))</f>
        <v/>
      </c>
      <c r="H10" s="7">
        <f>IF(F10="","",MOD(F10,1))</f>
        <v/>
      </c>
      <c r="I10">
        <f>IF(F10="","",MONTH(F10))</f>
        <v/>
      </c>
      <c r="J10">
        <f>IF(F10="","",YEAR(F10))</f>
        <v/>
      </c>
      <c r="K10">
        <f>IF(F10="","",HOUR(F10))</f>
        <v/>
      </c>
      <c r="L10" t="inlineStr">
        <is>
          <t>2026-09-10T19:55:28.063899+00:00</t>
        </is>
      </c>
      <c r="M10" t="inlineStr">
        <is>
          <t>APPROVED</t>
        </is>
      </c>
      <c r="N10" t="inlineStr">
        <is>
          <t>MEDICAL||INJURY||MOTOR_VEHICLE_COLLISION</t>
        </is>
      </c>
      <c r="O10" t="inlineStr">
        <is>
          <t>FIRE||OUTSIDE_FIRE||VEGETATION_GRASS_FIRE</t>
        </is>
      </c>
      <c r="P10" t="inlineStr">
        <is>
          <t>HAZSIT||HAZARD_NONCHEM||ELEC_POWER_LINE_DOWN_ARCHING_MALFUNC</t>
        </is>
      </c>
      <c r="Q10" t="b">
        <v>0</v>
      </c>
      <c r="R10" t="inlineStr">
        <is>
          <t>03/31/2026 15:10:15: Engine 4 and Ambulance 3 dispatched for an MVA into a pole. Updated that the pole was on the car, wires were live and arching. National Grid requested for a priority response. C3 requested to the scene. A3 on scene reported 1 person in the vehicle and a small grass fire from arching. Power in the area appeared out, no arching at present. Contact was made with the driver who was awake and alert. She was coached to stay in her vehicle until National Grid was on scene to confirm no power. She reported minor injuries. Her vehicle had snapped 1 power pole that was being suspended by utility lines. It appeared that both the primary and secondary power lines had snapped.   While waiting for National Grid the fire self extinguished. National Grid on scene and confirmed no live power to the lines and it was safe to removed the patient from the car. She was transferred to a stretcher and moved to the ambulance. 1 patient transported to Memorial Hospital, BLS.   Car 3 and Engine 1 cleared. Engine 4 overhauled an approx. 5&amp;#x27; x 5&amp;#x27; area that had burned from arching power lines. E4 cleared, scene left with APD and National Grid. No other hazards.</t>
        </is>
      </c>
      <c r="S10" t="inlineStr">
        <is>
          <t>RMS</t>
        </is>
      </c>
      <c r="T10" t="inlineStr">
        <is>
          <t>base_location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K10"/>
  <sheetViews>
    <sheetView workbookViewId="0">
      <pane ySplit="1" topLeftCell="A2" activePane="bottomLeft" state="frozen"/>
      <selection pane="bottomLeft" activeCell="A1" sqref="A1"/>
    </sheetView>
  </sheetViews>
  <sheetFormatPr baseColWidth="8" defaultRowHeight="15"/>
  <cols>
    <col width="21" customWidth="1" min="1" max="1"/>
    <col width="24" customWidth="1" min="2" max="2"/>
    <col width="32" customWidth="1" min="3" max="3"/>
    <col width="24" customWidth="1" min="4" max="4"/>
    <col width="24" customWidth="1" min="5" max="5"/>
    <col width="24" customWidth="1" min="6" max="6"/>
    <col width="22" customWidth="1" min="7" max="7"/>
    <col width="20" customWidth="1" min="8" max="8"/>
    <col width="15" customWidth="1" min="9" max="9"/>
    <col width="16" customWidth="1" min="10" max="10"/>
    <col width="19" customWidth="1" min="11" max="11"/>
    <col width="18" customWidth="1" min="12" max="12"/>
    <col width="24" customWidth="1" min="13" max="13"/>
    <col width="17" customWidth="1" min="14" max="14"/>
    <col width="43" customWidth="1" min="15" max="15"/>
    <col width="60" customWidth="1" min="16" max="16"/>
    <col width="60" customWidth="1" min="17" max="17"/>
    <col width="60" customWidth="1" min="18" max="18"/>
    <col width="13" customWidth="1" min="19" max="19"/>
    <col width="16" customWidth="1" min="20" max="20"/>
    <col width="27" customWidth="1" min="21" max="21"/>
    <col width="30" customWidth="1" min="22" max="22"/>
    <col width="31" customWidth="1" min="23" max="23"/>
    <col width="32" customWidth="1" min="24" max="24"/>
    <col width="16" customWidth="1" min="25" max="25"/>
    <col width="16" customWidth="1" min="26" max="26"/>
    <col width="21" customWidth="1" min="27" max="27"/>
    <col width="22" customWidth="1" min="28" max="28"/>
    <col width="60" customWidth="1" min="29" max="29"/>
    <col width="60" customWidth="1" min="30" max="30"/>
    <col width="38" customWidth="1" min="31" max="31"/>
    <col width="60" customWidth="1" min="32" max="32"/>
    <col width="26" customWidth="1" min="33" max="33"/>
    <col width="27" customWidth="1" min="34" max="34"/>
    <col width="27" customWidth="1" min="35" max="35"/>
    <col width="27" customWidth="1" min="36" max="36"/>
    <col width="27" customWidth="1" min="37" max="37"/>
    <col width="60" customWidth="1" min="38" max="38"/>
    <col width="60" customWidth="1" min="39" max="39"/>
    <col width="27" customWidth="1" min="40" max="40"/>
    <col width="30" customWidth="1" min="41" max="41"/>
    <col width="34" customWidth="1" min="42" max="42"/>
    <col width="42" customWidth="1" min="43" max="43"/>
    <col width="35" customWidth="1" min="44" max="44"/>
    <col width="26" customWidth="1" min="45" max="45"/>
    <col width="34" customWidth="1" min="46" max="46"/>
    <col width="33" customWidth="1" min="47" max="47"/>
    <col width="36" customWidth="1" min="48" max="48"/>
    <col width="27" customWidth="1" min="49" max="49"/>
    <col width="14" customWidth="1" min="50" max="50"/>
    <col width="29" customWidth="1" min="51" max="51"/>
    <col width="14" customWidth="1" min="52" max="52"/>
    <col width="19" customWidth="1" min="53" max="53"/>
    <col width="20" customWidth="1" min="54" max="54"/>
    <col width="18" customWidth="1" min="55" max="55"/>
    <col width="18" customWidth="1" min="56" max="56"/>
    <col width="18" customWidth="1" min="57" max="57"/>
    <col width="18" customWidth="1" min="58" max="58"/>
    <col width="20" customWidth="1" min="59" max="59"/>
    <col width="19" customWidth="1" min="60" max="60"/>
    <col width="20" customWidth="1" min="61" max="61"/>
    <col width="20" customWidth="1" min="62" max="62"/>
    <col width="18" customWidth="1" min="63" max="63"/>
    <col width="23" customWidth="1" min="64" max="64"/>
    <col width="23" customWidth="1" min="65" max="65"/>
    <col width="21" customWidth="1" min="66" max="66"/>
    <col width="18" customWidth="1" min="67" max="67"/>
    <col width="24" customWidth="1" min="68" max="68"/>
    <col width="24" customWidth="1" min="69" max="69"/>
    <col width="25" customWidth="1" min="70" max="70"/>
    <col width="25" customWidth="1" min="71" max="71"/>
    <col width="27" customWidth="1" min="72" max="72"/>
    <col width="26" customWidth="1" min="73" max="73"/>
    <col width="34" customWidth="1" min="74" max="74"/>
    <col width="36" customWidth="1" min="75" max="75"/>
    <col width="22" customWidth="1" min="76" max="76"/>
    <col width="22" customWidth="1" min="77" max="77"/>
    <col width="22" customWidth="1" min="78" max="78"/>
    <col width="20" customWidth="1" min="79" max="79"/>
    <col width="22" customWidth="1" min="80" max="80"/>
    <col width="24" customWidth="1" min="81" max="81"/>
    <col width="24" customWidth="1" min="82" max="82"/>
    <col width="24" customWidth="1" min="83" max="83"/>
    <col width="23" customWidth="1" min="84" max="84"/>
    <col width="23" customWidth="1" min="85" max="85"/>
    <col width="19" customWidth="1" min="86" max="86"/>
    <col width="33" customWidth="1" min="87" max="87"/>
    <col width="23" customWidth="1" min="88" max="88"/>
    <col width="34" customWidth="1" min="89" max="89"/>
  </cols>
  <sheetData>
    <row r="1">
      <c r="A1" s="1" t="inlineStr">
        <is>
          <t>department_neris_id</t>
        </is>
      </c>
      <c r="B1" s="1" t="inlineStr">
        <is>
          <t>department_name</t>
        </is>
      </c>
      <c r="C1" s="1" t="inlineStr">
        <is>
          <t>neris_id</t>
        </is>
      </c>
      <c r="D1" s="1" t="inlineStr">
        <is>
          <t>incident_status_status</t>
        </is>
      </c>
      <c r="E1" s="1" t="inlineStr">
        <is>
          <t>location_source</t>
        </is>
      </c>
      <c r="F1" s="1" t="inlineStr">
        <is>
          <t>location_street_number</t>
        </is>
      </c>
      <c r="G1" s="1" t="inlineStr">
        <is>
          <t>location_street_name</t>
        </is>
      </c>
      <c r="H1" s="1" t="inlineStr">
        <is>
          <t>location_apartment</t>
        </is>
      </c>
      <c r="I1" s="1" t="inlineStr">
        <is>
          <t>location_city</t>
        </is>
      </c>
      <c r="J1" s="1" t="inlineStr">
        <is>
          <t>location_state</t>
        </is>
      </c>
      <c r="K1" s="1" t="inlineStr">
        <is>
          <t>location_zip_code</t>
        </is>
      </c>
      <c r="L1" s="1" t="inlineStr">
        <is>
          <t>location_county</t>
        </is>
      </c>
      <c r="M1" s="1" t="inlineStr">
        <is>
          <t>submitter_account_type</t>
        </is>
      </c>
      <c r="N1" s="1" t="inlineStr">
        <is>
          <t>incident_number</t>
        </is>
      </c>
      <c r="O1" s="1" t="inlineStr">
        <is>
          <t>primary_incident_types</t>
        </is>
      </c>
      <c r="P1" s="1" t="inlineStr">
        <is>
          <t>other_incident_types</t>
        </is>
      </c>
      <c r="Q1" s="1" t="inlineStr">
        <is>
          <t>unit_ids</t>
        </is>
      </c>
      <c r="R1" s="1" t="inlineStr">
        <is>
          <t>unit_neris_ids</t>
        </is>
      </c>
      <c r="S1" s="1" t="inlineStr">
        <is>
          <t>total_units</t>
        </is>
      </c>
      <c r="T1" s="1" t="inlineStr">
        <is>
          <t>total_staffing</t>
        </is>
      </c>
      <c r="U1" s="1" t="inlineStr">
        <is>
          <t>parcel_primary_year_built</t>
        </is>
      </c>
      <c r="V1" s="1" t="inlineStr">
        <is>
          <t>parcel_primary_use</t>
        </is>
      </c>
      <c r="W1" s="1" t="inlineStr">
        <is>
          <t>parcel_primary_owner_occupied</t>
        </is>
      </c>
      <c r="X1" s="1" t="inlineStr">
        <is>
          <t>parcel_primary_assessment_land</t>
        </is>
      </c>
      <c r="Y1" s="1" t="inlineStr">
        <is>
          <t>exposure_count</t>
        </is>
      </c>
      <c r="Z1" s="1" t="inlineStr">
        <is>
          <t>casualty_count</t>
        </is>
      </c>
      <c r="AA1" s="1" t="inlineStr">
        <is>
          <t>base_people_present</t>
        </is>
      </c>
      <c r="AB1" s="1" t="inlineStr">
        <is>
          <t>base_incident_number</t>
        </is>
      </c>
      <c r="AC1" s="1" t="inlineStr">
        <is>
          <t>base_outcome_narrative</t>
        </is>
      </c>
      <c r="AD1" s="1" t="inlineStr">
        <is>
          <t>base_point</t>
        </is>
      </c>
      <c r="AE1" s="1" t="inlineStr">
        <is>
          <t>actions_tactics_action_noaction_type</t>
        </is>
      </c>
      <c r="AF1" s="1" t="inlineStr">
        <is>
          <t>actions_tactics_action_noaction_actions</t>
        </is>
      </c>
      <c r="AG1" s="1" t="inlineStr">
        <is>
          <t>dispatch_incident_number</t>
        </is>
      </c>
      <c r="AH1" s="1" t="inlineStr">
        <is>
          <t>dispatch_incident_clear</t>
        </is>
      </c>
      <c r="AI1" s="1" t="inlineStr">
        <is>
          <t>dispatch_call_arrival</t>
        </is>
      </c>
      <c r="AJ1" s="1" t="inlineStr">
        <is>
          <t>dispatch_call_answered</t>
        </is>
      </c>
      <c r="AK1" s="1" t="inlineStr">
        <is>
          <t>dispatch_call_create</t>
        </is>
      </c>
      <c r="AL1" s="1" t="inlineStr">
        <is>
          <t>dispatch_point</t>
        </is>
      </c>
      <c r="AM1" s="1" t="inlineStr">
        <is>
          <t>dispatch_disp_unit_ids</t>
        </is>
      </c>
      <c r="AN1" s="1" t="inlineStr">
        <is>
          <t>dispatch_disp_total_units</t>
        </is>
      </c>
      <c r="AO1" s="1" t="inlineStr">
        <is>
          <t>dispatch_disp_total_staffing</t>
        </is>
      </c>
      <c r="AP1" s="1" t="inlineStr">
        <is>
          <t>fire_detail_location_detail_type</t>
        </is>
      </c>
      <c r="AQ1" s="1" t="inlineStr">
        <is>
          <t>fire_detail_location_detail_acres_burned</t>
        </is>
      </c>
      <c r="AR1" s="1" t="inlineStr">
        <is>
          <t>fire_detail_location_detail_cause</t>
        </is>
      </c>
      <c r="AS1" s="1" t="inlineStr">
        <is>
          <t>fire_detail_water_supply</t>
        </is>
      </c>
      <c r="AT1" s="1" t="inlineStr">
        <is>
          <t>fire_detail_investigation_needed</t>
        </is>
      </c>
      <c r="AU1" s="1" t="inlineStr">
        <is>
          <t>fire_detail_investigation_types</t>
        </is>
      </c>
      <c r="AV1" s="1" t="inlineStr">
        <is>
          <t>fire_detail_suppression_appliances</t>
        </is>
      </c>
      <c r="AW1" s="1" t="inlineStr">
        <is>
          <t>weather_timestamp</t>
        </is>
      </c>
      <c r="AX1" s="1" t="inlineStr">
        <is>
          <t>weather_main</t>
        </is>
      </c>
      <c r="AY1" s="1" t="inlineStr">
        <is>
          <t>weather_description</t>
        </is>
      </c>
      <c r="AZ1" s="1" t="inlineStr">
        <is>
          <t>weather_temp</t>
        </is>
      </c>
      <c r="BA1" s="1" t="inlineStr">
        <is>
          <t>weather_dew_point</t>
        </is>
      </c>
      <c r="BB1" s="1" t="inlineStr">
        <is>
          <t>weather_feels_like</t>
        </is>
      </c>
      <c r="BC1" s="1" t="inlineStr">
        <is>
          <t>weather_pressure</t>
        </is>
      </c>
      <c r="BD1" s="1" t="inlineStr">
        <is>
          <t>weather_humidity</t>
        </is>
      </c>
      <c r="BE1" s="1" t="inlineStr">
        <is>
          <t>weather_temp_min</t>
        </is>
      </c>
      <c r="BF1" s="1" t="inlineStr">
        <is>
          <t>weather_temp_max</t>
        </is>
      </c>
      <c r="BG1" s="1" t="inlineStr">
        <is>
          <t>weather_heat_index</t>
        </is>
      </c>
      <c r="BH1" s="1" t="inlineStr">
        <is>
          <t>weather_windchill</t>
        </is>
      </c>
      <c r="BI1" s="1" t="inlineStr">
        <is>
          <t>weather_visibility</t>
        </is>
      </c>
      <c r="BJ1" s="1" t="inlineStr">
        <is>
          <t>weather_wind_speed</t>
        </is>
      </c>
      <c r="BK1" s="1" t="inlineStr">
        <is>
          <t>weather_wind_deg</t>
        </is>
      </c>
      <c r="BL1" s="1" t="inlineStr">
        <is>
          <t>weather_cloud_percent</t>
        </is>
      </c>
      <c r="BM1" s="1" t="inlineStr">
        <is>
          <t>weather_rain_accum_1h</t>
        </is>
      </c>
      <c r="BN1" s="1" t="inlineStr">
        <is>
          <t>weather_snow_vol_1h</t>
        </is>
      </c>
      <c r="BO1" s="1" t="inlineStr">
        <is>
          <t>weather_day_part</t>
        </is>
      </c>
      <c r="BP1" s="1" t="inlineStr">
        <is>
          <t>weather_air_quality_co</t>
        </is>
      </c>
      <c r="BQ1" s="1" t="inlineStr">
        <is>
          <t>weather_air_quality_o3</t>
        </is>
      </c>
      <c r="BR1" s="1" t="inlineStr">
        <is>
          <t>weather_air_quality_no2</t>
        </is>
      </c>
      <c r="BS1" s="1" t="inlineStr">
        <is>
          <t>weather_air_quality_so2</t>
        </is>
      </c>
      <c r="BT1" s="1" t="inlineStr">
        <is>
          <t>weather_air_quality_pm2_5</t>
        </is>
      </c>
      <c r="BU1" s="1" t="inlineStr">
        <is>
          <t>weather_air_quality_pm10</t>
        </is>
      </c>
      <c r="BV1" s="1" t="inlineStr">
        <is>
          <t>weather_air_quality_us_epa_index</t>
        </is>
      </c>
      <c r="BW1" s="1" t="inlineStr">
        <is>
          <t>weather_air_quality_gb_defra_index</t>
        </is>
      </c>
      <c r="BX1" s="1" t="inlineStr">
        <is>
          <t>weather_pollen_hazel</t>
        </is>
      </c>
      <c r="BY1" s="1" t="inlineStr">
        <is>
          <t>weather_pollen_alder</t>
        </is>
      </c>
      <c r="BZ1" s="1" t="inlineStr">
        <is>
          <t>weather_pollen_birch</t>
        </is>
      </c>
      <c r="CA1" s="1" t="inlineStr">
        <is>
          <t>weather_pollen_oak</t>
        </is>
      </c>
      <c r="CB1" s="1" t="inlineStr">
        <is>
          <t>weather_pollen_grass</t>
        </is>
      </c>
      <c r="CC1" s="1" t="inlineStr">
        <is>
          <t>weather_pollen_mugwort</t>
        </is>
      </c>
      <c r="CD1" s="1" t="inlineStr">
        <is>
          <t>weather_pollen_ragweed</t>
        </is>
      </c>
      <c r="CE1" s="1" t="inlineStr">
        <is>
          <t>census_tract_fips_code</t>
        </is>
      </c>
      <c r="CF1" s="1" t="inlineStr">
        <is>
          <t>census_tract_tract_id</t>
        </is>
      </c>
      <c r="CG1" s="1" t="inlineStr">
        <is>
          <t>census_tract_block_id</t>
        </is>
      </c>
      <c r="CH1" s="1" t="inlineStr">
        <is>
          <t>census_tract_area</t>
        </is>
      </c>
      <c r="CI1" s="1" t="inlineStr">
        <is>
          <t>census_tract_population_density</t>
        </is>
      </c>
      <c r="CJ1" s="1" t="inlineStr">
        <is>
          <t>powergen_hazard_count</t>
        </is>
      </c>
      <c r="CK1" s="1" t="inlineStr">
        <is>
          <t>last_modified</t>
        </is>
      </c>
    </row>
    <row r="2">
      <c r="A2" t="inlineStr">
        <is>
          <t>FD25027262</t>
        </is>
      </c>
      <c r="B2" t="inlineStr">
        <is>
          <t>Auburn Fire Department</t>
        </is>
      </c>
      <c r="C2" t="inlineStr">
        <is>
          <t>FD25027262|26-16304|1784897280</t>
        </is>
      </c>
      <c r="D2" t="inlineStr">
        <is>
          <t>APPROVED</t>
        </is>
      </c>
      <c r="E2" t="inlineStr">
        <is>
          <t>base_location</t>
        </is>
      </c>
      <c r="F2" t="n">
        <v>406</v>
      </c>
      <c r="G2" t="inlineStr">
        <is>
          <t>SOUTHBRIDGE</t>
        </is>
      </c>
      <c r="H2" t="n">
        <v/>
      </c>
      <c r="I2" t="n">
        <v/>
      </c>
      <c r="J2" t="inlineStr">
        <is>
          <t>MA</t>
        </is>
      </c>
      <c r="K2" t="inlineStr">
        <is>
          <t>01501</t>
        </is>
      </c>
      <c r="L2" t="inlineStr">
        <is>
          <t>Worcester County</t>
        </is>
      </c>
      <c r="M2" t="inlineStr">
        <is>
          <t>RMS</t>
        </is>
      </c>
      <c r="N2" t="inlineStr">
        <is>
          <t>26-16304</t>
        </is>
      </c>
      <c r="O2" t="inlineStr">
        <is>
          <t>FIRE||OUTSIDE_FIRE||VEGETATION_GRASS_FIRE</t>
        </is>
      </c>
      <c r="P2" t="inlineStr"/>
      <c r="Q2" t="inlineStr">
        <is>
          <t>Engine 4</t>
        </is>
      </c>
      <c r="R2" t="inlineStr">
        <is>
          <t>FD25027262S002U011</t>
        </is>
      </c>
      <c r="S2" t="n">
        <v>1</v>
      </c>
      <c r="T2" t="n">
        <v>2</v>
      </c>
      <c r="U2" t="n">
        <v>1970</v>
      </c>
      <c r="V2" t="inlineStr">
        <is>
          <t>RESTAURANT/BAR</t>
        </is>
      </c>
      <c r="W2" t="inlineStr">
        <is>
          <t>N</t>
        </is>
      </c>
      <c r="X2" t="n">
        <v>500300</v>
      </c>
      <c r="Y2" t="n">
        <v>0</v>
      </c>
      <c r="Z2" t="n">
        <v>0</v>
      </c>
      <c r="AA2" t="b">
        <v>0</v>
      </c>
      <c r="AB2" t="inlineStr">
        <is>
          <t>26-16304</t>
        </is>
      </c>
      <c r="AC2" t="inlineStr">
        <is>
          <t>07/25/2026 06:40:20: Called to address odor of smoke in the area of the business. On arrival found a 1&amp;#x27;x2&amp;#x27; area of mulch burning in front against the building - no flames, smoldering mulch only with no extension to the building. water can used to extinguish the burning compost. Discarded cigarette sitting on curb at point of origin - suspected cause. Responsible person at POB notified. With fire extinguished and overhauled companies cleared.</t>
        </is>
      </c>
      <c r="AD2" t="inlineStr">
        <is>
          <t>https://api.neris.fsri.org/v1/pygeoapi/collections/points/items/47986081</t>
        </is>
      </c>
      <c r="AE2" t="inlineStr">
        <is>
          <t>ACTION</t>
        </is>
      </c>
      <c r="AF2" t="inlineStr">
        <is>
          <t>SUPPRESSION||OUTSIDE_FIRE_SUPPRESSION||FIRE_CONTROL_EXTINGUISHMENT</t>
        </is>
      </c>
      <c r="AG2" t="inlineStr">
        <is>
          <t>26-16304</t>
        </is>
      </c>
      <c r="AH2" t="inlineStr">
        <is>
          <t>2026-07-24T13:03:49+00:00</t>
        </is>
      </c>
      <c r="AI2" t="inlineStr">
        <is>
          <t>2026-07-24T12:48:00+00:00</t>
        </is>
      </c>
      <c r="AJ2" t="inlineStr">
        <is>
          <t>2026-07-24T12:48:00+00:00</t>
        </is>
      </c>
      <c r="AK2" t="inlineStr">
        <is>
          <t>2026-07-24T12:48:00+00:00</t>
        </is>
      </c>
      <c r="AL2" t="inlineStr">
        <is>
          <t>https://api.neris.fsri.org/v1/pygeoapi/collections/points/items/47986080</t>
        </is>
      </c>
      <c r="AM2" t="inlineStr">
        <is>
          <t>Engine 4</t>
        </is>
      </c>
      <c r="AN2" t="n">
        <v>1</v>
      </c>
      <c r="AO2" t="n">
        <v>2</v>
      </c>
      <c r="AP2" t="inlineStr">
        <is>
          <t>OUTSIDE</t>
        </is>
      </c>
      <c r="AQ2" t="n">
        <v>0</v>
      </c>
      <c r="AR2" t="inlineStr">
        <is>
          <t>SMOKING_MATERIALS_ILLICIT_DRUGS</t>
        </is>
      </c>
      <c r="AS2" t="inlineStr">
        <is>
          <t>TANK_WATER</t>
        </is>
      </c>
      <c r="AT2" t="inlineStr">
        <is>
          <t>NO</t>
        </is>
      </c>
      <c r="AU2" t="inlineStr">
        <is>
          <t>NONE</t>
        </is>
      </c>
      <c r="AV2" t="inlineStr"/>
      <c r="AW2" t="inlineStr">
        <is>
          <t>2026-07-24T12:00:00+00:00</t>
        </is>
      </c>
      <c r="AX2" t="inlineStr">
        <is>
          <t>1000</t>
        </is>
      </c>
      <c r="AY2" t="inlineStr">
        <is>
          <t>Sunny</t>
        </is>
      </c>
      <c r="AZ2" t="n">
        <v>62.2</v>
      </c>
      <c r="BA2" t="n">
        <v>55.1</v>
      </c>
      <c r="BB2" t="n">
        <v>62.2</v>
      </c>
      <c r="BC2" t="n">
        <v>1024</v>
      </c>
      <c r="BD2" t="n">
        <v>78</v>
      </c>
      <c r="BE2" t="n">
        <v>56.3</v>
      </c>
      <c r="BF2" t="n">
        <v>82.59999999999999</v>
      </c>
      <c r="BG2" t="n">
        <v>62.2</v>
      </c>
      <c r="BH2" t="n">
        <v>62.2</v>
      </c>
      <c r="BI2" t="n">
        <v>31680</v>
      </c>
      <c r="BJ2" t="n">
        <v>1.8</v>
      </c>
      <c r="BK2" t="n">
        <v>301</v>
      </c>
      <c r="BL2" t="n">
        <v>0</v>
      </c>
      <c r="BM2" t="n">
        <v>0</v>
      </c>
      <c r="BN2" t="n">
        <v>0</v>
      </c>
      <c r="BO2" t="inlineStr">
        <is>
          <t>day</t>
        </is>
      </c>
      <c r="BP2" t="n">
        <v>183</v>
      </c>
      <c r="BQ2" t="n">
        <v>68</v>
      </c>
      <c r="BR2" t="n">
        <v>5.8</v>
      </c>
      <c r="BS2" t="n">
        <v>0.3</v>
      </c>
      <c r="BT2" t="n">
        <v>12.6</v>
      </c>
      <c r="BU2" t="n">
        <v>13.3</v>
      </c>
      <c r="BV2" t="n">
        <v>1</v>
      </c>
      <c r="BW2" t="n">
        <v>2</v>
      </c>
      <c r="BX2" t="n">
        <v>0</v>
      </c>
      <c r="BY2" t="n">
        <v>0</v>
      </c>
      <c r="BZ2" t="n">
        <v>0</v>
      </c>
      <c r="CA2" t="n">
        <v>0</v>
      </c>
      <c r="CB2" t="n">
        <v>41.05</v>
      </c>
      <c r="CC2" t="n">
        <v>31.1</v>
      </c>
      <c r="CD2" t="n">
        <v>0</v>
      </c>
      <c r="CE2" t="inlineStr">
        <is>
          <t>25027736300</t>
        </is>
      </c>
      <c r="CF2" t="inlineStr">
        <is>
          <t>736300</t>
        </is>
      </c>
      <c r="CG2" t="inlineStr">
        <is>
          <t>2051</t>
        </is>
      </c>
      <c r="CH2" t="n">
        <v>1.65</v>
      </c>
      <c r="CI2" t="n">
        <v>1508.5</v>
      </c>
      <c r="CJ2" t="n">
        <v>0</v>
      </c>
      <c r="CK2" t="inlineStr">
        <is>
          <t>2026-09-11T01:08:41.513209+00:00</t>
        </is>
      </c>
    </row>
    <row r="3">
      <c r="A3" t="inlineStr">
        <is>
          <t>FD25027262</t>
        </is>
      </c>
      <c r="B3" t="inlineStr">
        <is>
          <t>Auburn Fire Department</t>
        </is>
      </c>
      <c r="C3" t="inlineStr">
        <is>
          <t>FD25027262|26-15592|1784322600</t>
        </is>
      </c>
      <c r="D3" t="inlineStr">
        <is>
          <t>APPROVED</t>
        </is>
      </c>
      <c r="E3" t="inlineStr">
        <is>
          <t>base_location</t>
        </is>
      </c>
      <c r="F3" t="n">
        <v>33</v>
      </c>
      <c r="G3" t="inlineStr">
        <is>
          <t>SWORD</t>
        </is>
      </c>
      <c r="H3" t="n">
        <v/>
      </c>
      <c r="I3" t="n">
        <v/>
      </c>
      <c r="J3" t="inlineStr">
        <is>
          <t>MA</t>
        </is>
      </c>
      <c r="K3" t="inlineStr">
        <is>
          <t>01501</t>
        </is>
      </c>
      <c r="L3" t="inlineStr">
        <is>
          <t>Worcester County</t>
        </is>
      </c>
      <c r="M3" t="inlineStr">
        <is>
          <t>RMS</t>
        </is>
      </c>
      <c r="N3" t="inlineStr">
        <is>
          <t>26-15592</t>
        </is>
      </c>
      <c r="O3" t="inlineStr">
        <is>
          <t>FIRE||OUTSIDE_FIRE||VEGETATION_GRASS_FIRE</t>
        </is>
      </c>
      <c r="P3" t="inlineStr"/>
      <c r="Q3" t="inlineStr">
        <is>
          <t>Engine 4</t>
        </is>
      </c>
      <c r="R3" t="inlineStr">
        <is>
          <t>FD25027262S002U011</t>
        </is>
      </c>
      <c r="S3" t="n">
        <v>1</v>
      </c>
      <c r="T3" t="n">
        <v>3</v>
      </c>
      <c r="U3" t="n">
        <v>1967</v>
      </c>
      <c r="V3" t="inlineStr">
        <is>
          <t>INDUSTRIAL WAREHOUSE</t>
        </is>
      </c>
      <c r="W3" t="inlineStr">
        <is>
          <t>N</t>
        </is>
      </c>
      <c r="X3" t="n">
        <v>658400</v>
      </c>
      <c r="Y3" t="n">
        <v>0</v>
      </c>
      <c r="Z3" t="n">
        <v>0</v>
      </c>
      <c r="AA3" t="b">
        <v>0</v>
      </c>
      <c r="AB3" t="inlineStr">
        <is>
          <t>26-15592</t>
        </is>
      </c>
      <c r="AC3" t="inlineStr">
        <is>
          <t>07/17/2026 17:47:17: E4 dispatched to the above location for a mulch fire that is reported to now be smoldering. On our arrival noted an approx 1 foot diameter circle of mulch smoldering in the yard next to a tree. Hose reel deployed and area extinguished using tank water (approx 20 gallons) and a trash hook for overhaul. Confirmed area was extinguished and there were no other areas in need of extinguishment.</t>
        </is>
      </c>
      <c r="AD3" t="inlineStr">
        <is>
          <t>https://api.neris.fsri.org/v1/pygeoapi/collections/points/items/44928517</t>
        </is>
      </c>
      <c r="AE3" t="inlineStr">
        <is>
          <t>ACTION</t>
        </is>
      </c>
      <c r="AF3" t="inlineStr">
        <is>
          <t>SUPPRESSION||OUTSIDE_FIRE_SUPPRESSION||FIRE_CONTROL_EXTINGUISHMENT</t>
        </is>
      </c>
      <c r="AG3" t="inlineStr">
        <is>
          <t>26-15592</t>
        </is>
      </c>
      <c r="AH3" t="inlineStr">
        <is>
          <t>2026-07-17T21:23:45+00:00</t>
        </is>
      </c>
      <c r="AI3" t="inlineStr">
        <is>
          <t>2026-07-17T21:10:00+00:00</t>
        </is>
      </c>
      <c r="AJ3" t="inlineStr">
        <is>
          <t>2026-07-17T21:10:00+00:00</t>
        </is>
      </c>
      <c r="AK3" t="inlineStr">
        <is>
          <t>2026-07-17T21:10:00+00:00</t>
        </is>
      </c>
      <c r="AL3" t="inlineStr">
        <is>
          <t>https://api.neris.fsri.org/v1/pygeoapi/collections/points/items/44928518</t>
        </is>
      </c>
      <c r="AM3" t="inlineStr">
        <is>
          <t>Engine 4</t>
        </is>
      </c>
      <c r="AN3" t="n">
        <v>1</v>
      </c>
      <c r="AO3" t="n">
        <v>3</v>
      </c>
      <c r="AP3" t="inlineStr">
        <is>
          <t>OUTSIDE</t>
        </is>
      </c>
      <c r="AQ3" t="n">
        <v>0</v>
      </c>
      <c r="AR3" t="inlineStr">
        <is>
          <t>UNABLE_TO_BE_DETERMINED</t>
        </is>
      </c>
      <c r="AS3" t="inlineStr">
        <is>
          <t>TANK_WATER</t>
        </is>
      </c>
      <c r="AT3" t="inlineStr">
        <is>
          <t>NO</t>
        </is>
      </c>
      <c r="AU3" t="inlineStr">
        <is>
          <t>NONE</t>
        </is>
      </c>
      <c r="AV3" t="inlineStr"/>
      <c r="AW3" t="inlineStr">
        <is>
          <t>2026-07-17T21:00:00+00:00</t>
        </is>
      </c>
      <c r="AX3" t="inlineStr">
        <is>
          <t>1000</t>
        </is>
      </c>
      <c r="AY3" t="inlineStr">
        <is>
          <t>Sunny</t>
        </is>
      </c>
      <c r="AZ3" t="n">
        <v>83.3</v>
      </c>
      <c r="BA3" t="n">
        <v>46.2</v>
      </c>
      <c r="BB3" t="n">
        <v>80.90000000000001</v>
      </c>
      <c r="BC3" t="n">
        <v>1015</v>
      </c>
      <c r="BD3" t="n">
        <v>27</v>
      </c>
      <c r="BE3" t="n">
        <v>61.3</v>
      </c>
      <c r="BF3" t="n">
        <v>83.3</v>
      </c>
      <c r="BG3" t="n">
        <v>80.90000000000001</v>
      </c>
      <c r="BH3" t="n">
        <v>83.3</v>
      </c>
      <c r="BI3" t="n">
        <v>31680</v>
      </c>
      <c r="BJ3" t="n">
        <v>8.699999999999999</v>
      </c>
      <c r="BK3" t="n">
        <v>300</v>
      </c>
      <c r="BL3" t="n">
        <v>0</v>
      </c>
      <c r="BM3" t="n">
        <v>0</v>
      </c>
      <c r="BN3" t="n">
        <v>0</v>
      </c>
      <c r="BO3" t="inlineStr">
        <is>
          <t>day</t>
        </is>
      </c>
      <c r="BP3" t="n">
        <v>106</v>
      </c>
      <c r="BQ3" t="n">
        <v>93</v>
      </c>
      <c r="BR3" t="n">
        <v>1</v>
      </c>
      <c r="BS3" t="n">
        <v>0.3</v>
      </c>
      <c r="BT3" t="n">
        <v>7.5</v>
      </c>
      <c r="BU3" t="n">
        <v>8.1</v>
      </c>
      <c r="BV3" t="n">
        <v>1</v>
      </c>
      <c r="BW3" t="n">
        <v>1</v>
      </c>
      <c r="BX3" t="n">
        <v>0</v>
      </c>
      <c r="BY3" t="n">
        <v>0</v>
      </c>
      <c r="BZ3" t="n">
        <v>0</v>
      </c>
      <c r="CA3" t="n">
        <v>0</v>
      </c>
      <c r="CB3" t="n">
        <v>260.12</v>
      </c>
      <c r="CC3" t="n">
        <v>129.39</v>
      </c>
      <c r="CD3" t="n">
        <v>0</v>
      </c>
      <c r="CE3" t="inlineStr">
        <is>
          <t>25027736300</t>
        </is>
      </c>
      <c r="CF3" t="inlineStr">
        <is>
          <t>736300</t>
        </is>
      </c>
      <c r="CG3" t="inlineStr">
        <is>
          <t>2004</t>
        </is>
      </c>
      <c r="CH3" t="n">
        <v>1.65</v>
      </c>
      <c r="CI3" t="n">
        <v>1508.5</v>
      </c>
      <c r="CJ3" t="n">
        <v>0</v>
      </c>
      <c r="CK3" t="inlineStr">
        <is>
          <t>2026-07-22T11:42:33.869356+00:00</t>
        </is>
      </c>
    </row>
    <row r="4">
      <c r="A4" t="inlineStr">
        <is>
          <t>FD25027262</t>
        </is>
      </c>
      <c r="B4" t="inlineStr">
        <is>
          <t>Auburn Fire Department</t>
        </is>
      </c>
      <c r="C4" t="inlineStr">
        <is>
          <t>FD25027262|26-14901|1783707000</t>
        </is>
      </c>
      <c r="D4" t="inlineStr">
        <is>
          <t>APPROVED</t>
        </is>
      </c>
      <c r="E4" t="inlineStr">
        <is>
          <t>base_location</t>
        </is>
      </c>
      <c r="F4" t="n">
        <v>777</v>
      </c>
      <c r="G4" t="inlineStr">
        <is>
          <t>WASHINGTON</t>
        </is>
      </c>
      <c r="H4" t="n">
        <v/>
      </c>
      <c r="I4" t="n">
        <v/>
      </c>
      <c r="J4" t="inlineStr">
        <is>
          <t>MA</t>
        </is>
      </c>
      <c r="K4" t="inlineStr">
        <is>
          <t>01501</t>
        </is>
      </c>
      <c r="L4" t="inlineStr">
        <is>
          <t>Worcester County</t>
        </is>
      </c>
      <c r="M4" t="inlineStr">
        <is>
          <t>RMS</t>
        </is>
      </c>
      <c r="N4" t="inlineStr">
        <is>
          <t>26-14901</t>
        </is>
      </c>
      <c r="O4" t="inlineStr">
        <is>
          <t>FIRE||OUTSIDE_FIRE||VEGETATION_GRASS_FIRE</t>
        </is>
      </c>
      <c r="P4" t="inlineStr"/>
      <c r="Q4" t="inlineStr">
        <is>
          <t>Engine 4</t>
        </is>
      </c>
      <c r="R4" t="inlineStr">
        <is>
          <t>FD25027262S002U011</t>
        </is>
      </c>
      <c r="S4" t="n">
        <v>1</v>
      </c>
      <c r="T4" t="n">
        <v>2</v>
      </c>
      <c r="U4" t="n">
        <v>1992</v>
      </c>
      <c r="V4" t="inlineStr">
        <is>
          <t>RETAIL - DEPARTMENT STORE</t>
        </is>
      </c>
      <c r="W4" t="inlineStr">
        <is>
          <t>N</t>
        </is>
      </c>
      <c r="X4" t="n">
        <v>3403400</v>
      </c>
      <c r="Y4" t="n">
        <v>0</v>
      </c>
      <c r="Z4" t="n">
        <v>0</v>
      </c>
      <c r="AA4" t="b">
        <v>0</v>
      </c>
      <c r="AB4" t="inlineStr">
        <is>
          <t>26-14901</t>
        </is>
      </c>
      <c r="AC4" t="inlineStr">
        <is>
          <t>07/10/2026 18:30:03: Dispatched for a small outside fire. PTA a passerby had extinguished the fire with a dry chem extinguisher. E4 found a small area or mulch that had recently burned in the median between 2 travel lanes. Area was hydraulically overhauled. Engine 4 cleared.</t>
        </is>
      </c>
      <c r="AD4" t="inlineStr">
        <is>
          <t>https://api.neris.fsri.org/v1/pygeoapi/collections/points/items/43170034</t>
        </is>
      </c>
      <c r="AE4" t="inlineStr">
        <is>
          <t>ACTION</t>
        </is>
      </c>
      <c r="AF4" t="inlineStr">
        <is>
          <t>SUPPRESSION||OUTSIDE_FIRE_SUPPRESSION||FIRE_CONTROL_EXTINGUISHMENT</t>
        </is>
      </c>
      <c r="AG4" t="inlineStr">
        <is>
          <t>26-14901</t>
        </is>
      </c>
      <c r="AH4" t="inlineStr">
        <is>
          <t>2026-07-10T18:28:09+00:00</t>
        </is>
      </c>
      <c r="AI4" t="inlineStr">
        <is>
          <t>2026-07-10T18:10:00+00:00</t>
        </is>
      </c>
      <c r="AJ4" t="inlineStr">
        <is>
          <t>2026-07-10T18:10:00+00:00</t>
        </is>
      </c>
      <c r="AK4" t="inlineStr">
        <is>
          <t>2026-07-10T18:10:00+00:00</t>
        </is>
      </c>
      <c r="AL4" t="inlineStr">
        <is>
          <t>https://api.neris.fsri.org/v1/pygeoapi/collections/points/items/43170035</t>
        </is>
      </c>
      <c r="AM4" t="inlineStr">
        <is>
          <t>Engine 4</t>
        </is>
      </c>
      <c r="AN4" t="n">
        <v>1</v>
      </c>
      <c r="AO4" t="n">
        <v>2</v>
      </c>
      <c r="AP4" t="inlineStr">
        <is>
          <t>OUTSIDE</t>
        </is>
      </c>
      <c r="AQ4" t="n">
        <v>0</v>
      </c>
      <c r="AR4" t="inlineStr">
        <is>
          <t>SMOKING_MATERIALS_ILLICIT_DRUGS</t>
        </is>
      </c>
      <c r="AS4" t="inlineStr">
        <is>
          <t>TANK_WATER</t>
        </is>
      </c>
      <c r="AT4" t="inlineStr">
        <is>
          <t>NO</t>
        </is>
      </c>
      <c r="AU4" t="inlineStr">
        <is>
          <t>NONE</t>
        </is>
      </c>
      <c r="AV4" t="inlineStr"/>
      <c r="AW4" t="inlineStr">
        <is>
          <t>2026-07-10T18:00:00+00:00</t>
        </is>
      </c>
      <c r="AX4" t="inlineStr">
        <is>
          <t>1000</t>
        </is>
      </c>
      <c r="AY4" t="inlineStr">
        <is>
          <t>Sunny</t>
        </is>
      </c>
      <c r="AZ4" t="n">
        <v>82.90000000000001</v>
      </c>
      <c r="BA4" t="n">
        <v>65.8</v>
      </c>
      <c r="BB4" t="n">
        <v>85.59999999999999</v>
      </c>
      <c r="BC4" t="n">
        <v>1008</v>
      </c>
      <c r="BD4" t="n">
        <v>56</v>
      </c>
      <c r="BE4" t="n">
        <v>70.3</v>
      </c>
      <c r="BF4" t="n">
        <v>84.59999999999999</v>
      </c>
      <c r="BG4" t="n">
        <v>85.59999999999999</v>
      </c>
      <c r="BH4" t="n">
        <v>82.90000000000001</v>
      </c>
      <c r="BI4" t="n">
        <v>31680</v>
      </c>
      <c r="BJ4" t="n">
        <v>7.2</v>
      </c>
      <c r="BK4" t="n">
        <v>329</v>
      </c>
      <c r="BL4" t="n">
        <v>19</v>
      </c>
      <c r="BM4" t="n">
        <v>0</v>
      </c>
      <c r="BN4" t="n">
        <v>0</v>
      </c>
      <c r="BO4" t="inlineStr">
        <is>
          <t>day</t>
        </is>
      </c>
      <c r="BP4" t="n">
        <v>131</v>
      </c>
      <c r="BQ4" t="n">
        <v>103</v>
      </c>
      <c r="BR4" t="n">
        <v>0.8</v>
      </c>
      <c r="BS4" t="n">
        <v>0.5</v>
      </c>
      <c r="BT4" t="n">
        <v>2.6</v>
      </c>
      <c r="BU4" t="n">
        <v>2.8</v>
      </c>
      <c r="BV4" t="n">
        <v>1</v>
      </c>
      <c r="BW4" t="n">
        <v>1</v>
      </c>
      <c r="BX4" t="n">
        <v>0</v>
      </c>
      <c r="BY4" t="n">
        <v>0</v>
      </c>
      <c r="BZ4" t="n">
        <v>0</v>
      </c>
      <c r="CA4" t="n">
        <v>0</v>
      </c>
      <c r="CB4" t="n">
        <v>162.99</v>
      </c>
      <c r="CC4" t="n">
        <v>84.11</v>
      </c>
      <c r="CD4" t="n">
        <v>0</v>
      </c>
      <c r="CE4" t="inlineStr">
        <is>
          <t>25027736100</t>
        </is>
      </c>
      <c r="CF4" t="inlineStr">
        <is>
          <t>736100</t>
        </is>
      </c>
      <c r="CG4" t="inlineStr">
        <is>
          <t>2025</t>
        </is>
      </c>
      <c r="CH4" t="n">
        <v>5.29</v>
      </c>
      <c r="CI4" t="n">
        <v>508.1</v>
      </c>
      <c r="CJ4" t="n">
        <v>0</v>
      </c>
      <c r="CK4" t="inlineStr">
        <is>
          <t>2026-07-14T18:14:15.816350+00:00</t>
        </is>
      </c>
    </row>
    <row r="5">
      <c r="A5" t="inlineStr">
        <is>
          <t>FD25027262</t>
        </is>
      </c>
      <c r="B5" t="inlineStr">
        <is>
          <t>Auburn Fire Department</t>
        </is>
      </c>
      <c r="C5" t="inlineStr">
        <is>
          <t>FD25027262|26-11459|1780600380</t>
        </is>
      </c>
      <c r="D5" t="inlineStr">
        <is>
          <t>APPROVED</t>
        </is>
      </c>
      <c r="E5" t="inlineStr">
        <is>
          <t>base_location</t>
        </is>
      </c>
      <c r="F5" t="n">
        <v>452</v>
      </c>
      <c r="G5" t="inlineStr">
        <is>
          <t>SOUTHBRIDGE</t>
        </is>
      </c>
      <c r="H5" t="n">
        <v/>
      </c>
      <c r="I5" t="n">
        <v/>
      </c>
      <c r="J5" t="inlineStr">
        <is>
          <t>MA</t>
        </is>
      </c>
      <c r="K5" t="inlineStr">
        <is>
          <t>01501</t>
        </is>
      </c>
      <c r="L5" t="inlineStr">
        <is>
          <t>Worcester County</t>
        </is>
      </c>
      <c r="M5" t="inlineStr">
        <is>
          <t>RMS</t>
        </is>
      </c>
      <c r="N5" t="inlineStr">
        <is>
          <t>26-11459</t>
        </is>
      </c>
      <c r="O5" t="inlineStr">
        <is>
          <t>FIRE||OUTSIDE_FIRE||VEGETATION_GRASS_FIRE</t>
        </is>
      </c>
      <c r="P5" t="inlineStr"/>
      <c r="Q5" t="inlineStr">
        <is>
          <t>Engine 4</t>
        </is>
      </c>
      <c r="R5" t="inlineStr">
        <is>
          <t>FD25027262S002U011</t>
        </is>
      </c>
      <c r="S5" t="n">
        <v>1</v>
      </c>
      <c r="T5" t="n">
        <v>3</v>
      </c>
      <c r="U5" t="n">
        <v>2014</v>
      </c>
      <c r="V5" t="inlineStr">
        <is>
          <t>RESTAURANT/BAR</t>
        </is>
      </c>
      <c r="W5" t="inlineStr">
        <is>
          <t>N</t>
        </is>
      </c>
      <c r="X5" t="n">
        <v>378600</v>
      </c>
      <c r="Y5" t="n">
        <v>0</v>
      </c>
      <c r="Z5" t="n">
        <v>0</v>
      </c>
      <c r="AA5" t="b">
        <v>0</v>
      </c>
      <c r="AB5" t="inlineStr">
        <is>
          <t>26-11459</t>
        </is>
      </c>
      <c r="AC5" t="inlineStr">
        <is>
          <t>06/04/2026 15:59:27: Dispatched to a small mulch fire in the island between LaQuinta and Outback.  Fire extinguished and overhauled.  E4 cleared.</t>
        </is>
      </c>
      <c r="AD5" t="inlineStr">
        <is>
          <t>https://api.neris.fsri.org/v1/pygeoapi/collections/points/items/34287033</t>
        </is>
      </c>
      <c r="AE5" t="inlineStr">
        <is>
          <t>ACTION</t>
        </is>
      </c>
      <c r="AF5" t="inlineStr">
        <is>
          <t>SUPPRESSION||OUTSIDE_FIRE_SUPPRESSION||FIRE_CONTROL_EXTINGUISHMENT</t>
        </is>
      </c>
      <c r="AG5" t="inlineStr">
        <is>
          <t>26-11459</t>
        </is>
      </c>
      <c r="AH5" t="inlineStr">
        <is>
          <t>2026-06-04T19:25:36+00:00</t>
        </is>
      </c>
      <c r="AI5" t="inlineStr">
        <is>
          <t>2026-06-04T19:13:00+00:00</t>
        </is>
      </c>
      <c r="AJ5" t="inlineStr">
        <is>
          <t>2026-06-04T19:13:00+00:00</t>
        </is>
      </c>
      <c r="AK5" t="inlineStr">
        <is>
          <t>2026-06-04T19:13:00+00:00</t>
        </is>
      </c>
      <c r="AL5" t="inlineStr">
        <is>
          <t>https://api.neris.fsri.org/v1/pygeoapi/collections/points/items/34287034</t>
        </is>
      </c>
      <c r="AM5" t="inlineStr">
        <is>
          <t>Engine 4</t>
        </is>
      </c>
      <c r="AN5" t="n">
        <v>1</v>
      </c>
      <c r="AO5" t="n">
        <v>3</v>
      </c>
      <c r="AP5" t="inlineStr">
        <is>
          <t>OUTSIDE</t>
        </is>
      </c>
      <c r="AQ5" t="n">
        <v/>
      </c>
      <c r="AR5" t="inlineStr">
        <is>
          <t>UNABLE_TO_BE_DETERMINED</t>
        </is>
      </c>
      <c r="AS5" t="inlineStr">
        <is>
          <t>TANK_WATER</t>
        </is>
      </c>
      <c r="AT5" t="inlineStr">
        <is>
          <t>NO</t>
        </is>
      </c>
      <c r="AU5" t="inlineStr">
        <is>
          <t>NONE</t>
        </is>
      </c>
      <c r="AV5" t="inlineStr"/>
      <c r="AW5" t="inlineStr">
        <is>
          <t>2026-06-04T19:00:00+00:00</t>
        </is>
      </c>
      <c r="AX5" t="inlineStr">
        <is>
          <t>1000</t>
        </is>
      </c>
      <c r="AY5" t="inlineStr">
        <is>
          <t>Sunny</t>
        </is>
      </c>
      <c r="AZ5" t="n">
        <v>87.8</v>
      </c>
      <c r="BA5" t="n">
        <v>53.7</v>
      </c>
      <c r="BB5" t="n">
        <v>86.2</v>
      </c>
      <c r="BC5" t="n">
        <v>1016</v>
      </c>
      <c r="BD5" t="n">
        <v>31</v>
      </c>
      <c r="BE5" t="n">
        <v>54.8</v>
      </c>
      <c r="BF5" t="n">
        <v>87.8</v>
      </c>
      <c r="BG5" t="n">
        <v>86.2</v>
      </c>
      <c r="BH5" t="n">
        <v>87.8</v>
      </c>
      <c r="BI5" t="n">
        <v>31680</v>
      </c>
      <c r="BJ5" t="n">
        <v>7.4</v>
      </c>
      <c r="BK5" t="n">
        <v>243</v>
      </c>
      <c r="BL5" t="n">
        <v>0</v>
      </c>
      <c r="BM5" t="n">
        <v>0</v>
      </c>
      <c r="BN5" t="n">
        <v>0</v>
      </c>
      <c r="BO5" t="inlineStr">
        <is>
          <t>day</t>
        </is>
      </c>
      <c r="BP5" t="n">
        <v>123</v>
      </c>
      <c r="BQ5" t="n">
        <v>116</v>
      </c>
      <c r="BR5" t="n">
        <v>0.7</v>
      </c>
      <c r="BS5" t="n">
        <v>0.4</v>
      </c>
      <c r="BT5" t="n">
        <v>1.8</v>
      </c>
      <c r="BU5" t="n">
        <v>1.8</v>
      </c>
      <c r="BV5" t="n">
        <v>1</v>
      </c>
      <c r="BW5" t="n">
        <v>1</v>
      </c>
      <c r="BX5" t="n">
        <v>0</v>
      </c>
      <c r="BY5" t="n">
        <v>0</v>
      </c>
      <c r="BZ5" t="n">
        <v>0</v>
      </c>
      <c r="CA5" t="n">
        <v>70.36</v>
      </c>
      <c r="CB5" t="n">
        <v>113.26</v>
      </c>
      <c r="CC5" t="n">
        <v>9.44</v>
      </c>
      <c r="CD5" t="n">
        <v>0</v>
      </c>
      <c r="CE5" t="inlineStr">
        <is>
          <t>25027736300</t>
        </is>
      </c>
      <c r="CF5" t="n">
        <v/>
      </c>
      <c r="CG5" t="n">
        <v/>
      </c>
      <c r="CH5" t="n">
        <v>1.65</v>
      </c>
      <c r="CI5" t="n">
        <v>1508.5</v>
      </c>
      <c r="CJ5" t="n">
        <v>0</v>
      </c>
      <c r="CK5" t="inlineStr">
        <is>
          <t>2026-09-10T23:12:54.315355+00:00</t>
        </is>
      </c>
    </row>
    <row r="6">
      <c r="A6" t="inlineStr">
        <is>
          <t>FD25027262</t>
        </is>
      </c>
      <c r="B6" t="inlineStr">
        <is>
          <t>Auburn Fire Department</t>
        </is>
      </c>
      <c r="C6" t="inlineStr">
        <is>
          <t>FD25027262|26-8612|1777659540</t>
        </is>
      </c>
      <c r="D6" t="inlineStr">
        <is>
          <t>APPROVED</t>
        </is>
      </c>
      <c r="E6" t="inlineStr">
        <is>
          <t>base_location</t>
        </is>
      </c>
      <c r="F6" t="n">
        <v>20</v>
      </c>
      <c r="G6" t="inlineStr">
        <is>
          <t>MILLBURY</t>
        </is>
      </c>
      <c r="H6" t="n">
        <v/>
      </c>
      <c r="I6" t="n">
        <v/>
      </c>
      <c r="J6" t="inlineStr">
        <is>
          <t>MA</t>
        </is>
      </c>
      <c r="K6" t="inlineStr">
        <is>
          <t>01501</t>
        </is>
      </c>
      <c r="L6" t="inlineStr">
        <is>
          <t>Worcester County</t>
        </is>
      </c>
      <c r="M6" t="inlineStr">
        <is>
          <t>RMS</t>
        </is>
      </c>
      <c r="N6" t="inlineStr">
        <is>
          <t>26-8612</t>
        </is>
      </c>
      <c r="O6" t="inlineStr">
        <is>
          <t>FIRE||OUTSIDE_FIRE||VEGETATION_GRASS_FIRE</t>
        </is>
      </c>
      <c r="P6" t="inlineStr"/>
      <c r="Q6" t="inlineStr">
        <is>
          <t>Tanker 1||Ambulance 1||Car 3||Engine 1</t>
        </is>
      </c>
      <c r="R6" t="inlineStr">
        <is>
          <t>FD25027262S002U009||FD25027262S003U005||FD25027262S002U010||FD25027262S003U000</t>
        </is>
      </c>
      <c r="S6" t="n">
        <v>4</v>
      </c>
      <c r="T6" t="n">
        <v>6</v>
      </c>
      <c r="U6" t="n">
        <v>1980</v>
      </c>
      <c r="V6" t="inlineStr">
        <is>
          <t>TRUCKING TERMINAL</t>
        </is>
      </c>
      <c r="W6" t="inlineStr">
        <is>
          <t>N</t>
        </is>
      </c>
      <c r="X6" t="n">
        <v>480400</v>
      </c>
      <c r="Y6" t="n">
        <v>0</v>
      </c>
      <c r="Z6" t="n">
        <v>0</v>
      </c>
      <c r="AA6" t="b">
        <v>0</v>
      </c>
      <c r="AB6" t="inlineStr">
        <is>
          <t>26-8612</t>
        </is>
      </c>
      <c r="AC6" t="inlineStr">
        <is>
          <t>05/01/2026 16:48:31: Dispatched to the train track behind Ryder rental for a brush fire.  Area of approximately 50&amp;#x27; x 20&amp;#x27; found burning.  Fire extinguished and overhauled.  All companies cleared.</t>
        </is>
      </c>
      <c r="AD6" t="inlineStr">
        <is>
          <t>https://api.neris.fsri.org/v1/pygeoapi/collections/points/items/26196754</t>
        </is>
      </c>
      <c r="AE6" t="inlineStr">
        <is>
          <t>ACTION</t>
        </is>
      </c>
      <c r="AF6" t="inlineStr">
        <is>
          <t>SUPPRESSION||OUTSIDE_FIRE_SUPPRESSION||FIRE_CONTROL_EXTINGUISHMENT</t>
        </is>
      </c>
      <c r="AG6" t="inlineStr">
        <is>
          <t>26-8612</t>
        </is>
      </c>
      <c r="AH6" t="inlineStr">
        <is>
          <t>2026-05-01T19:33:03+00:00</t>
        </is>
      </c>
      <c r="AI6" t="inlineStr">
        <is>
          <t>2026-05-01T18:19:00+00:00</t>
        </is>
      </c>
      <c r="AJ6" t="inlineStr">
        <is>
          <t>2026-05-01T18:19:00+00:00</t>
        </is>
      </c>
      <c r="AK6" t="inlineStr">
        <is>
          <t>2026-05-01T18:19:00+00:00</t>
        </is>
      </c>
      <c r="AL6" t="inlineStr">
        <is>
          <t>https://api.neris.fsri.org/v1/pygeoapi/collections/points/items/26196755</t>
        </is>
      </c>
      <c r="AM6" t="inlineStr">
        <is>
          <t>Ambulance 1||Car 3||Engine 1||Tanker 1</t>
        </is>
      </c>
      <c r="AN6" t="n">
        <v>4</v>
      </c>
      <c r="AO6" t="n">
        <v>6</v>
      </c>
      <c r="AP6" t="inlineStr">
        <is>
          <t>OUTSIDE</t>
        </is>
      </c>
      <c r="AQ6" t="n">
        <v/>
      </c>
      <c r="AR6" t="inlineStr">
        <is>
          <t>RAILROAD_OPS_MAINTENANCE</t>
        </is>
      </c>
      <c r="AS6" t="inlineStr">
        <is>
          <t>TANK_WATER</t>
        </is>
      </c>
      <c r="AT6" t="inlineStr">
        <is>
          <t>NO</t>
        </is>
      </c>
      <c r="AU6" t="inlineStr">
        <is>
          <t>NONE</t>
        </is>
      </c>
      <c r="AV6" t="inlineStr"/>
      <c r="AW6" t="inlineStr">
        <is>
          <t>2026-05-01T18:00:00+00:00</t>
        </is>
      </c>
      <c r="AX6" t="inlineStr">
        <is>
          <t>1003</t>
        </is>
      </c>
      <c r="AY6" t="inlineStr">
        <is>
          <t>Partly cloudy</t>
        </is>
      </c>
      <c r="AZ6" t="n">
        <v>55.8</v>
      </c>
      <c r="BA6" t="n">
        <v>34.2</v>
      </c>
      <c r="BB6" t="n">
        <v>53</v>
      </c>
      <c r="BC6" t="n">
        <v>1010</v>
      </c>
      <c r="BD6" t="n">
        <v>43</v>
      </c>
      <c r="BE6" t="n">
        <v>38.8</v>
      </c>
      <c r="BF6" t="n">
        <v>58</v>
      </c>
      <c r="BG6" t="n">
        <v>55.8</v>
      </c>
      <c r="BH6" t="n">
        <v>53</v>
      </c>
      <c r="BI6" t="n">
        <v>31680</v>
      </c>
      <c r="BJ6" t="n">
        <v>10.7</v>
      </c>
      <c r="BK6" t="n">
        <v>291</v>
      </c>
      <c r="BL6" t="n">
        <v>45</v>
      </c>
      <c r="BM6" t="n">
        <v>0</v>
      </c>
      <c r="BN6" t="n">
        <v>0</v>
      </c>
      <c r="BO6" t="inlineStr">
        <is>
          <t>day</t>
        </is>
      </c>
      <c r="BP6" t="n">
        <v>145.8500061035156</v>
      </c>
      <c r="BQ6" t="n">
        <v>87</v>
      </c>
      <c r="BR6" t="n">
        <v>2.150000095367432</v>
      </c>
      <c r="BS6" t="n">
        <v>1.049999952316284</v>
      </c>
      <c r="BT6" t="n">
        <v>2.150000095367432</v>
      </c>
      <c r="BU6" t="n">
        <v>2.25</v>
      </c>
      <c r="BV6" t="n">
        <v>1</v>
      </c>
      <c r="BW6" t="n">
        <v>1</v>
      </c>
      <c r="BX6" t="n">
        <v>0</v>
      </c>
      <c r="BY6" t="n">
        <v>0</v>
      </c>
      <c r="BZ6" t="n">
        <v>311.28</v>
      </c>
      <c r="CA6" t="n">
        <v>350.8</v>
      </c>
      <c r="CB6" t="n">
        <v>0</v>
      </c>
      <c r="CC6" t="n">
        <v>0</v>
      </c>
      <c r="CD6" t="n">
        <v>0</v>
      </c>
      <c r="CE6" t="inlineStr">
        <is>
          <t>25027736500</t>
        </is>
      </c>
      <c r="CF6" t="n">
        <v/>
      </c>
      <c r="CG6" t="n">
        <v/>
      </c>
      <c r="CH6" t="n">
        <v>5.23</v>
      </c>
      <c r="CI6" t="n">
        <v>882.2</v>
      </c>
      <c r="CJ6" t="n">
        <v>0</v>
      </c>
      <c r="CK6" t="inlineStr">
        <is>
          <t>2026-09-10T21:27:56.037212+00:00</t>
        </is>
      </c>
    </row>
    <row r="7">
      <c r="A7" t="inlineStr">
        <is>
          <t>FD25027262</t>
        </is>
      </c>
      <c r="B7" t="inlineStr">
        <is>
          <t>Auburn Fire Department</t>
        </is>
      </c>
      <c r="C7" t="inlineStr">
        <is>
          <t>FD25027262|26-8263|1777249260</t>
        </is>
      </c>
      <c r="D7" t="inlineStr">
        <is>
          <t>APPROVED</t>
        </is>
      </c>
      <c r="E7" t="inlineStr">
        <is>
          <t>base_location</t>
        </is>
      </c>
      <c r="F7" t="n">
        <v>183</v>
      </c>
      <c r="G7" t="inlineStr">
        <is>
          <t>SOUTH</t>
        </is>
      </c>
      <c r="H7" t="n">
        <v/>
      </c>
      <c r="I7" t="n">
        <v/>
      </c>
      <c r="J7" t="inlineStr">
        <is>
          <t>MA</t>
        </is>
      </c>
      <c r="K7" t="inlineStr">
        <is>
          <t>01501</t>
        </is>
      </c>
      <c r="L7" t="inlineStr">
        <is>
          <t>Worcester County</t>
        </is>
      </c>
      <c r="M7" t="inlineStr">
        <is>
          <t>RMS</t>
        </is>
      </c>
      <c r="N7" t="inlineStr">
        <is>
          <t>26-8263</t>
        </is>
      </c>
      <c r="O7" t="inlineStr">
        <is>
          <t>FIRE||OUTSIDE_FIRE||VEGETATION_GRASS_FIRE</t>
        </is>
      </c>
      <c r="P7" t="inlineStr"/>
      <c r="Q7" t="inlineStr">
        <is>
          <t>Ambulance 1||Engine 1</t>
        </is>
      </c>
      <c r="R7" t="inlineStr">
        <is>
          <t>FD25027262S003U005||FD25027262S003U000</t>
        </is>
      </c>
      <c r="S7" t="n">
        <v>2</v>
      </c>
      <c r="T7" t="n">
        <v>4</v>
      </c>
      <c r="U7" t="n">
        <v>1966</v>
      </c>
      <c r="V7" t="inlineStr">
        <is>
          <t>2-FAMILY RESIDENCE</t>
        </is>
      </c>
      <c r="W7" t="inlineStr">
        <is>
          <t>Y</t>
        </is>
      </c>
      <c r="X7" t="n">
        <v>124300</v>
      </c>
      <c r="Y7" t="n">
        <v>0</v>
      </c>
      <c r="Z7" t="n">
        <v>0</v>
      </c>
      <c r="AA7" t="b">
        <v>0</v>
      </c>
      <c r="AB7" t="inlineStr">
        <is>
          <t>26-8263</t>
        </is>
      </c>
      <c r="AC7" t="inlineStr">
        <is>
          <t>04/26/2026 22:25:30: Dispatched to an outside fire.  On arrival found a permitted fire that had rekindled an 8x8 foot area with no exposure hazards.  Homeowner was actively attempting to extinguish fire with hose from the house.  Fire extinguished and overhauled.  All companies cleared.</t>
        </is>
      </c>
      <c r="AD7" t="inlineStr">
        <is>
          <t>https://api.neris.fsri.org/v1/pygeoapi/collections/points/items/24486257</t>
        </is>
      </c>
      <c r="AE7" t="inlineStr">
        <is>
          <t>ACTION</t>
        </is>
      </c>
      <c r="AF7" t="inlineStr">
        <is>
          <t>SUPPRESSION||OUTSIDE_FIRE_SUPPRESSION||FIRE_CONTROL_EXTINGUISHMENT</t>
        </is>
      </c>
      <c r="AG7" t="inlineStr">
        <is>
          <t>26-8263</t>
        </is>
      </c>
      <c r="AH7" t="inlineStr">
        <is>
          <t>2026-04-27T00:40:46+00:00</t>
        </is>
      </c>
      <c r="AI7" t="inlineStr">
        <is>
          <t>2026-04-27T00:21:00+00:00</t>
        </is>
      </c>
      <c r="AJ7" t="inlineStr">
        <is>
          <t>2026-04-27T00:21:00+00:00</t>
        </is>
      </c>
      <c r="AK7" t="inlineStr">
        <is>
          <t>2026-04-27T00:21:00+00:00</t>
        </is>
      </c>
      <c r="AL7" t="inlineStr">
        <is>
          <t>https://api.neris.fsri.org/v1/pygeoapi/collections/points/items/24486256</t>
        </is>
      </c>
      <c r="AM7" t="inlineStr">
        <is>
          <t>Ambulance 1||Engine 1</t>
        </is>
      </c>
      <c r="AN7" t="n">
        <v>2</v>
      </c>
      <c r="AO7" t="n">
        <v>4</v>
      </c>
      <c r="AP7" t="inlineStr">
        <is>
          <t>OUTSIDE</t>
        </is>
      </c>
      <c r="AQ7" t="n">
        <v/>
      </c>
      <c r="AR7" t="inlineStr">
        <is>
          <t>DEBRIS_OPEN_BURNING</t>
        </is>
      </c>
      <c r="AS7" t="inlineStr">
        <is>
          <t>TANK_WATER</t>
        </is>
      </c>
      <c r="AT7" t="inlineStr">
        <is>
          <t>NO</t>
        </is>
      </c>
      <c r="AU7" t="inlineStr">
        <is>
          <t>NONE</t>
        </is>
      </c>
      <c r="AV7" t="inlineStr"/>
      <c r="AW7" t="inlineStr">
        <is>
          <t>2026-04-28T00:00:00+00:00</t>
        </is>
      </c>
      <c r="AX7" t="inlineStr">
        <is>
          <t>1000</t>
        </is>
      </c>
      <c r="AY7" t="inlineStr">
        <is>
          <t>Clear</t>
        </is>
      </c>
      <c r="AZ7" t="n">
        <v>45.3</v>
      </c>
      <c r="BA7" t="n">
        <v>35.8</v>
      </c>
      <c r="BB7" t="n">
        <v>42.3</v>
      </c>
      <c r="BC7" t="n">
        <v>1025</v>
      </c>
      <c r="BD7" t="n">
        <v>71</v>
      </c>
      <c r="BE7" t="n">
        <v>36.3</v>
      </c>
      <c r="BF7" t="n">
        <v>60.3</v>
      </c>
      <c r="BG7" t="n">
        <v>45.3</v>
      </c>
      <c r="BH7" t="n">
        <v>42.3</v>
      </c>
      <c r="BI7" t="n">
        <v>31680</v>
      </c>
      <c r="BJ7" t="n">
        <v>5.4</v>
      </c>
      <c r="BK7" t="n">
        <v>80</v>
      </c>
      <c r="BL7" t="n">
        <v>2</v>
      </c>
      <c r="BM7" t="n">
        <v>0</v>
      </c>
      <c r="BN7" t="n">
        <v>0</v>
      </c>
      <c r="BO7" t="inlineStr">
        <is>
          <t>night</t>
        </is>
      </c>
      <c r="BP7" t="n">
        <v>158.6499938964844</v>
      </c>
      <c r="BQ7" t="n">
        <v>80</v>
      </c>
      <c r="BR7" t="n">
        <v>11.85000038146973</v>
      </c>
      <c r="BS7" t="n">
        <v>2.549999952316284</v>
      </c>
      <c r="BT7" t="n">
        <v>3.849999904632568</v>
      </c>
      <c r="BU7" t="n">
        <v>4.25</v>
      </c>
      <c r="BV7" t="n">
        <v>1</v>
      </c>
      <c r="BW7" t="n">
        <v>1</v>
      </c>
      <c r="BX7" t="n">
        <v>0</v>
      </c>
      <c r="BY7" t="n">
        <v>0</v>
      </c>
      <c r="BZ7" t="n">
        <v>231.08</v>
      </c>
      <c r="CA7" t="n">
        <v>256.35</v>
      </c>
      <c r="CB7" t="n">
        <v>0</v>
      </c>
      <c r="CC7" t="n">
        <v>0</v>
      </c>
      <c r="CD7" t="n">
        <v>0</v>
      </c>
      <c r="CE7" t="inlineStr">
        <is>
          <t>25027736500</t>
        </is>
      </c>
      <c r="CF7" t="n">
        <v/>
      </c>
      <c r="CG7" t="n">
        <v/>
      </c>
      <c r="CH7" t="n">
        <v>5.23</v>
      </c>
      <c r="CI7" t="n">
        <v>882.2</v>
      </c>
      <c r="CJ7" t="n">
        <v>0</v>
      </c>
      <c r="CK7" t="inlineStr">
        <is>
          <t>2026-09-10T21:06:22.722887+00:00</t>
        </is>
      </c>
    </row>
    <row r="8">
      <c r="A8" t="inlineStr">
        <is>
          <t>FD25027262</t>
        </is>
      </c>
      <c r="B8" t="inlineStr">
        <is>
          <t>Auburn Fire Department</t>
        </is>
      </c>
      <c r="C8" t="inlineStr">
        <is>
          <t>FD25027262|26-8252|1777231620</t>
        </is>
      </c>
      <c r="D8" t="inlineStr">
        <is>
          <t>APPROVED</t>
        </is>
      </c>
      <c r="E8" t="inlineStr">
        <is>
          <t>base_location_geocoded</t>
        </is>
      </c>
      <c r="F8" t="n">
        <v/>
      </c>
      <c r="G8" t="inlineStr">
        <is>
          <t>Washington</t>
        </is>
      </c>
      <c r="H8" t="n">
        <v/>
      </c>
      <c r="I8" t="inlineStr">
        <is>
          <t>Auburn</t>
        </is>
      </c>
      <c r="J8" t="inlineStr">
        <is>
          <t>MA</t>
        </is>
      </c>
      <c r="K8" t="inlineStr">
        <is>
          <t>01501</t>
        </is>
      </c>
      <c r="L8" t="inlineStr">
        <is>
          <t>Worcester County</t>
        </is>
      </c>
      <c r="M8" t="inlineStr">
        <is>
          <t>RMS</t>
        </is>
      </c>
      <c r="N8" t="inlineStr">
        <is>
          <t>26-8252</t>
        </is>
      </c>
      <c r="O8" t="inlineStr">
        <is>
          <t>FIRE||OUTSIDE_FIRE||VEGETATION_GRASS_FIRE</t>
        </is>
      </c>
      <c r="P8" t="inlineStr"/>
      <c r="Q8" t="inlineStr">
        <is>
          <t>Car 3||Engine 3||Forestry 1</t>
        </is>
      </c>
      <c r="R8" t="inlineStr">
        <is>
          <t>FD25027262S002U010||FD25027262S002U014||FD25027262S003U003</t>
        </is>
      </c>
      <c r="S8" t="n">
        <v>3</v>
      </c>
      <c r="T8" t="n">
        <v>7</v>
      </c>
      <c r="U8" t="n">
        <v>1961</v>
      </c>
      <c r="V8" t="inlineStr">
        <is>
          <t>1-FAMILY RESIDENCE</t>
        </is>
      </c>
      <c r="W8" t="inlineStr">
        <is>
          <t>Y</t>
        </is>
      </c>
      <c r="X8" t="n">
        <v>125900</v>
      </c>
      <c r="Y8" t="n">
        <v>0</v>
      </c>
      <c r="Z8" t="n">
        <v>0</v>
      </c>
      <c r="AA8" t="b">
        <v>0</v>
      </c>
      <c r="AB8" t="inlineStr">
        <is>
          <t>26-8252</t>
        </is>
      </c>
      <c r="AC8" t="inlineStr">
        <is>
          <t>04/26/2026 17:49:24: Engine 3 and Car 3 to the area of 377 Washington Street for the potential brush fire called in by a passerby. Upon arrival smoke showing from the back yard of 4 Old Common Road. Upon investigation we find an approximately 60x50 area of brush burning. The resident appears to be trying to extinguish areas. He does not have a burn permit and the fire is not under control or contained at this time. Forestry requested to the scene. Fire extinguished, overhauled, and resident advised. All companies clear.</t>
        </is>
      </c>
      <c r="AD8" t="n">
        <v/>
      </c>
      <c r="AE8" t="inlineStr">
        <is>
          <t>ACTION</t>
        </is>
      </c>
      <c r="AF8" t="inlineStr">
        <is>
          <t>SUPPRESSION||OUTSIDE_FIRE_SUPPRESSION||FIRE_CONTROL_EXTINGUISHMENT</t>
        </is>
      </c>
      <c r="AG8" t="inlineStr">
        <is>
          <t>26-8252</t>
        </is>
      </c>
      <c r="AH8" t="inlineStr">
        <is>
          <t>2026-04-26T20:28:19+00:00</t>
        </is>
      </c>
      <c r="AI8" t="inlineStr">
        <is>
          <t>2026-04-26T19:27:00+00:00</t>
        </is>
      </c>
      <c r="AJ8" t="inlineStr">
        <is>
          <t>2026-04-26T19:27:00+00:00</t>
        </is>
      </c>
      <c r="AK8" t="inlineStr">
        <is>
          <t>2026-04-26T19:27:00+00:00</t>
        </is>
      </c>
      <c r="AL8" t="n">
        <v/>
      </c>
      <c r="AM8" t="inlineStr">
        <is>
          <t>Car 3||Engine 3||Forestry 1</t>
        </is>
      </c>
      <c r="AN8" t="n">
        <v>3</v>
      </c>
      <c r="AO8" t="n">
        <v>7</v>
      </c>
      <c r="AP8" t="inlineStr">
        <is>
          <t>OUTSIDE</t>
        </is>
      </c>
      <c r="AQ8" t="n">
        <v/>
      </c>
      <c r="AR8" t="inlineStr">
        <is>
          <t>SPREAD_FROM_CONTROLLED_BURN</t>
        </is>
      </c>
      <c r="AS8" t="inlineStr">
        <is>
          <t>TANK_WATER</t>
        </is>
      </c>
      <c r="AT8" t="inlineStr">
        <is>
          <t>NOT_EVALUATED</t>
        </is>
      </c>
      <c r="AU8" t="inlineStr">
        <is>
          <t>NONE</t>
        </is>
      </c>
      <c r="AV8" t="inlineStr"/>
      <c r="AW8" t="inlineStr">
        <is>
          <t>2026-04-26T19:00:00+00:00</t>
        </is>
      </c>
      <c r="AX8" t="inlineStr">
        <is>
          <t>1009</t>
        </is>
      </c>
      <c r="AY8" t="inlineStr">
        <is>
          <t>Overcast</t>
        </is>
      </c>
      <c r="AZ8" t="n">
        <v>54.7</v>
      </c>
      <c r="BA8" t="n">
        <v>31.1</v>
      </c>
      <c r="BB8" t="n">
        <v>52.7</v>
      </c>
      <c r="BC8" t="n">
        <v>1021</v>
      </c>
      <c r="BD8" t="n">
        <v>45</v>
      </c>
      <c r="BE8" t="n">
        <v>38.5</v>
      </c>
      <c r="BF8" t="n">
        <v>54.7</v>
      </c>
      <c r="BG8" t="n">
        <v>54.7</v>
      </c>
      <c r="BH8" t="n">
        <v>52.7</v>
      </c>
      <c r="BI8" t="n">
        <v>31680</v>
      </c>
      <c r="BJ8" t="n">
        <v>7.4</v>
      </c>
      <c r="BK8" t="n">
        <v>95</v>
      </c>
      <c r="BL8" t="n">
        <v>93</v>
      </c>
      <c r="BM8" t="n">
        <v>0</v>
      </c>
      <c r="BN8" t="n">
        <v>0</v>
      </c>
      <c r="BO8" t="inlineStr">
        <is>
          <t>day</t>
        </is>
      </c>
      <c r="BP8" t="n">
        <v>156.8500061035156</v>
      </c>
      <c r="BQ8" t="n">
        <v>104</v>
      </c>
      <c r="BR8" t="n">
        <v>2.549999952316284</v>
      </c>
      <c r="BS8" t="n">
        <v>1.450000047683716</v>
      </c>
      <c r="BT8" t="n">
        <v>3.849999904632568</v>
      </c>
      <c r="BU8" t="n">
        <v>5.25</v>
      </c>
      <c r="BV8" t="n">
        <v>1</v>
      </c>
      <c r="BW8" t="n">
        <v>1</v>
      </c>
      <c r="BX8" t="n">
        <v>0</v>
      </c>
      <c r="BY8" t="n">
        <v>0</v>
      </c>
      <c r="BZ8" t="n">
        <v>342.69</v>
      </c>
      <c r="CA8" t="n">
        <v>404.07</v>
      </c>
      <c r="CB8" t="n">
        <v>0</v>
      </c>
      <c r="CC8" t="n">
        <v>0</v>
      </c>
      <c r="CD8" t="n">
        <v>0</v>
      </c>
      <c r="CE8" t="inlineStr">
        <is>
          <t>25027736500</t>
        </is>
      </c>
      <c r="CF8" t="n">
        <v/>
      </c>
      <c r="CG8" t="n">
        <v/>
      </c>
      <c r="CH8" t="n">
        <v>5.23</v>
      </c>
      <c r="CI8" t="n">
        <v>882.2</v>
      </c>
      <c r="CJ8" t="n">
        <v>0</v>
      </c>
      <c r="CK8" t="inlineStr">
        <is>
          <t>2026-09-10T21:05:13.287219+00:00</t>
        </is>
      </c>
    </row>
    <row r="9">
      <c r="A9" t="inlineStr">
        <is>
          <t>FD25027262</t>
        </is>
      </c>
      <c r="B9" t="inlineStr">
        <is>
          <t>Auburn Fire Department</t>
        </is>
      </c>
      <c r="C9" t="inlineStr">
        <is>
          <t>FD25027262|26-7020|1775840880</t>
        </is>
      </c>
      <c r="D9" t="inlineStr">
        <is>
          <t>APPROVED</t>
        </is>
      </c>
      <c r="E9" t="inlineStr">
        <is>
          <t>base_location</t>
        </is>
      </c>
      <c r="F9" t="n">
        <v/>
      </c>
      <c r="G9" t="inlineStr">
        <is>
          <t>113 WASHINGTON ST</t>
        </is>
      </c>
      <c r="H9" t="inlineStr">
        <is>
          <t>8A</t>
        </is>
      </c>
      <c r="I9" t="n">
        <v/>
      </c>
      <c r="J9" t="inlineStr">
        <is>
          <t>MA</t>
        </is>
      </c>
      <c r="K9" t="inlineStr">
        <is>
          <t>01501</t>
        </is>
      </c>
      <c r="L9" t="n">
        <v/>
      </c>
      <c r="M9" t="inlineStr">
        <is>
          <t>RMS</t>
        </is>
      </c>
      <c r="N9" t="inlineStr">
        <is>
          <t>26-7020</t>
        </is>
      </c>
      <c r="O9" t="inlineStr">
        <is>
          <t>FIRE||OUTSIDE_FIRE||VEGETATION_GRASS_FIRE</t>
        </is>
      </c>
      <c r="P9" t="inlineStr"/>
      <c r="Q9" t="inlineStr">
        <is>
          <t>Ambulance 1||Ambulance 3||Car 2||Car 3||Engine 1||Engine 4</t>
        </is>
      </c>
      <c r="R9" t="inlineStr">
        <is>
          <t>FD25027262S003U005||FD25027262S002U003||FD25027262S002U002||FD25027262S002U010||FD25027262S003U000||FD25027262S002U011</t>
        </is>
      </c>
      <c r="S9" t="n">
        <v>6</v>
      </c>
      <c r="T9" t="n">
        <v>11</v>
      </c>
      <c r="U9" t="n">
        <v/>
      </c>
      <c r="V9" t="inlineStr">
        <is>
          <t>MIXED USE - COMM &amp; OTHER</t>
        </is>
      </c>
      <c r="W9" t="inlineStr">
        <is>
          <t>N</t>
        </is>
      </c>
      <c r="X9" t="n">
        <v>187000</v>
      </c>
      <c r="Y9" t="n">
        <v>0</v>
      </c>
      <c r="Z9" t="n">
        <v>0</v>
      </c>
      <c r="AA9" t="b">
        <v>0</v>
      </c>
      <c r="AB9" t="inlineStr">
        <is>
          <t>26-7020</t>
        </is>
      </c>
      <c r="AC9" t="inlineStr">
        <is>
          <t>04/10/2026 13:50:28: The companies were dispatched to location for a Odor of smoke in the area.  U/T/A of the companies it was determined that the cause of the smoke was from a permitted fire on Pinrock Rd.  Engine-1 went to investigate to confirm it was a permitted fire, once confirmation was made all companies cleared the scene.  ***</t>
        </is>
      </c>
      <c r="AD9" t="inlineStr">
        <is>
          <t>https://api.neris.fsri.org/v1/pygeoapi/collections/points/items/21715080</t>
        </is>
      </c>
      <c r="AE9" t="inlineStr">
        <is>
          <t>ACTION</t>
        </is>
      </c>
      <c r="AF9" t="inlineStr">
        <is>
          <t>INVESTIGATION</t>
        </is>
      </c>
      <c r="AG9" t="inlineStr">
        <is>
          <t>26-7020</t>
        </is>
      </c>
      <c r="AH9" t="inlineStr">
        <is>
          <t>2026-04-10T17:28:38+00:00</t>
        </is>
      </c>
      <c r="AI9" t="inlineStr">
        <is>
          <t>2026-04-10T17:08:00+00:00</t>
        </is>
      </c>
      <c r="AJ9" t="inlineStr">
        <is>
          <t>2026-04-10T17:08:00+00:00</t>
        </is>
      </c>
      <c r="AK9" t="inlineStr">
        <is>
          <t>2026-04-10T17:08:00+00:00</t>
        </is>
      </c>
      <c r="AL9" t="inlineStr">
        <is>
          <t>https://api.neris.fsri.org/v1/pygeoapi/collections/points/items/21715081</t>
        </is>
      </c>
      <c r="AM9" t="inlineStr">
        <is>
          <t>Ambulance 1||Ambulance 3||Car 2||Car 3||Engine 1||Engine 4</t>
        </is>
      </c>
      <c r="AN9" t="n">
        <v>6</v>
      </c>
      <c r="AO9" t="n">
        <v>11</v>
      </c>
      <c r="AP9" t="inlineStr">
        <is>
          <t>OUTSIDE</t>
        </is>
      </c>
      <c r="AQ9" t="n">
        <v/>
      </c>
      <c r="AR9" t="inlineStr">
        <is>
          <t>DEBRIS_OPEN_BURNING</t>
        </is>
      </c>
      <c r="AS9" t="inlineStr">
        <is>
          <t>NONE</t>
        </is>
      </c>
      <c r="AT9" t="inlineStr">
        <is>
          <t>NO</t>
        </is>
      </c>
      <c r="AU9" t="inlineStr">
        <is>
          <t>NONE</t>
        </is>
      </c>
      <c r="AV9" t="inlineStr"/>
      <c r="AW9" t="inlineStr">
        <is>
          <t>2026-04-10T17:00:00+00:00</t>
        </is>
      </c>
      <c r="AX9" t="inlineStr">
        <is>
          <t>1000</t>
        </is>
      </c>
      <c r="AY9" t="inlineStr">
        <is>
          <t>Sunny</t>
        </is>
      </c>
      <c r="AZ9" t="n">
        <v>57</v>
      </c>
      <c r="BA9" t="n">
        <v>42.4</v>
      </c>
      <c r="BB9" t="n">
        <v>55.9</v>
      </c>
      <c r="BC9" t="n">
        <v>1022</v>
      </c>
      <c r="BD9" t="n">
        <v>58</v>
      </c>
      <c r="BE9" t="n">
        <v>34</v>
      </c>
      <c r="BF9" t="n">
        <v>59</v>
      </c>
      <c r="BG9" t="n">
        <v>57</v>
      </c>
      <c r="BH9" t="n">
        <v>55.9</v>
      </c>
      <c r="BI9" t="n">
        <v>31680</v>
      </c>
      <c r="BJ9" t="n">
        <v>11.2</v>
      </c>
      <c r="BK9" t="n">
        <v>222</v>
      </c>
      <c r="BL9" t="n">
        <v>2</v>
      </c>
      <c r="BM9" t="n">
        <v>0</v>
      </c>
      <c r="BN9" t="n">
        <v>0</v>
      </c>
      <c r="BO9" t="inlineStr">
        <is>
          <t>day</t>
        </is>
      </c>
      <c r="BP9" t="n">
        <v>188.8500061035156</v>
      </c>
      <c r="BQ9" t="n">
        <v>104</v>
      </c>
      <c r="BR9" t="n">
        <v>5.449999809265137</v>
      </c>
      <c r="BS9" t="n">
        <v>5.349999904632568</v>
      </c>
      <c r="BT9" t="n">
        <v>10.85000038146973</v>
      </c>
      <c r="BU9" t="n">
        <v>14.64999961853027</v>
      </c>
      <c r="BV9" t="n">
        <v>1</v>
      </c>
      <c r="BW9" t="n">
        <v>1</v>
      </c>
      <c r="BX9" t="n">
        <v>0</v>
      </c>
      <c r="BY9" t="n">
        <v>0.26</v>
      </c>
      <c r="BZ9" t="n">
        <v>151.76</v>
      </c>
      <c r="CA9" t="n">
        <v>185.99</v>
      </c>
      <c r="CB9" t="n">
        <v>0</v>
      </c>
      <c r="CC9" t="n">
        <v>0</v>
      </c>
      <c r="CD9" t="n">
        <v>0</v>
      </c>
      <c r="CE9" t="inlineStr">
        <is>
          <t>25027736500</t>
        </is>
      </c>
      <c r="CF9" t="n">
        <v/>
      </c>
      <c r="CG9" t="n">
        <v/>
      </c>
      <c r="CH9" t="n">
        <v>5.23</v>
      </c>
      <c r="CI9" t="n">
        <v>882.2</v>
      </c>
      <c r="CJ9" t="n">
        <v>0</v>
      </c>
      <c r="CK9" t="inlineStr">
        <is>
          <t>2026-09-10T20:06:48.878922+00:00</t>
        </is>
      </c>
    </row>
    <row r="10">
      <c r="A10" t="inlineStr">
        <is>
          <t>FD25027262</t>
        </is>
      </c>
      <c r="B10" t="inlineStr">
        <is>
          <t>Auburn Fire Department</t>
        </is>
      </c>
      <c r="C10" t="inlineStr">
        <is>
          <t>FD25027262|26-6326|1774979460</t>
        </is>
      </c>
      <c r="D10" t="inlineStr">
        <is>
          <t>APPROVED</t>
        </is>
      </c>
      <c r="E10" t="inlineStr">
        <is>
          <t>base_location</t>
        </is>
      </c>
      <c r="F10" t="n">
        <v>182</v>
      </c>
      <c r="G10" t="inlineStr">
        <is>
          <t>AUBURN</t>
        </is>
      </c>
      <c r="H10" t="n">
        <v/>
      </c>
      <c r="I10" t="n">
        <v/>
      </c>
      <c r="J10" t="inlineStr">
        <is>
          <t>MA</t>
        </is>
      </c>
      <c r="K10" t="inlineStr">
        <is>
          <t>01501</t>
        </is>
      </c>
      <c r="L10" t="inlineStr">
        <is>
          <t>Worcester County</t>
        </is>
      </c>
      <c r="M10" t="inlineStr">
        <is>
          <t>RMS</t>
        </is>
      </c>
      <c r="N10" t="inlineStr">
        <is>
          <t>26-6326</t>
        </is>
      </c>
      <c r="O10" t="inlineStr">
        <is>
          <t>MEDICAL||INJURY||MOTOR_VEHICLE_COLLISION</t>
        </is>
      </c>
      <c r="P10" t="inlineStr">
        <is>
          <t>FIRE||OUTSIDE_FIRE||VEGETATION_GRASS_FIRE||HAZSIT||HAZARD_NONCHEM||ELEC_POWER_LINE_DOWN_ARCHING_MALFUNC</t>
        </is>
      </c>
      <c r="Q10" t="inlineStr">
        <is>
          <t>Ambulance 3||Car 3||Engine 1||Engine 4</t>
        </is>
      </c>
      <c r="R10" t="inlineStr">
        <is>
          <t>FD25027262S002U003||FD25027262S002U010||FD25027262S003U000||FD25027262S002U011</t>
        </is>
      </c>
      <c r="S10" t="n">
        <v>4</v>
      </c>
      <c r="T10" t="n">
        <v>9</v>
      </c>
      <c r="U10" t="n">
        <v/>
      </c>
      <c r="V10" t="inlineStr">
        <is>
          <t>MIXED USE - PRIM RESD &amp; COMM</t>
        </is>
      </c>
      <c r="W10" t="inlineStr">
        <is>
          <t>N</t>
        </is>
      </c>
      <c r="X10" t="n">
        <v>226500</v>
      </c>
      <c r="Y10" t="n">
        <v>0</v>
      </c>
      <c r="Z10" t="n">
        <v>0</v>
      </c>
      <c r="AA10" t="b">
        <v>0</v>
      </c>
      <c r="AB10" t="inlineStr">
        <is>
          <t>26-6326</t>
        </is>
      </c>
      <c r="AC10" t="inlineStr">
        <is>
          <t>03/31/2026 15:10:15: Engine 4 and Ambulance 3 dispatched for an MVA into a pole. Updated that the pole was on the car, wires were live and arching. National Grid requested for a priority response. C3 requested to the scene. A3 on scene reported 1 person in the vehicle and a small grass fire from arching. Power in the area appeared out, no arching at present. Contact was made with the driver who was awake and alert. She was coached to stay in her vehicle until National Grid was on scene to confirm no power. She reported minor injuries. Her vehicle had snapped 1 power pole that was being suspended by utility lines. It appeared that both the primary and secondary power lines had snapped.   While waiting for National Grid the fire self extinguished. National Grid on scene and confirmed no live power to the lines and it was safe to removed the patient from the car. She was transferred to a stretcher and moved to the ambulance. 1 patient transported to Memorial Hospital, BLS.   Car 3 and Engine 1 cleared. Engine 4 overhauled an approx. 5&amp;#x27; x 5&amp;#x27; area that had burned from arching power lines. E4 cleared, scene left with APD and National Grid. No other hazards.</t>
        </is>
      </c>
      <c r="AD10" t="inlineStr">
        <is>
          <t>https://api.neris.fsri.org/v1/pygeoapi/collections/points/items/19716251</t>
        </is>
      </c>
      <c r="AE10" t="inlineStr">
        <is>
          <t>ACTION</t>
        </is>
      </c>
      <c r="AF10" t="inlineStr">
        <is>
          <t>EMERGENCY_MEDICAL_CARE||PROVIDE_TRANSPORT||INFORMATION_ENFORCEMENT||REFER_TO_PROPER_AHJ||SUPPRESSION||OUTSIDE_FIRE_SUPPRESSION||FIRE_CONTROL_EXTINGUISHMENT</t>
        </is>
      </c>
      <c r="AG10" t="inlineStr">
        <is>
          <t>26-6326</t>
        </is>
      </c>
      <c r="AH10" t="inlineStr">
        <is>
          <t>2026-03-31T18:48:41+00:00</t>
        </is>
      </c>
      <c r="AI10" t="inlineStr">
        <is>
          <t>2026-03-31T17:51:00+00:00</t>
        </is>
      </c>
      <c r="AJ10" t="inlineStr">
        <is>
          <t>2026-03-31T17:51:00+00:00</t>
        </is>
      </c>
      <c r="AK10" t="inlineStr">
        <is>
          <t>2026-03-31T17:51:00+00:00</t>
        </is>
      </c>
      <c r="AL10" t="inlineStr">
        <is>
          <t>https://api.neris.fsri.org/v1/pygeoapi/collections/points/items/19716250</t>
        </is>
      </c>
      <c r="AM10" t="inlineStr">
        <is>
          <t>Ambulance 3||Car 3||Engine 1||Engine 4</t>
        </is>
      </c>
      <c r="AN10" t="n">
        <v>4</v>
      </c>
      <c r="AO10" t="n">
        <v>9</v>
      </c>
      <c r="AP10" t="inlineStr">
        <is>
          <t>OUTSIDE</t>
        </is>
      </c>
      <c r="AQ10" t="n">
        <v/>
      </c>
      <c r="AR10" t="inlineStr">
        <is>
          <t>POWER_GEN_TRANS_DIST</t>
        </is>
      </c>
      <c r="AS10" t="inlineStr">
        <is>
          <t>TANK_WATER</t>
        </is>
      </c>
      <c r="AT10" t="inlineStr">
        <is>
          <t>NO</t>
        </is>
      </c>
      <c r="AU10" t="inlineStr">
        <is>
          <t>NONE</t>
        </is>
      </c>
      <c r="AV10" t="inlineStr">
        <is>
          <t>BOOSTER_FIRE_HOSE</t>
        </is>
      </c>
      <c r="AW10" t="inlineStr">
        <is>
          <t>2026-03-31T17:00:00+00:00</t>
        </is>
      </c>
      <c r="AX10" t="inlineStr">
        <is>
          <t>1087</t>
        </is>
      </c>
      <c r="AY10" t="inlineStr">
        <is>
          <t>Thundery outbreaks possible</t>
        </is>
      </c>
      <c r="AZ10" t="n">
        <v>55.6</v>
      </c>
      <c r="BA10" t="n">
        <v>51.8</v>
      </c>
      <c r="BB10" t="n">
        <v>54</v>
      </c>
      <c r="BC10" t="n">
        <v>1019</v>
      </c>
      <c r="BD10" t="n">
        <v>87</v>
      </c>
      <c r="BE10" t="n">
        <v>48.9</v>
      </c>
      <c r="BF10" t="n">
        <v>62.2</v>
      </c>
      <c r="BG10" t="n">
        <v>55.6</v>
      </c>
      <c r="BH10" t="n">
        <v>54</v>
      </c>
      <c r="BI10" t="n">
        <v>31680</v>
      </c>
      <c r="BJ10" t="n">
        <v>8.699999999999999</v>
      </c>
      <c r="BK10" t="n">
        <v>228</v>
      </c>
      <c r="BL10" t="n">
        <v>100</v>
      </c>
      <c r="BM10" t="n">
        <v>0</v>
      </c>
      <c r="BN10" t="n">
        <v>0</v>
      </c>
      <c r="BO10" t="inlineStr">
        <is>
          <t>day</t>
        </is>
      </c>
      <c r="BP10" t="n">
        <v/>
      </c>
      <c r="BQ10" t="n">
        <v/>
      </c>
      <c r="BR10" t="n">
        <v/>
      </c>
      <c r="BS10" t="n">
        <v/>
      </c>
      <c r="BT10" t="n">
        <v/>
      </c>
      <c r="BU10" t="n">
        <v/>
      </c>
      <c r="BV10" t="n">
        <v/>
      </c>
      <c r="BW10" t="n">
        <v/>
      </c>
      <c r="BX10" t="n">
        <v/>
      </c>
      <c r="BY10" t="n">
        <v/>
      </c>
      <c r="BZ10" t="n">
        <v/>
      </c>
      <c r="CA10" t="n">
        <v/>
      </c>
      <c r="CB10" t="n">
        <v/>
      </c>
      <c r="CC10" t="n">
        <v/>
      </c>
      <c r="CD10" t="n">
        <v/>
      </c>
      <c r="CE10" t="inlineStr">
        <is>
          <t>25027736300</t>
        </is>
      </c>
      <c r="CF10" t="n">
        <v/>
      </c>
      <c r="CG10" t="n">
        <v/>
      </c>
      <c r="CH10" t="n">
        <v>1.65</v>
      </c>
      <c r="CI10" t="n">
        <v>1508.5</v>
      </c>
      <c r="CJ10" t="n">
        <v>0</v>
      </c>
      <c r="CK10" t="inlineStr">
        <is>
          <t>2026-09-10T19:55:28.063899+00:00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6" customWidth="1" min="1" max="1"/>
    <col width="85" customWidth="1" min="2" max="2"/>
  </cols>
  <sheetData>
    <row r="1">
      <c r="A1" s="8" t="inlineStr">
        <is>
          <t>Report source</t>
        </is>
      </c>
      <c r="B1" s="8" t="inlineStr">
        <is>
          <t>IncidentPull_VegetationFires.py</t>
        </is>
      </c>
    </row>
    <row r="2">
      <c r="A2" t="inlineStr">
        <is>
          <t>Report date/range</t>
        </is>
      </c>
      <c r="B2" t="inlineStr">
        <is>
          <t>2026-03-31T17:51:00+00:00 through 2026-07-24T12:48:00+00:00 (observed incident timestamps)</t>
        </is>
      </c>
    </row>
    <row r="3">
      <c r="A3" t="inlineStr">
        <is>
          <t>Generated at</t>
        </is>
      </c>
      <c r="B3" t="inlineStr">
        <is>
          <t>2026-09-16T14:42:33-04:00</t>
        </is>
      </c>
    </row>
    <row r="5">
      <c r="A5" s="8" t="inlineStr">
        <is>
          <t>Included sheets</t>
        </is>
      </c>
      <c r="B5" s="8" t="inlineStr">
        <is>
          <t>Summary, Overview, Raw Data, Casualty &amp; Rescue</t>
        </is>
      </c>
    </row>
    <row r="6">
      <c r="A6" t="inlineStr">
        <is>
          <t>Included incident types</t>
        </is>
      </c>
      <c r="B6" t="inlineStr">
        <is>
          <t>FIRE||OUTSIDE_FIRE||VEGETATION_GRASS_FIRE; WILDLAND_WILDFIRE; WILDLAND_URBAN_INTERFACE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2026-09-16T18:42:33Z</dcterms:created>
  <dcterms:modified xsi:type="dcterms:W3CDTF">2026-09-16T18:42:33Z</dcterms:modified>
</cp:coreProperties>
</file>