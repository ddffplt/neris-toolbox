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dion\Python Scripts\neris-toolbox\"/>
    </mc:Choice>
  </mc:AlternateContent>
  <xr:revisionPtr revIDLastSave="0" documentId="13_ncr:1_{EC4848B5-C8B5-44B4-B903-45BFF7959F6D}" xr6:coauthVersionLast="47" xr6:coauthVersionMax="47" xr10:uidLastSave="{00000000-0000-0000-0000-000000000000}"/>
  <bookViews>
    <workbookView xWindow="0" yWindow="360" windowWidth="19420" windowHeight="10300" activeTab="2" xr2:uid="{00000000-000D-0000-FFFF-FFFF00000000}"/>
  </bookViews>
  <sheets>
    <sheet name="Summary" sheetId="1" r:id="rId1"/>
    <sheet name="Overview" sheetId="2" r:id="rId2"/>
    <sheet name="Raw Data" sheetId="3" r:id="rId3"/>
    <sheet name="Casualty &amp; Rescue" sheetId="4" r:id="rId4"/>
    <sheet name="Report Sources" sheetId="5" r:id="rId5"/>
  </sheets>
  <definedNames>
    <definedName name="_xlnm._FilterDatabase" localSheetId="1" hidden="1">Overview!$A$1:$X$329</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I2" i="4" s="1"/>
  <c r="E329" i="2"/>
  <c r="H329" i="2" s="1"/>
  <c r="E328" i="2"/>
  <c r="F328" i="2" s="1"/>
  <c r="E327" i="2"/>
  <c r="J327" i="2" s="1"/>
  <c r="E326" i="2"/>
  <c r="G326" i="2" s="1"/>
  <c r="E325" i="2"/>
  <c r="G325" i="2" s="1"/>
  <c r="E324" i="2"/>
  <c r="E323" i="2"/>
  <c r="I323" i="2" s="1"/>
  <c r="E322" i="2"/>
  <c r="E321" i="2"/>
  <c r="I321" i="2" s="1"/>
  <c r="E320" i="2"/>
  <c r="E319" i="2"/>
  <c r="G319" i="2" s="1"/>
  <c r="E318" i="2"/>
  <c r="I318" i="2" s="1"/>
  <c r="E317" i="2"/>
  <c r="G317" i="2" s="1"/>
  <c r="E316" i="2"/>
  <c r="E315" i="2"/>
  <c r="I315" i="2" s="1"/>
  <c r="E314" i="2"/>
  <c r="E313" i="2"/>
  <c r="I313" i="2" s="1"/>
  <c r="E312" i="2"/>
  <c r="E311" i="2"/>
  <c r="G311" i="2" s="1"/>
  <c r="E310" i="2"/>
  <c r="I310" i="2" s="1"/>
  <c r="E309" i="2"/>
  <c r="G309" i="2" s="1"/>
  <c r="E308" i="2"/>
  <c r="E307" i="2"/>
  <c r="I307" i="2" s="1"/>
  <c r="E306" i="2"/>
  <c r="E305" i="2"/>
  <c r="I305" i="2" s="1"/>
  <c r="E304" i="2"/>
  <c r="E303" i="2"/>
  <c r="I303" i="2" s="1"/>
  <c r="E302" i="2"/>
  <c r="I302" i="2" s="1"/>
  <c r="E301" i="2"/>
  <c r="G301" i="2" s="1"/>
  <c r="E300" i="2"/>
  <c r="E299" i="2"/>
  <c r="I299" i="2" s="1"/>
  <c r="E298" i="2"/>
  <c r="E297" i="2"/>
  <c r="I297" i="2" s="1"/>
  <c r="E296" i="2"/>
  <c r="E295" i="2"/>
  <c r="G295" i="2" s="1"/>
  <c r="E294" i="2"/>
  <c r="I294" i="2" s="1"/>
  <c r="E293" i="2"/>
  <c r="G293" i="2" s="1"/>
  <c r="E292" i="2"/>
  <c r="E291" i="2"/>
  <c r="I291" i="2" s="1"/>
  <c r="E290" i="2"/>
  <c r="E289" i="2"/>
  <c r="I289" i="2" s="1"/>
  <c r="E288" i="2"/>
  <c r="E287" i="2"/>
  <c r="G287" i="2" s="1"/>
  <c r="E286" i="2"/>
  <c r="G286" i="2" s="1"/>
  <c r="E285" i="2"/>
  <c r="G285" i="2" s="1"/>
  <c r="E284" i="2"/>
  <c r="E283" i="2"/>
  <c r="I283" i="2" s="1"/>
  <c r="E282" i="2"/>
  <c r="E281" i="2"/>
  <c r="I281" i="2" s="1"/>
  <c r="E280" i="2"/>
  <c r="E279" i="2"/>
  <c r="I279" i="2" s="1"/>
  <c r="E278" i="2"/>
  <c r="I278" i="2" s="1"/>
  <c r="E277" i="2"/>
  <c r="G277" i="2" s="1"/>
  <c r="E276" i="2"/>
  <c r="E275" i="2"/>
  <c r="I275" i="2" s="1"/>
  <c r="E274" i="2"/>
  <c r="E273" i="2"/>
  <c r="I273" i="2" s="1"/>
  <c r="E272" i="2"/>
  <c r="E271" i="2"/>
  <c r="I271" i="2" s="1"/>
  <c r="E270" i="2"/>
  <c r="G270" i="2" s="1"/>
  <c r="E269" i="2"/>
  <c r="G269" i="2" s="1"/>
  <c r="E268" i="2"/>
  <c r="E267" i="2"/>
  <c r="E266" i="2"/>
  <c r="G266" i="2" s="1"/>
  <c r="E265" i="2"/>
  <c r="I265" i="2" s="1"/>
  <c r="E264" i="2"/>
  <c r="E263" i="2"/>
  <c r="I263" i="2" s="1"/>
  <c r="E262" i="2"/>
  <c r="G262" i="2" s="1"/>
  <c r="E261" i="2"/>
  <c r="E260" i="2"/>
  <c r="I260" i="2" s="1"/>
  <c r="E259" i="2"/>
  <c r="E258" i="2"/>
  <c r="E257" i="2"/>
  <c r="I257" i="2" s="1"/>
  <c r="E256" i="2"/>
  <c r="G256" i="2" s="1"/>
  <c r="E255" i="2"/>
  <c r="I255" i="2" s="1"/>
  <c r="E254" i="2"/>
  <c r="G254" i="2" s="1"/>
  <c r="E253" i="2"/>
  <c r="I253" i="2" s="1"/>
  <c r="E252" i="2"/>
  <c r="E251" i="2"/>
  <c r="E250" i="2"/>
  <c r="E249" i="2"/>
  <c r="I249" i="2" s="1"/>
  <c r="E248" i="2"/>
  <c r="E247" i="2"/>
  <c r="I247" i="2" s="1"/>
  <c r="E246" i="2"/>
  <c r="I246" i="2" s="1"/>
  <c r="E245" i="2"/>
  <c r="E244" i="2"/>
  <c r="E243" i="2"/>
  <c r="I243" i="2" s="1"/>
  <c r="E242" i="2"/>
  <c r="I242" i="2" s="1"/>
  <c r="E241" i="2"/>
  <c r="E240" i="2"/>
  <c r="E239" i="2"/>
  <c r="G239" i="2" s="1"/>
  <c r="E238" i="2"/>
  <c r="I238" i="2" s="1"/>
  <c r="E237" i="2"/>
  <c r="G237" i="2" s="1"/>
  <c r="E236" i="2"/>
  <c r="I236" i="2" s="1"/>
  <c r="E235" i="2"/>
  <c r="E234" i="2"/>
  <c r="E233" i="2"/>
  <c r="G233" i="2" s="1"/>
  <c r="E232" i="2"/>
  <c r="E231" i="2"/>
  <c r="I231" i="2" s="1"/>
  <c r="E230" i="2"/>
  <c r="I230" i="2" s="1"/>
  <c r="E229" i="2"/>
  <c r="E228" i="2"/>
  <c r="E227" i="2"/>
  <c r="I227" i="2" s="1"/>
  <c r="E226" i="2"/>
  <c r="I226" i="2" s="1"/>
  <c r="E225" i="2"/>
  <c r="G225" i="2" s="1"/>
  <c r="E224" i="2"/>
  <c r="E223" i="2"/>
  <c r="G223" i="2" s="1"/>
  <c r="E222" i="2"/>
  <c r="G222" i="2" s="1"/>
  <c r="E221" i="2"/>
  <c r="I221" i="2" s="1"/>
  <c r="E220" i="2"/>
  <c r="E219" i="2"/>
  <c r="E218" i="2"/>
  <c r="G218" i="2" s="1"/>
  <c r="E217" i="2"/>
  <c r="E216" i="2"/>
  <c r="F216" i="2" s="1"/>
  <c r="E215" i="2"/>
  <c r="E214" i="2"/>
  <c r="H214" i="2" s="1"/>
  <c r="E213" i="2"/>
  <c r="F213" i="2" s="1"/>
  <c r="E212" i="2"/>
  <c r="E211" i="2"/>
  <c r="J211" i="2" s="1"/>
  <c r="E210" i="2"/>
  <c r="H210" i="2" s="1"/>
  <c r="E209" i="2"/>
  <c r="F209" i="2" s="1"/>
  <c r="E208" i="2"/>
  <c r="H208" i="2" s="1"/>
  <c r="E207" i="2"/>
  <c r="J207" i="2" s="1"/>
  <c r="E206" i="2"/>
  <c r="H206" i="2" s="1"/>
  <c r="E205" i="2"/>
  <c r="F205" i="2" s="1"/>
  <c r="E204" i="2"/>
  <c r="J204" i="2" s="1"/>
  <c r="E203" i="2"/>
  <c r="J203" i="2" s="1"/>
  <c r="E202" i="2"/>
  <c r="H202" i="2" s="1"/>
  <c r="E201" i="2"/>
  <c r="F201" i="2" s="1"/>
  <c r="E200" i="2"/>
  <c r="J200" i="2" s="1"/>
  <c r="E199" i="2"/>
  <c r="J199" i="2" s="1"/>
  <c r="E198" i="2"/>
  <c r="H198" i="2" s="1"/>
  <c r="E197" i="2"/>
  <c r="F197" i="2" s="1"/>
  <c r="E196" i="2"/>
  <c r="G196" i="2" s="1"/>
  <c r="E195" i="2"/>
  <c r="J195" i="2" s="1"/>
  <c r="E194" i="2"/>
  <c r="H194" i="2" s="1"/>
  <c r="E193" i="2"/>
  <c r="F193" i="2" s="1"/>
  <c r="E192" i="2"/>
  <c r="J192" i="2" s="1"/>
  <c r="E191" i="2"/>
  <c r="J191" i="2" s="1"/>
  <c r="E190" i="2"/>
  <c r="H190" i="2" s="1"/>
  <c r="E189" i="2"/>
  <c r="E188" i="2"/>
  <c r="H188" i="2" s="1"/>
  <c r="E187" i="2"/>
  <c r="J187" i="2" s="1"/>
  <c r="E186" i="2"/>
  <c r="E185" i="2"/>
  <c r="F185" i="2" s="1"/>
  <c r="E184" i="2"/>
  <c r="J184" i="2" s="1"/>
  <c r="E183" i="2"/>
  <c r="E182" i="2"/>
  <c r="H182" i="2" s="1"/>
  <c r="E181" i="2"/>
  <c r="F181" i="2" s="1"/>
  <c r="E180" i="2"/>
  <c r="E179" i="2"/>
  <c r="J179" i="2" s="1"/>
  <c r="E178" i="2"/>
  <c r="H178" i="2" s="1"/>
  <c r="E177" i="2"/>
  <c r="F177" i="2" s="1"/>
  <c r="E176" i="2"/>
  <c r="H176" i="2" s="1"/>
  <c r="E175" i="2"/>
  <c r="J175" i="2" s="1"/>
  <c r="E174" i="2"/>
  <c r="H174" i="2" s="1"/>
  <c r="E173" i="2"/>
  <c r="F173" i="2" s="1"/>
  <c r="E172" i="2"/>
  <c r="J172" i="2" s="1"/>
  <c r="E171" i="2"/>
  <c r="J171" i="2" s="1"/>
  <c r="E170" i="2"/>
  <c r="H170" i="2" s="1"/>
  <c r="E169" i="2"/>
  <c r="F169" i="2" s="1"/>
  <c r="E168" i="2"/>
  <c r="J168" i="2" s="1"/>
  <c r="E167" i="2"/>
  <c r="J167" i="2" s="1"/>
  <c r="E166" i="2"/>
  <c r="H166" i="2" s="1"/>
  <c r="E165" i="2"/>
  <c r="F165" i="2" s="1"/>
  <c r="E164" i="2"/>
  <c r="G164" i="2" s="1"/>
  <c r="E163" i="2"/>
  <c r="J163" i="2" s="1"/>
  <c r="E162" i="2"/>
  <c r="H162" i="2" s="1"/>
  <c r="E161" i="2"/>
  <c r="F161" i="2" s="1"/>
  <c r="E160" i="2"/>
  <c r="J160" i="2" s="1"/>
  <c r="E159" i="2"/>
  <c r="J159" i="2" s="1"/>
  <c r="E158" i="2"/>
  <c r="H158" i="2" s="1"/>
  <c r="E157" i="2"/>
  <c r="E156" i="2"/>
  <c r="H156" i="2" s="1"/>
  <c r="E155" i="2"/>
  <c r="J155" i="2" s="1"/>
  <c r="E154" i="2"/>
  <c r="E153" i="2"/>
  <c r="F153" i="2" s="1"/>
  <c r="E152" i="2"/>
  <c r="F152" i="2" s="1"/>
  <c r="E151" i="2"/>
  <c r="E150" i="2"/>
  <c r="H150" i="2" s="1"/>
  <c r="E149" i="2"/>
  <c r="F149" i="2" s="1"/>
  <c r="E148" i="2"/>
  <c r="E147" i="2"/>
  <c r="J147" i="2" s="1"/>
  <c r="E146" i="2"/>
  <c r="F146" i="2" s="1"/>
  <c r="E145" i="2"/>
  <c r="J145" i="2" s="1"/>
  <c r="E144" i="2"/>
  <c r="J144" i="2" s="1"/>
  <c r="E143" i="2"/>
  <c r="H143" i="2" s="1"/>
  <c r="E142" i="2"/>
  <c r="J142" i="2" s="1"/>
  <c r="E141" i="2"/>
  <c r="J141" i="2" s="1"/>
  <c r="E140" i="2"/>
  <c r="E139" i="2"/>
  <c r="H139" i="2" s="1"/>
  <c r="E138" i="2"/>
  <c r="I138" i="2" s="1"/>
  <c r="E137" i="2"/>
  <c r="J137" i="2" s="1"/>
  <c r="E136" i="2"/>
  <c r="E135" i="2"/>
  <c r="H135" i="2" s="1"/>
  <c r="E134" i="2"/>
  <c r="J134" i="2" s="1"/>
  <c r="E133" i="2"/>
  <c r="J133" i="2" s="1"/>
  <c r="E132" i="2"/>
  <c r="E131" i="2"/>
  <c r="H131" i="2" s="1"/>
  <c r="E130" i="2"/>
  <c r="F130" i="2" s="1"/>
  <c r="E129" i="2"/>
  <c r="J129" i="2" s="1"/>
  <c r="E128" i="2"/>
  <c r="E127" i="2"/>
  <c r="H127" i="2" s="1"/>
  <c r="E126" i="2"/>
  <c r="F126" i="2" s="1"/>
  <c r="E125" i="2"/>
  <c r="J125" i="2" s="1"/>
  <c r="E124" i="2"/>
  <c r="E123" i="2"/>
  <c r="H123" i="2" s="1"/>
  <c r="E122" i="2"/>
  <c r="F122" i="2" s="1"/>
  <c r="E121" i="2"/>
  <c r="J121" i="2" s="1"/>
  <c r="E120" i="2"/>
  <c r="E119" i="2"/>
  <c r="H119" i="2" s="1"/>
  <c r="E118" i="2"/>
  <c r="F118" i="2" s="1"/>
  <c r="E117" i="2"/>
  <c r="J117" i="2" s="1"/>
  <c r="E116" i="2"/>
  <c r="E115" i="2"/>
  <c r="H115" i="2" s="1"/>
  <c r="E114" i="2"/>
  <c r="F114" i="2" s="1"/>
  <c r="E113" i="2"/>
  <c r="J113" i="2" s="1"/>
  <c r="E112" i="2"/>
  <c r="E111" i="2"/>
  <c r="H111" i="2" s="1"/>
  <c r="E110" i="2"/>
  <c r="F110" i="2" s="1"/>
  <c r="E109" i="2"/>
  <c r="J109" i="2" s="1"/>
  <c r="E108" i="2"/>
  <c r="E107" i="2"/>
  <c r="H107" i="2" s="1"/>
  <c r="E106" i="2"/>
  <c r="F106" i="2" s="1"/>
  <c r="E105" i="2"/>
  <c r="G105" i="2" s="1"/>
  <c r="E104" i="2"/>
  <c r="E103" i="2"/>
  <c r="H103" i="2" s="1"/>
  <c r="E102" i="2"/>
  <c r="F102" i="2" s="1"/>
  <c r="E101" i="2"/>
  <c r="G101" i="2" s="1"/>
  <c r="E100" i="2"/>
  <c r="E99" i="2"/>
  <c r="H99" i="2" s="1"/>
  <c r="E98" i="2"/>
  <c r="F98" i="2" s="1"/>
  <c r="E97" i="2"/>
  <c r="E96" i="2"/>
  <c r="E95" i="2"/>
  <c r="H95" i="2" s="1"/>
  <c r="E94" i="2"/>
  <c r="F94" i="2" s="1"/>
  <c r="E93" i="2"/>
  <c r="F93" i="2" s="1"/>
  <c r="E92" i="2"/>
  <c r="E91" i="2"/>
  <c r="H91" i="2" s="1"/>
  <c r="E90" i="2"/>
  <c r="F90" i="2" s="1"/>
  <c r="E89" i="2"/>
  <c r="E88" i="2"/>
  <c r="E87" i="2"/>
  <c r="H87" i="2" s="1"/>
  <c r="E86" i="2"/>
  <c r="F86" i="2" s="1"/>
  <c r="E85" i="2"/>
  <c r="E84" i="2"/>
  <c r="E83" i="2"/>
  <c r="H83" i="2" s="1"/>
  <c r="E82" i="2"/>
  <c r="F82" i="2" s="1"/>
  <c r="E81" i="2"/>
  <c r="F81" i="2" s="1"/>
  <c r="E80" i="2"/>
  <c r="E79" i="2"/>
  <c r="H79" i="2" s="1"/>
  <c r="E78" i="2"/>
  <c r="F78" i="2" s="1"/>
  <c r="E77" i="2"/>
  <c r="F77" i="2" s="1"/>
  <c r="E76" i="2"/>
  <c r="E75" i="2"/>
  <c r="H75" i="2" s="1"/>
  <c r="E74" i="2"/>
  <c r="F74" i="2" s="1"/>
  <c r="E73" i="2"/>
  <c r="G73" i="2" s="1"/>
  <c r="E72" i="2"/>
  <c r="E71" i="2"/>
  <c r="H71" i="2" s="1"/>
  <c r="E70" i="2"/>
  <c r="F70" i="2" s="1"/>
  <c r="E69" i="2"/>
  <c r="G69" i="2" s="1"/>
  <c r="E68" i="2"/>
  <c r="E67" i="2"/>
  <c r="H67" i="2" s="1"/>
  <c r="E66" i="2"/>
  <c r="F66" i="2" s="1"/>
  <c r="E65" i="2"/>
  <c r="G65" i="2" s="1"/>
  <c r="E64" i="2"/>
  <c r="E63" i="2"/>
  <c r="H63" i="2" s="1"/>
  <c r="E62" i="2"/>
  <c r="F62" i="2" s="1"/>
  <c r="E61" i="2"/>
  <c r="F61" i="2" s="1"/>
  <c r="E60" i="2"/>
  <c r="E59" i="2"/>
  <c r="H59" i="2" s="1"/>
  <c r="E58" i="2"/>
  <c r="F58" i="2" s="1"/>
  <c r="E57" i="2"/>
  <c r="E56" i="2"/>
  <c r="E55" i="2"/>
  <c r="H55" i="2" s="1"/>
  <c r="E54" i="2"/>
  <c r="F54" i="2" s="1"/>
  <c r="E53" i="2"/>
  <c r="E52" i="2"/>
  <c r="E51" i="2"/>
  <c r="H51" i="2" s="1"/>
  <c r="E50" i="2"/>
  <c r="F50" i="2" s="1"/>
  <c r="E49" i="2"/>
  <c r="F49" i="2" s="1"/>
  <c r="E48" i="2"/>
  <c r="E47" i="2"/>
  <c r="H47" i="2" s="1"/>
  <c r="E46" i="2"/>
  <c r="F46" i="2" s="1"/>
  <c r="E45" i="2"/>
  <c r="F45" i="2" s="1"/>
  <c r="E44" i="2"/>
  <c r="E43" i="2"/>
  <c r="H43" i="2" s="1"/>
  <c r="E42" i="2"/>
  <c r="F42" i="2" s="1"/>
  <c r="E41" i="2"/>
  <c r="G41" i="2" s="1"/>
  <c r="E40" i="2"/>
  <c r="E39" i="2"/>
  <c r="H39" i="2" s="1"/>
  <c r="E38" i="2"/>
  <c r="F38" i="2" s="1"/>
  <c r="E37" i="2"/>
  <c r="G37" i="2" s="1"/>
  <c r="E36" i="2"/>
  <c r="E35" i="2"/>
  <c r="J35" i="2" s="1"/>
  <c r="E34" i="2"/>
  <c r="F34" i="2" s="1"/>
  <c r="E33" i="2"/>
  <c r="F33" i="2" s="1"/>
  <c r="E32" i="2"/>
  <c r="G32" i="2" s="1"/>
  <c r="E31" i="2"/>
  <c r="E30" i="2"/>
  <c r="F30" i="2" s="1"/>
  <c r="E29" i="2"/>
  <c r="E28" i="2"/>
  <c r="E27" i="2"/>
  <c r="I27" i="2" s="1"/>
  <c r="E26" i="2"/>
  <c r="F26" i="2" s="1"/>
  <c r="E25" i="2"/>
  <c r="G25" i="2" s="1"/>
  <c r="E24" i="2"/>
  <c r="G24" i="2" s="1"/>
  <c r="E23" i="2"/>
  <c r="J23" i="2" s="1"/>
  <c r="E22" i="2"/>
  <c r="F22" i="2" s="1"/>
  <c r="E21" i="2"/>
  <c r="E20" i="2"/>
  <c r="G20" i="2" s="1"/>
  <c r="E19" i="2"/>
  <c r="J19" i="2" s="1"/>
  <c r="E18" i="2"/>
  <c r="F18" i="2" s="1"/>
  <c r="E17" i="2"/>
  <c r="E16" i="2"/>
  <c r="G16" i="2" s="1"/>
  <c r="E15" i="2"/>
  <c r="I15" i="2" s="1"/>
  <c r="E14" i="2"/>
  <c r="F14" i="2" s="1"/>
  <c r="E13" i="2"/>
  <c r="F13" i="2" s="1"/>
  <c r="E12" i="2"/>
  <c r="E11" i="2"/>
  <c r="I11" i="2" s="1"/>
  <c r="E10" i="2"/>
  <c r="I10" i="2" s="1"/>
  <c r="E9" i="2"/>
  <c r="G9" i="2" s="1"/>
  <c r="E8" i="2"/>
  <c r="I8" i="2" s="1"/>
  <c r="E7" i="2"/>
  <c r="J7" i="2" s="1"/>
  <c r="E6" i="2"/>
  <c r="I6" i="2" s="1"/>
  <c r="E5" i="2"/>
  <c r="I5" i="2" s="1"/>
  <c r="E4" i="2"/>
  <c r="I4" i="2" s="1"/>
  <c r="E3" i="2"/>
  <c r="J3" i="2" s="1"/>
  <c r="E2" i="2"/>
  <c r="G2" i="2" s="1"/>
  <c r="J119" i="2" l="1"/>
  <c r="H106" i="2"/>
  <c r="J161" i="2"/>
  <c r="G145" i="2"/>
  <c r="H175" i="2"/>
  <c r="G33" i="2"/>
  <c r="F178" i="2"/>
  <c r="G185" i="2"/>
  <c r="I90" i="2"/>
  <c r="F105" i="2"/>
  <c r="G77" i="2"/>
  <c r="J91" i="2"/>
  <c r="I98" i="2"/>
  <c r="I210" i="2"/>
  <c r="H216" i="2"/>
  <c r="G253" i="2"/>
  <c r="H42" i="2"/>
  <c r="G109" i="2"/>
  <c r="G118" i="2"/>
  <c r="H152" i="2"/>
  <c r="J185" i="2"/>
  <c r="H199" i="2"/>
  <c r="I218" i="2"/>
  <c r="I311" i="2"/>
  <c r="J59" i="2"/>
  <c r="I66" i="2"/>
  <c r="I39" i="2"/>
  <c r="G45" i="2"/>
  <c r="H102" i="2"/>
  <c r="I106" i="2"/>
  <c r="I119" i="2"/>
  <c r="I147" i="2"/>
  <c r="I161" i="2"/>
  <c r="F175" i="2"/>
  <c r="I103" i="2"/>
  <c r="J143" i="2"/>
  <c r="I188" i="2"/>
  <c r="J202" i="2"/>
  <c r="G216" i="2"/>
  <c r="G221" i="2"/>
  <c r="I78" i="2"/>
  <c r="I25" i="2"/>
  <c r="H30" i="2"/>
  <c r="I46" i="2"/>
  <c r="H74" i="2"/>
  <c r="I152" i="2"/>
  <c r="G187" i="2"/>
  <c r="J216" i="2"/>
  <c r="G278" i="2"/>
  <c r="I30" i="2"/>
  <c r="I74" i="2"/>
  <c r="H187" i="2"/>
  <c r="G30" i="2"/>
  <c r="I34" i="2"/>
  <c r="H26" i="2"/>
  <c r="I42" i="2"/>
  <c r="F121" i="2"/>
  <c r="H149" i="2"/>
  <c r="G153" i="2"/>
  <c r="G178" i="2"/>
  <c r="I222" i="2"/>
  <c r="I266" i="2"/>
  <c r="G273" i="2"/>
  <c r="G102" i="2"/>
  <c r="I110" i="2"/>
  <c r="I149" i="2"/>
  <c r="J153" i="2"/>
  <c r="I178" i="2"/>
  <c r="G188" i="2"/>
  <c r="J194" i="2"/>
  <c r="I71" i="2"/>
  <c r="I179" i="2"/>
  <c r="I202" i="2"/>
  <c r="I254" i="2"/>
  <c r="G318" i="2"/>
  <c r="J173" i="2"/>
  <c r="I239" i="2"/>
  <c r="G246" i="2"/>
  <c r="G265" i="2"/>
  <c r="I287" i="2"/>
  <c r="G294" i="2"/>
  <c r="J39" i="2"/>
  <c r="J103" i="2"/>
  <c r="H146" i="2"/>
  <c r="J27" i="2"/>
  <c r="H122" i="2"/>
  <c r="F134" i="2"/>
  <c r="F138" i="2"/>
  <c r="F155" i="2"/>
  <c r="G159" i="2"/>
  <c r="G162" i="2"/>
  <c r="F187" i="2"/>
  <c r="J190" i="2"/>
  <c r="G202" i="2"/>
  <c r="H207" i="2"/>
  <c r="G213" i="2"/>
  <c r="G313" i="2"/>
  <c r="J176" i="2"/>
  <c r="G14" i="2"/>
  <c r="I118" i="2"/>
  <c r="F9" i="2"/>
  <c r="H14" i="2"/>
  <c r="H18" i="2"/>
  <c r="I14" i="2"/>
  <c r="I18" i="2"/>
  <c r="G38" i="2"/>
  <c r="F41" i="2"/>
  <c r="H58" i="2"/>
  <c r="G70" i="2"/>
  <c r="F73" i="2"/>
  <c r="H90" i="2"/>
  <c r="I122" i="2"/>
  <c r="G134" i="2"/>
  <c r="G138" i="2"/>
  <c r="G155" i="2"/>
  <c r="I159" i="2"/>
  <c r="J162" i="2"/>
  <c r="I26" i="2"/>
  <c r="J71" i="2"/>
  <c r="H38" i="2"/>
  <c r="I58" i="2"/>
  <c r="H70" i="2"/>
  <c r="H134" i="2"/>
  <c r="H138" i="2"/>
  <c r="H155" i="2"/>
  <c r="H118" i="2"/>
  <c r="G121" i="2"/>
  <c r="G125" i="2"/>
  <c r="J165" i="2"/>
  <c r="G18" i="2"/>
  <c r="J43" i="2"/>
  <c r="J75" i="2"/>
  <c r="J107" i="2"/>
  <c r="I146" i="2"/>
  <c r="J15" i="2"/>
  <c r="I38" i="2"/>
  <c r="I70" i="2"/>
  <c r="I102" i="2"/>
  <c r="J123" i="2"/>
  <c r="I134" i="2"/>
  <c r="J138" i="2"/>
  <c r="I155" i="2"/>
  <c r="G160" i="2"/>
  <c r="G163" i="2"/>
  <c r="G175" i="2"/>
  <c r="G199" i="2"/>
  <c r="I237" i="2"/>
  <c r="G279" i="2"/>
  <c r="G303" i="2"/>
  <c r="I286" i="2"/>
  <c r="I51" i="2"/>
  <c r="H2" i="2"/>
  <c r="H6" i="2"/>
  <c r="I2" i="2"/>
  <c r="H34" i="2"/>
  <c r="I43" i="2"/>
  <c r="H46" i="2"/>
  <c r="G49" i="2"/>
  <c r="J55" i="2"/>
  <c r="I59" i="2"/>
  <c r="I62" i="2"/>
  <c r="H66" i="2"/>
  <c r="I75" i="2"/>
  <c r="H78" i="2"/>
  <c r="G81" i="2"/>
  <c r="J87" i="2"/>
  <c r="I91" i="2"/>
  <c r="I94" i="2"/>
  <c r="H98" i="2"/>
  <c r="I107" i="2"/>
  <c r="H110" i="2"/>
  <c r="G113" i="2"/>
  <c r="G122" i="2"/>
  <c r="F125" i="2"/>
  <c r="J127" i="2"/>
  <c r="I130" i="2"/>
  <c r="G141" i="2"/>
  <c r="I143" i="2"/>
  <c r="G146" i="2"/>
  <c r="G149" i="2"/>
  <c r="G152" i="2"/>
  <c r="J156" i="2"/>
  <c r="F159" i="2"/>
  <c r="H161" i="2"/>
  <c r="F163" i="2"/>
  <c r="H165" i="2"/>
  <c r="I167" i="2"/>
  <c r="J170" i="2"/>
  <c r="I173" i="2"/>
  <c r="I176" i="2"/>
  <c r="I190" i="2"/>
  <c r="G192" i="2"/>
  <c r="G194" i="2"/>
  <c r="J196" i="2"/>
  <c r="H204" i="2"/>
  <c r="G207" i="2"/>
  <c r="G210" i="2"/>
  <c r="I213" i="2"/>
  <c r="I216" i="2"/>
  <c r="I223" i="2"/>
  <c r="G249" i="2"/>
  <c r="G257" i="2"/>
  <c r="I262" i="2"/>
  <c r="I270" i="2"/>
  <c r="I295" i="2"/>
  <c r="I326" i="2"/>
  <c r="G11" i="2"/>
  <c r="I63" i="2"/>
  <c r="G82" i="2"/>
  <c r="I95" i="2"/>
  <c r="G114" i="2"/>
  <c r="F117" i="2"/>
  <c r="F142" i="2"/>
  <c r="F184" i="2"/>
  <c r="G193" i="2"/>
  <c r="G197" i="2"/>
  <c r="H205" i="2"/>
  <c r="J214" i="2"/>
  <c r="G263" i="2"/>
  <c r="G271" i="2"/>
  <c r="G305" i="2"/>
  <c r="G310" i="2"/>
  <c r="G327" i="2"/>
  <c r="G22" i="2"/>
  <c r="I131" i="2"/>
  <c r="F137" i="2"/>
  <c r="G4" i="2"/>
  <c r="H22" i="2"/>
  <c r="I35" i="2"/>
  <c r="I47" i="2"/>
  <c r="H50" i="2"/>
  <c r="G54" i="2"/>
  <c r="J63" i="2"/>
  <c r="I67" i="2"/>
  <c r="I79" i="2"/>
  <c r="H82" i="2"/>
  <c r="G86" i="2"/>
  <c r="J95" i="2"/>
  <c r="I99" i="2"/>
  <c r="I111" i="2"/>
  <c r="H114" i="2"/>
  <c r="G117" i="2"/>
  <c r="G126" i="2"/>
  <c r="F129" i="2"/>
  <c r="J131" i="2"/>
  <c r="G137" i="2"/>
  <c r="I139" i="2"/>
  <c r="G142" i="2"/>
  <c r="J146" i="2"/>
  <c r="J152" i="2"/>
  <c r="F158" i="2"/>
  <c r="H164" i="2"/>
  <c r="F166" i="2"/>
  <c r="G169" i="2"/>
  <c r="F172" i="2"/>
  <c r="G181" i="2"/>
  <c r="G184" i="2"/>
  <c r="J188" i="2"/>
  <c r="F191" i="2"/>
  <c r="H193" i="2"/>
  <c r="F195" i="2"/>
  <c r="H197" i="2"/>
  <c r="I199" i="2"/>
  <c r="I205" i="2"/>
  <c r="I208" i="2"/>
  <c r="I211" i="2"/>
  <c r="G230" i="2"/>
  <c r="G238" i="2"/>
  <c r="G255" i="2"/>
  <c r="G297" i="2"/>
  <c r="G302" i="2"/>
  <c r="I327" i="2"/>
  <c r="I22" i="2"/>
  <c r="G26" i="2"/>
  <c r="G42" i="2"/>
  <c r="J47" i="2"/>
  <c r="I50" i="2"/>
  <c r="H54" i="2"/>
  <c r="G58" i="2"/>
  <c r="G61" i="2"/>
  <c r="J67" i="2"/>
  <c r="G74" i="2"/>
  <c r="J79" i="2"/>
  <c r="I82" i="2"/>
  <c r="H86" i="2"/>
  <c r="G90" i="2"/>
  <c r="G93" i="2"/>
  <c r="J99" i="2"/>
  <c r="G106" i="2"/>
  <c r="F109" i="2"/>
  <c r="J111" i="2"/>
  <c r="I114" i="2"/>
  <c r="I123" i="2"/>
  <c r="H126" i="2"/>
  <c r="G129" i="2"/>
  <c r="J139" i="2"/>
  <c r="H142" i="2"/>
  <c r="F145" i="2"/>
  <c r="J150" i="2"/>
  <c r="G158" i="2"/>
  <c r="F160" i="2"/>
  <c r="F162" i="2"/>
  <c r="I164" i="2"/>
  <c r="G166" i="2"/>
  <c r="H169" i="2"/>
  <c r="G172" i="2"/>
  <c r="H181" i="2"/>
  <c r="H184" i="2"/>
  <c r="G191" i="2"/>
  <c r="I193" i="2"/>
  <c r="G195" i="2"/>
  <c r="J197" i="2"/>
  <c r="J205" i="2"/>
  <c r="J208" i="2"/>
  <c r="G247" i="2"/>
  <c r="G289" i="2"/>
  <c r="I86" i="2"/>
  <c r="I126" i="2"/>
  <c r="I142" i="2"/>
  <c r="I158" i="2"/>
  <c r="J164" i="2"/>
  <c r="H172" i="2"/>
  <c r="I181" i="2"/>
  <c r="I184" i="2"/>
  <c r="I191" i="2"/>
  <c r="J193" i="2"/>
  <c r="G281" i="2"/>
  <c r="I328" i="2"/>
  <c r="G50" i="2"/>
  <c r="I54" i="2"/>
  <c r="G62" i="2"/>
  <c r="I83" i="2"/>
  <c r="G94" i="2"/>
  <c r="I115" i="2"/>
  <c r="G130" i="2"/>
  <c r="F133" i="2"/>
  <c r="I135" i="2"/>
  <c r="G156" i="2"/>
  <c r="J158" i="2"/>
  <c r="G167" i="2"/>
  <c r="G170" i="2"/>
  <c r="F190" i="2"/>
  <c r="H196" i="2"/>
  <c r="F198" i="2"/>
  <c r="G201" i="2"/>
  <c r="F204" i="2"/>
  <c r="G231" i="2"/>
  <c r="G13" i="2"/>
  <c r="I13" i="2"/>
  <c r="G34" i="2"/>
  <c r="G46" i="2"/>
  <c r="J51" i="2"/>
  <c r="I55" i="2"/>
  <c r="H62" i="2"/>
  <c r="G66" i="2"/>
  <c r="G78" i="2"/>
  <c r="J83" i="2"/>
  <c r="I87" i="2"/>
  <c r="H94" i="2"/>
  <c r="G98" i="2"/>
  <c r="G110" i="2"/>
  <c r="F113" i="2"/>
  <c r="J115" i="2"/>
  <c r="I127" i="2"/>
  <c r="H130" i="2"/>
  <c r="G133" i="2"/>
  <c r="J135" i="2"/>
  <c r="F141" i="2"/>
  <c r="I156" i="2"/>
  <c r="G161" i="2"/>
  <c r="G165" i="2"/>
  <c r="H167" i="2"/>
  <c r="I170" i="2"/>
  <c r="H173" i="2"/>
  <c r="J182" i="2"/>
  <c r="I187" i="2"/>
  <c r="G190" i="2"/>
  <c r="F192" i="2"/>
  <c r="F194" i="2"/>
  <c r="I196" i="2"/>
  <c r="G198" i="2"/>
  <c r="H201" i="2"/>
  <c r="G204" i="2"/>
  <c r="F207" i="2"/>
  <c r="F210" i="2"/>
  <c r="H213" i="2"/>
  <c r="G321" i="2"/>
  <c r="J53" i="2"/>
  <c r="I53" i="2"/>
  <c r="H53" i="2"/>
  <c r="J180" i="2"/>
  <c r="I180" i="2"/>
  <c r="H180" i="2"/>
  <c r="G180" i="2"/>
  <c r="F180" i="2"/>
  <c r="J44" i="2"/>
  <c r="I44" i="2"/>
  <c r="H44" i="2"/>
  <c r="G44" i="2"/>
  <c r="F44" i="2"/>
  <c r="J9" i="2"/>
  <c r="H9" i="2"/>
  <c r="H11" i="2"/>
  <c r="F11" i="2"/>
  <c r="J33" i="2"/>
  <c r="H33" i="2"/>
  <c r="H35" i="2"/>
  <c r="G35" i="2"/>
  <c r="F35" i="2"/>
  <c r="J41" i="2"/>
  <c r="I41" i="2"/>
  <c r="H41" i="2"/>
  <c r="J52" i="2"/>
  <c r="I52" i="2"/>
  <c r="H52" i="2"/>
  <c r="G52" i="2"/>
  <c r="F52" i="2"/>
  <c r="J73" i="2"/>
  <c r="I73" i="2"/>
  <c r="H73" i="2"/>
  <c r="J84" i="2"/>
  <c r="I84" i="2"/>
  <c r="H84" i="2"/>
  <c r="G84" i="2"/>
  <c r="F84" i="2"/>
  <c r="J105" i="2"/>
  <c r="I105" i="2"/>
  <c r="H105" i="2"/>
  <c r="J116" i="2"/>
  <c r="I116" i="2"/>
  <c r="H116" i="2"/>
  <c r="G116" i="2"/>
  <c r="F116" i="2"/>
  <c r="J136" i="2"/>
  <c r="I136" i="2"/>
  <c r="H136" i="2"/>
  <c r="G136" i="2"/>
  <c r="F136" i="2"/>
  <c r="J183" i="2"/>
  <c r="I183" i="2"/>
  <c r="H183" i="2"/>
  <c r="G183" i="2"/>
  <c r="F183" i="2"/>
  <c r="F240" i="2"/>
  <c r="J240" i="2"/>
  <c r="H240" i="2"/>
  <c r="I240" i="2"/>
  <c r="G240" i="2"/>
  <c r="J21" i="2"/>
  <c r="H21" i="2"/>
  <c r="J85" i="2"/>
  <c r="I85" i="2"/>
  <c r="H85" i="2"/>
  <c r="F284" i="2"/>
  <c r="J284" i="2"/>
  <c r="H284" i="2"/>
  <c r="I284" i="2"/>
  <c r="G284" i="2"/>
  <c r="G7" i="2"/>
  <c r="J97" i="2"/>
  <c r="I97" i="2"/>
  <c r="H97" i="2"/>
  <c r="H186" i="2"/>
  <c r="J186" i="2"/>
  <c r="I186" i="2"/>
  <c r="G186" i="2"/>
  <c r="F186" i="2"/>
  <c r="G3" i="2"/>
  <c r="G5" i="2"/>
  <c r="I7" i="2"/>
  <c r="I9" i="2"/>
  <c r="J11" i="2"/>
  <c r="G21" i="2"/>
  <c r="J29" i="2"/>
  <c r="H29" i="2"/>
  <c r="H31" i="2"/>
  <c r="G31" i="2"/>
  <c r="F31" i="2"/>
  <c r="I33" i="2"/>
  <c r="J36" i="2"/>
  <c r="I36" i="2"/>
  <c r="H36" i="2"/>
  <c r="F36" i="2"/>
  <c r="J45" i="2"/>
  <c r="I45" i="2"/>
  <c r="H45" i="2"/>
  <c r="G53" i="2"/>
  <c r="J56" i="2"/>
  <c r="I56" i="2"/>
  <c r="H56" i="2"/>
  <c r="G56" i="2"/>
  <c r="F56" i="2"/>
  <c r="F65" i="2"/>
  <c r="J77" i="2"/>
  <c r="I77" i="2"/>
  <c r="H77" i="2"/>
  <c r="G85" i="2"/>
  <c r="J88" i="2"/>
  <c r="I88" i="2"/>
  <c r="H88" i="2"/>
  <c r="G88" i="2"/>
  <c r="F88" i="2"/>
  <c r="F97" i="2"/>
  <c r="J120" i="2"/>
  <c r="I120" i="2"/>
  <c r="H120" i="2"/>
  <c r="G120" i="2"/>
  <c r="F120" i="2"/>
  <c r="J215" i="2"/>
  <c r="I215" i="2"/>
  <c r="H215" i="2"/>
  <c r="G215" i="2"/>
  <c r="F215" i="2"/>
  <c r="J234" i="2"/>
  <c r="H234" i="2"/>
  <c r="F234" i="2"/>
  <c r="I234" i="2"/>
  <c r="G234" i="2"/>
  <c r="J28" i="2"/>
  <c r="I28" i="2"/>
  <c r="H28" i="2"/>
  <c r="F28" i="2"/>
  <c r="F157" i="2"/>
  <c r="J157" i="2"/>
  <c r="I157" i="2"/>
  <c r="H157" i="2"/>
  <c r="G157" i="2"/>
  <c r="J16" i="2"/>
  <c r="I16" i="2"/>
  <c r="H16" i="2"/>
  <c r="F16" i="2"/>
  <c r="J108" i="2"/>
  <c r="I108" i="2"/>
  <c r="H108" i="2"/>
  <c r="G108" i="2"/>
  <c r="F108" i="2"/>
  <c r="I3" i="2"/>
  <c r="J12" i="2"/>
  <c r="H12" i="2"/>
  <c r="F12" i="2"/>
  <c r="J17" i="2"/>
  <c r="H17" i="2"/>
  <c r="H19" i="2"/>
  <c r="G19" i="2"/>
  <c r="F19" i="2"/>
  <c r="I21" i="2"/>
  <c r="J24" i="2"/>
  <c r="I24" i="2"/>
  <c r="H24" i="2"/>
  <c r="F24" i="2"/>
  <c r="F29" i="2"/>
  <c r="I31" i="2"/>
  <c r="G36" i="2"/>
  <c r="J57" i="2"/>
  <c r="I57" i="2"/>
  <c r="H57" i="2"/>
  <c r="J68" i="2"/>
  <c r="I68" i="2"/>
  <c r="H68" i="2"/>
  <c r="G68" i="2"/>
  <c r="F68" i="2"/>
  <c r="J89" i="2"/>
  <c r="I89" i="2"/>
  <c r="H89" i="2"/>
  <c r="G97" i="2"/>
  <c r="J100" i="2"/>
  <c r="I100" i="2"/>
  <c r="H100" i="2"/>
  <c r="G100" i="2"/>
  <c r="F100" i="2"/>
  <c r="J132" i="2"/>
  <c r="I132" i="2"/>
  <c r="H132" i="2"/>
  <c r="G132" i="2"/>
  <c r="F132" i="2"/>
  <c r="F189" i="2"/>
  <c r="J189" i="2"/>
  <c r="I189" i="2"/>
  <c r="H189" i="2"/>
  <c r="G189" i="2"/>
  <c r="J212" i="2"/>
  <c r="I212" i="2"/>
  <c r="H212" i="2"/>
  <c r="G212" i="2"/>
  <c r="F212" i="2"/>
  <c r="J5" i="2"/>
  <c r="H5" i="2"/>
  <c r="J64" i="2"/>
  <c r="I64" i="2"/>
  <c r="H64" i="2"/>
  <c r="G64" i="2"/>
  <c r="F64" i="2"/>
  <c r="F224" i="2"/>
  <c r="J224" i="2"/>
  <c r="H224" i="2"/>
  <c r="I224" i="2"/>
  <c r="G224" i="2"/>
  <c r="J76" i="2"/>
  <c r="I76" i="2"/>
  <c r="H76" i="2"/>
  <c r="G76" i="2"/>
  <c r="F76" i="2"/>
  <c r="F85" i="2"/>
  <c r="F10" i="2"/>
  <c r="J10" i="2"/>
  <c r="F6" i="2"/>
  <c r="J6" i="2"/>
  <c r="J8" i="2"/>
  <c r="H8" i="2"/>
  <c r="F8" i="2"/>
  <c r="G10" i="2"/>
  <c r="G12" i="2"/>
  <c r="F17" i="2"/>
  <c r="I19" i="2"/>
  <c r="G29" i="2"/>
  <c r="J31" i="2"/>
  <c r="J37" i="2"/>
  <c r="I37" i="2"/>
  <c r="H37" i="2"/>
  <c r="J48" i="2"/>
  <c r="I48" i="2"/>
  <c r="H48" i="2"/>
  <c r="G48" i="2"/>
  <c r="F48" i="2"/>
  <c r="F57" i="2"/>
  <c r="J69" i="2"/>
  <c r="I69" i="2"/>
  <c r="H69" i="2"/>
  <c r="J80" i="2"/>
  <c r="I80" i="2"/>
  <c r="H80" i="2"/>
  <c r="G80" i="2"/>
  <c r="F80" i="2"/>
  <c r="F89" i="2"/>
  <c r="J101" i="2"/>
  <c r="I101" i="2"/>
  <c r="H101" i="2"/>
  <c r="J112" i="2"/>
  <c r="I112" i="2"/>
  <c r="H112" i="2"/>
  <c r="G112" i="2"/>
  <c r="F112" i="2"/>
  <c r="J140" i="2"/>
  <c r="I140" i="2"/>
  <c r="H140" i="2"/>
  <c r="G140" i="2"/>
  <c r="F140" i="2"/>
  <c r="J151" i="2"/>
  <c r="I151" i="2"/>
  <c r="H151" i="2"/>
  <c r="G151" i="2"/>
  <c r="F151" i="2"/>
  <c r="H23" i="2"/>
  <c r="G23" i="2"/>
  <c r="F23" i="2"/>
  <c r="J128" i="2"/>
  <c r="I128" i="2"/>
  <c r="H128" i="2"/>
  <c r="G128" i="2"/>
  <c r="F128" i="2"/>
  <c r="J250" i="2"/>
  <c r="H250" i="2"/>
  <c r="F250" i="2"/>
  <c r="I250" i="2"/>
  <c r="G250" i="2"/>
  <c r="J65" i="2"/>
  <c r="I65" i="2"/>
  <c r="H65" i="2"/>
  <c r="F2" i="2"/>
  <c r="J2" i="2"/>
  <c r="J4" i="2"/>
  <c r="H4" i="2"/>
  <c r="F4" i="2"/>
  <c r="G6" i="2"/>
  <c r="G8" i="2"/>
  <c r="H10" i="2"/>
  <c r="I12" i="2"/>
  <c r="G17" i="2"/>
  <c r="J25" i="2"/>
  <c r="H25" i="2"/>
  <c r="H27" i="2"/>
  <c r="G27" i="2"/>
  <c r="F27" i="2"/>
  <c r="I29" i="2"/>
  <c r="J32" i="2"/>
  <c r="I32" i="2"/>
  <c r="H32" i="2"/>
  <c r="F32" i="2"/>
  <c r="F37" i="2"/>
  <c r="J49" i="2"/>
  <c r="I49" i="2"/>
  <c r="H49" i="2"/>
  <c r="G57" i="2"/>
  <c r="J60" i="2"/>
  <c r="I60" i="2"/>
  <c r="H60" i="2"/>
  <c r="G60" i="2"/>
  <c r="F60" i="2"/>
  <c r="F69" i="2"/>
  <c r="J81" i="2"/>
  <c r="I81" i="2"/>
  <c r="H81" i="2"/>
  <c r="G89" i="2"/>
  <c r="J92" i="2"/>
  <c r="I92" i="2"/>
  <c r="H92" i="2"/>
  <c r="G92" i="2"/>
  <c r="F92" i="2"/>
  <c r="F101" i="2"/>
  <c r="J124" i="2"/>
  <c r="I124" i="2"/>
  <c r="H124" i="2"/>
  <c r="G124" i="2"/>
  <c r="F124" i="2"/>
  <c r="J148" i="2"/>
  <c r="I148" i="2"/>
  <c r="H148" i="2"/>
  <c r="G148" i="2"/>
  <c r="F148" i="2"/>
  <c r="H7" i="2"/>
  <c r="F7" i="2"/>
  <c r="J96" i="2"/>
  <c r="I96" i="2"/>
  <c r="H96" i="2"/>
  <c r="G96" i="2"/>
  <c r="F96" i="2"/>
  <c r="H3" i="2"/>
  <c r="F3" i="2"/>
  <c r="F5" i="2"/>
  <c r="F21" i="2"/>
  <c r="I23" i="2"/>
  <c r="G28" i="2"/>
  <c r="F53" i="2"/>
  <c r="J13" i="2"/>
  <c r="H13" i="2"/>
  <c r="H15" i="2"/>
  <c r="G15" i="2"/>
  <c r="F15" i="2"/>
  <c r="I17" i="2"/>
  <c r="J20" i="2"/>
  <c r="I20" i="2"/>
  <c r="H20" i="2"/>
  <c r="F20" i="2"/>
  <c r="F25" i="2"/>
  <c r="J40" i="2"/>
  <c r="I40" i="2"/>
  <c r="H40" i="2"/>
  <c r="G40" i="2"/>
  <c r="F40" i="2"/>
  <c r="J61" i="2"/>
  <c r="I61" i="2"/>
  <c r="H61" i="2"/>
  <c r="J72" i="2"/>
  <c r="I72" i="2"/>
  <c r="H72" i="2"/>
  <c r="G72" i="2"/>
  <c r="F72" i="2"/>
  <c r="J93" i="2"/>
  <c r="I93" i="2"/>
  <c r="H93" i="2"/>
  <c r="J104" i="2"/>
  <c r="I104" i="2"/>
  <c r="H104" i="2"/>
  <c r="G104" i="2"/>
  <c r="F104" i="2"/>
  <c r="H154" i="2"/>
  <c r="J154" i="2"/>
  <c r="I154" i="2"/>
  <c r="G154" i="2"/>
  <c r="F154" i="2"/>
  <c r="J218" i="2"/>
  <c r="H218" i="2"/>
  <c r="F218" i="2"/>
  <c r="H221" i="2"/>
  <c r="F221" i="2"/>
  <c r="J221" i="2"/>
  <c r="J227" i="2"/>
  <c r="H227" i="2"/>
  <c r="F227" i="2"/>
  <c r="G227" i="2"/>
  <c r="H237" i="2"/>
  <c r="F237" i="2"/>
  <c r="J237" i="2"/>
  <c r="J243" i="2"/>
  <c r="H243" i="2"/>
  <c r="F243" i="2"/>
  <c r="G243" i="2"/>
  <c r="F256" i="2"/>
  <c r="J256" i="2"/>
  <c r="H256" i="2"/>
  <c r="I256" i="2"/>
  <c r="F260" i="2"/>
  <c r="J260" i="2"/>
  <c r="H260" i="2"/>
  <c r="G260" i="2"/>
  <c r="F292" i="2"/>
  <c r="J292" i="2"/>
  <c r="H292" i="2"/>
  <c r="I292" i="2"/>
  <c r="G292" i="2"/>
  <c r="F228" i="2"/>
  <c r="J228" i="2"/>
  <c r="H228" i="2"/>
  <c r="G228" i="2"/>
  <c r="F244" i="2"/>
  <c r="J244" i="2"/>
  <c r="H244" i="2"/>
  <c r="G244" i="2"/>
  <c r="H261" i="2"/>
  <c r="F261" i="2"/>
  <c r="J261" i="2"/>
  <c r="F276" i="2"/>
  <c r="J276" i="2"/>
  <c r="H276" i="2"/>
  <c r="I276" i="2"/>
  <c r="G276" i="2"/>
  <c r="J14" i="2"/>
  <c r="J18" i="2"/>
  <c r="J22" i="2"/>
  <c r="J26" i="2"/>
  <c r="J30" i="2"/>
  <c r="J34" i="2"/>
  <c r="J38" i="2"/>
  <c r="J42" i="2"/>
  <c r="J46" i="2"/>
  <c r="J50" i="2"/>
  <c r="J54" i="2"/>
  <c r="J58" i="2"/>
  <c r="J62" i="2"/>
  <c r="J66" i="2"/>
  <c r="J70" i="2"/>
  <c r="J74" i="2"/>
  <c r="J78" i="2"/>
  <c r="J82" i="2"/>
  <c r="J86" i="2"/>
  <c r="J90" i="2"/>
  <c r="J94" i="2"/>
  <c r="J98" i="2"/>
  <c r="J102" i="2"/>
  <c r="J106" i="2"/>
  <c r="H109" i="2"/>
  <c r="J110" i="2"/>
  <c r="H113" i="2"/>
  <c r="J114" i="2"/>
  <c r="H117" i="2"/>
  <c r="J118" i="2"/>
  <c r="H121" i="2"/>
  <c r="J122" i="2"/>
  <c r="H125" i="2"/>
  <c r="J126" i="2"/>
  <c r="H129" i="2"/>
  <c r="J130" i="2"/>
  <c r="H133" i="2"/>
  <c r="H137" i="2"/>
  <c r="H141" i="2"/>
  <c r="F144" i="2"/>
  <c r="H145" i="2"/>
  <c r="J149" i="2"/>
  <c r="H160" i="2"/>
  <c r="H163" i="2"/>
  <c r="I166" i="2"/>
  <c r="F168" i="2"/>
  <c r="I169" i="2"/>
  <c r="F171" i="2"/>
  <c r="I172" i="2"/>
  <c r="F174" i="2"/>
  <c r="I175" i="2"/>
  <c r="G177" i="2"/>
  <c r="J178" i="2"/>
  <c r="J181" i="2"/>
  <c r="H192" i="2"/>
  <c r="H195" i="2"/>
  <c r="I198" i="2"/>
  <c r="F200" i="2"/>
  <c r="I201" i="2"/>
  <c r="F203" i="2"/>
  <c r="I204" i="2"/>
  <c r="F206" i="2"/>
  <c r="I207" i="2"/>
  <c r="G209" i="2"/>
  <c r="J210" i="2"/>
  <c r="J213" i="2"/>
  <c r="J219" i="2"/>
  <c r="H219" i="2"/>
  <c r="F219" i="2"/>
  <c r="G219" i="2"/>
  <c r="H225" i="2"/>
  <c r="F225" i="2"/>
  <c r="J225" i="2"/>
  <c r="I225" i="2"/>
  <c r="I228" i="2"/>
  <c r="H241" i="2"/>
  <c r="F241" i="2"/>
  <c r="J241" i="2"/>
  <c r="I241" i="2"/>
  <c r="I244" i="2"/>
  <c r="G261" i="2"/>
  <c r="F264" i="2"/>
  <c r="J264" i="2"/>
  <c r="H264" i="2"/>
  <c r="I264" i="2"/>
  <c r="F268" i="2"/>
  <c r="J268" i="2"/>
  <c r="H268" i="2"/>
  <c r="I268" i="2"/>
  <c r="G268" i="2"/>
  <c r="F324" i="2"/>
  <c r="J324" i="2"/>
  <c r="H324" i="2"/>
  <c r="I324" i="2"/>
  <c r="G324" i="2"/>
  <c r="I113" i="2"/>
  <c r="I121" i="2"/>
  <c r="I129" i="2"/>
  <c r="I137" i="2"/>
  <c r="G144" i="2"/>
  <c r="I145" i="2"/>
  <c r="F156" i="2"/>
  <c r="I160" i="2"/>
  <c r="I163" i="2"/>
  <c r="J166" i="2"/>
  <c r="G168" i="2"/>
  <c r="J169" i="2"/>
  <c r="G171" i="2"/>
  <c r="G174" i="2"/>
  <c r="H177" i="2"/>
  <c r="F188" i="2"/>
  <c r="I192" i="2"/>
  <c r="I195" i="2"/>
  <c r="J198" i="2"/>
  <c r="G200" i="2"/>
  <c r="J201" i="2"/>
  <c r="G203" i="2"/>
  <c r="G206" i="2"/>
  <c r="H209" i="2"/>
  <c r="J217" i="2"/>
  <c r="F217" i="2"/>
  <c r="I219" i="2"/>
  <c r="H229" i="2"/>
  <c r="F229" i="2"/>
  <c r="J229" i="2"/>
  <c r="J235" i="2"/>
  <c r="H235" i="2"/>
  <c r="F235" i="2"/>
  <c r="G235" i="2"/>
  <c r="G241" i="2"/>
  <c r="H245" i="2"/>
  <c r="F245" i="2"/>
  <c r="J245" i="2"/>
  <c r="J251" i="2"/>
  <c r="H251" i="2"/>
  <c r="F251" i="2"/>
  <c r="I251" i="2"/>
  <c r="G251" i="2"/>
  <c r="J258" i="2"/>
  <c r="H258" i="2"/>
  <c r="F258" i="2"/>
  <c r="I261" i="2"/>
  <c r="G264" i="2"/>
  <c r="H269" i="2"/>
  <c r="F269" i="2"/>
  <c r="J269" i="2"/>
  <c r="I269" i="2"/>
  <c r="I109" i="2"/>
  <c r="I117" i="2"/>
  <c r="I125" i="2"/>
  <c r="I133" i="2"/>
  <c r="I141" i="2"/>
  <c r="F39" i="2"/>
  <c r="F43" i="2"/>
  <c r="F47" i="2"/>
  <c r="F51" i="2"/>
  <c r="F55" i="2"/>
  <c r="F59" i="2"/>
  <c r="F63" i="2"/>
  <c r="F67" i="2"/>
  <c r="F71" i="2"/>
  <c r="F75" i="2"/>
  <c r="F79" i="2"/>
  <c r="F83" i="2"/>
  <c r="F87" i="2"/>
  <c r="F91" i="2"/>
  <c r="F95" i="2"/>
  <c r="F99" i="2"/>
  <c r="F103" i="2"/>
  <c r="F107" i="2"/>
  <c r="F111" i="2"/>
  <c r="F115" i="2"/>
  <c r="F119" i="2"/>
  <c r="F123" i="2"/>
  <c r="F127" i="2"/>
  <c r="F131" i="2"/>
  <c r="F135" i="2"/>
  <c r="F139" i="2"/>
  <c r="F143" i="2"/>
  <c r="H144" i="2"/>
  <c r="F147" i="2"/>
  <c r="F150" i="2"/>
  <c r="H168" i="2"/>
  <c r="H171" i="2"/>
  <c r="I174" i="2"/>
  <c r="F176" i="2"/>
  <c r="I177" i="2"/>
  <c r="F179" i="2"/>
  <c r="F182" i="2"/>
  <c r="H200" i="2"/>
  <c r="H203" i="2"/>
  <c r="I206" i="2"/>
  <c r="F208" i="2"/>
  <c r="I209" i="2"/>
  <c r="F211" i="2"/>
  <c r="F214" i="2"/>
  <c r="G217" i="2"/>
  <c r="F220" i="2"/>
  <c r="J220" i="2"/>
  <c r="H220" i="2"/>
  <c r="J226" i="2"/>
  <c r="H226" i="2"/>
  <c r="F226" i="2"/>
  <c r="G229" i="2"/>
  <c r="F232" i="2"/>
  <c r="J232" i="2"/>
  <c r="H232" i="2"/>
  <c r="I232" i="2"/>
  <c r="I235" i="2"/>
  <c r="J242" i="2"/>
  <c r="H242" i="2"/>
  <c r="F242" i="2"/>
  <c r="G245" i="2"/>
  <c r="F248" i="2"/>
  <c r="J248" i="2"/>
  <c r="H248" i="2"/>
  <c r="I248" i="2"/>
  <c r="F252" i="2"/>
  <c r="J252" i="2"/>
  <c r="H252" i="2"/>
  <c r="G252" i="2"/>
  <c r="G258" i="2"/>
  <c r="F316" i="2"/>
  <c r="J316" i="2"/>
  <c r="H316" i="2"/>
  <c r="I316" i="2"/>
  <c r="G316" i="2"/>
  <c r="G43" i="2"/>
  <c r="G51" i="2"/>
  <c r="G59" i="2"/>
  <c r="G67" i="2"/>
  <c r="G75" i="2"/>
  <c r="G83" i="2"/>
  <c r="G91" i="2"/>
  <c r="G99" i="2"/>
  <c r="G107" i="2"/>
  <c r="G115" i="2"/>
  <c r="G123" i="2"/>
  <c r="G127" i="2"/>
  <c r="G131" i="2"/>
  <c r="G135" i="2"/>
  <c r="G139" i="2"/>
  <c r="G143" i="2"/>
  <c r="I144" i="2"/>
  <c r="G147" i="2"/>
  <c r="G150" i="2"/>
  <c r="H153" i="2"/>
  <c r="H159" i="2"/>
  <c r="I162" i="2"/>
  <c r="F164" i="2"/>
  <c r="I165" i="2"/>
  <c r="F167" i="2"/>
  <c r="I168" i="2"/>
  <c r="F170" i="2"/>
  <c r="I171" i="2"/>
  <c r="G173" i="2"/>
  <c r="J174" i="2"/>
  <c r="G176" i="2"/>
  <c r="J177" i="2"/>
  <c r="G179" i="2"/>
  <c r="G182" i="2"/>
  <c r="H185" i="2"/>
  <c r="H191" i="2"/>
  <c r="I194" i="2"/>
  <c r="F196" i="2"/>
  <c r="I197" i="2"/>
  <c r="F199" i="2"/>
  <c r="I200" i="2"/>
  <c r="F202" i="2"/>
  <c r="I203" i="2"/>
  <c r="G205" i="2"/>
  <c r="J206" i="2"/>
  <c r="G208" i="2"/>
  <c r="J209" i="2"/>
  <c r="G211" i="2"/>
  <c r="G214" i="2"/>
  <c r="H217" i="2"/>
  <c r="G220" i="2"/>
  <c r="G226" i="2"/>
  <c r="I229" i="2"/>
  <c r="G232" i="2"/>
  <c r="F236" i="2"/>
  <c r="J236" i="2"/>
  <c r="H236" i="2"/>
  <c r="G236" i="2"/>
  <c r="G242" i="2"/>
  <c r="I245" i="2"/>
  <c r="G248" i="2"/>
  <c r="I252" i="2"/>
  <c r="I258" i="2"/>
  <c r="F308" i="2"/>
  <c r="J308" i="2"/>
  <c r="H308" i="2"/>
  <c r="I308" i="2"/>
  <c r="G308" i="2"/>
  <c r="G39" i="2"/>
  <c r="G47" i="2"/>
  <c r="G55" i="2"/>
  <c r="G63" i="2"/>
  <c r="G71" i="2"/>
  <c r="G79" i="2"/>
  <c r="G87" i="2"/>
  <c r="G95" i="2"/>
  <c r="G103" i="2"/>
  <c r="G111" i="2"/>
  <c r="G119" i="2"/>
  <c r="H147" i="2"/>
  <c r="I150" i="2"/>
  <c r="I153" i="2"/>
  <c r="H179" i="2"/>
  <c r="I182" i="2"/>
  <c r="I185" i="2"/>
  <c r="H211" i="2"/>
  <c r="I214" i="2"/>
  <c r="I217" i="2"/>
  <c r="I220" i="2"/>
  <c r="H233" i="2"/>
  <c r="F233" i="2"/>
  <c r="J233" i="2"/>
  <c r="I233" i="2"/>
  <c r="H253" i="2"/>
  <c r="F253" i="2"/>
  <c r="J253" i="2"/>
  <c r="J259" i="2"/>
  <c r="H259" i="2"/>
  <c r="F259" i="2"/>
  <c r="I259" i="2"/>
  <c r="G259" i="2"/>
  <c r="F300" i="2"/>
  <c r="J300" i="2"/>
  <c r="H300" i="2"/>
  <c r="I300" i="2"/>
  <c r="G300" i="2"/>
  <c r="J223" i="2"/>
  <c r="H223" i="2"/>
  <c r="F223" i="2"/>
  <c r="J231" i="2"/>
  <c r="H231" i="2"/>
  <c r="F231" i="2"/>
  <c r="J239" i="2"/>
  <c r="H239" i="2"/>
  <c r="F239" i="2"/>
  <c r="J247" i="2"/>
  <c r="H247" i="2"/>
  <c r="F247" i="2"/>
  <c r="J255" i="2"/>
  <c r="H255" i="2"/>
  <c r="F255" i="2"/>
  <c r="J263" i="2"/>
  <c r="H263" i="2"/>
  <c r="F263" i="2"/>
  <c r="J271" i="2"/>
  <c r="H271" i="2"/>
  <c r="F271" i="2"/>
  <c r="J279" i="2"/>
  <c r="H279" i="2"/>
  <c r="F279" i="2"/>
  <c r="J287" i="2"/>
  <c r="H287" i="2"/>
  <c r="F287" i="2"/>
  <c r="J295" i="2"/>
  <c r="H295" i="2"/>
  <c r="F295" i="2"/>
  <c r="J303" i="2"/>
  <c r="H303" i="2"/>
  <c r="F303" i="2"/>
  <c r="J311" i="2"/>
  <c r="H311" i="2"/>
  <c r="F311" i="2"/>
  <c r="J319" i="2"/>
  <c r="H319" i="2"/>
  <c r="F319" i="2"/>
  <c r="J266" i="2"/>
  <c r="H266" i="2"/>
  <c r="F266" i="2"/>
  <c r="J274" i="2"/>
  <c r="H274" i="2"/>
  <c r="F274" i="2"/>
  <c r="J282" i="2"/>
  <c r="H282" i="2"/>
  <c r="F282" i="2"/>
  <c r="J290" i="2"/>
  <c r="H290" i="2"/>
  <c r="F290" i="2"/>
  <c r="J298" i="2"/>
  <c r="H298" i="2"/>
  <c r="F298" i="2"/>
  <c r="J306" i="2"/>
  <c r="H306" i="2"/>
  <c r="F306" i="2"/>
  <c r="J314" i="2"/>
  <c r="H314" i="2"/>
  <c r="F314" i="2"/>
  <c r="J322" i="2"/>
  <c r="H322" i="2"/>
  <c r="F322" i="2"/>
  <c r="G274" i="2"/>
  <c r="H277" i="2"/>
  <c r="F277" i="2"/>
  <c r="J277" i="2"/>
  <c r="G282" i="2"/>
  <c r="H285" i="2"/>
  <c r="F285" i="2"/>
  <c r="J285" i="2"/>
  <c r="G290" i="2"/>
  <c r="H293" i="2"/>
  <c r="F293" i="2"/>
  <c r="J293" i="2"/>
  <c r="G298" i="2"/>
  <c r="H301" i="2"/>
  <c r="F301" i="2"/>
  <c r="J301" i="2"/>
  <c r="G306" i="2"/>
  <c r="H309" i="2"/>
  <c r="F309" i="2"/>
  <c r="J309" i="2"/>
  <c r="G314" i="2"/>
  <c r="H317" i="2"/>
  <c r="F317" i="2"/>
  <c r="J317" i="2"/>
  <c r="I319" i="2"/>
  <c r="G322" i="2"/>
  <c r="H325" i="2"/>
  <c r="F325" i="2"/>
  <c r="J325" i="2"/>
  <c r="F272" i="2"/>
  <c r="J272" i="2"/>
  <c r="H272" i="2"/>
  <c r="I274" i="2"/>
  <c r="F280" i="2"/>
  <c r="J280" i="2"/>
  <c r="H280" i="2"/>
  <c r="I282" i="2"/>
  <c r="F288" i="2"/>
  <c r="J288" i="2"/>
  <c r="H288" i="2"/>
  <c r="I290" i="2"/>
  <c r="F296" i="2"/>
  <c r="J296" i="2"/>
  <c r="H296" i="2"/>
  <c r="I298" i="2"/>
  <c r="F304" i="2"/>
  <c r="J304" i="2"/>
  <c r="H304" i="2"/>
  <c r="I306" i="2"/>
  <c r="F312" i="2"/>
  <c r="J312" i="2"/>
  <c r="H312" i="2"/>
  <c r="I314" i="2"/>
  <c r="F320" i="2"/>
  <c r="J320" i="2"/>
  <c r="H320" i="2"/>
  <c r="I322" i="2"/>
  <c r="J267" i="2"/>
  <c r="H267" i="2"/>
  <c r="F267" i="2"/>
  <c r="G272" i="2"/>
  <c r="J275" i="2"/>
  <c r="H275" i="2"/>
  <c r="F275" i="2"/>
  <c r="I277" i="2"/>
  <c r="G280" i="2"/>
  <c r="J283" i="2"/>
  <c r="H283" i="2"/>
  <c r="F283" i="2"/>
  <c r="I285" i="2"/>
  <c r="G288" i="2"/>
  <c r="J291" i="2"/>
  <c r="H291" i="2"/>
  <c r="F291" i="2"/>
  <c r="I293" i="2"/>
  <c r="G296" i="2"/>
  <c r="J299" i="2"/>
  <c r="H299" i="2"/>
  <c r="F299" i="2"/>
  <c r="I301" i="2"/>
  <c r="G304" i="2"/>
  <c r="J307" i="2"/>
  <c r="H307" i="2"/>
  <c r="F307" i="2"/>
  <c r="I309" i="2"/>
  <c r="G312" i="2"/>
  <c r="J315" i="2"/>
  <c r="H315" i="2"/>
  <c r="F315" i="2"/>
  <c r="I317" i="2"/>
  <c r="G320" i="2"/>
  <c r="J323" i="2"/>
  <c r="H323" i="2"/>
  <c r="F323" i="2"/>
  <c r="I325" i="2"/>
  <c r="J222" i="2"/>
  <c r="H222" i="2"/>
  <c r="F222" i="2"/>
  <c r="J230" i="2"/>
  <c r="H230" i="2"/>
  <c r="F230" i="2"/>
  <c r="J238" i="2"/>
  <c r="H238" i="2"/>
  <c r="F238" i="2"/>
  <c r="J246" i="2"/>
  <c r="H246" i="2"/>
  <c r="F246" i="2"/>
  <c r="J254" i="2"/>
  <c r="H254" i="2"/>
  <c r="F254" i="2"/>
  <c r="J262" i="2"/>
  <c r="H262" i="2"/>
  <c r="F262" i="2"/>
  <c r="G267" i="2"/>
  <c r="J270" i="2"/>
  <c r="H270" i="2"/>
  <c r="F270" i="2"/>
  <c r="I272" i="2"/>
  <c r="G275" i="2"/>
  <c r="J278" i="2"/>
  <c r="H278" i="2"/>
  <c r="F278" i="2"/>
  <c r="I280" i="2"/>
  <c r="G283" i="2"/>
  <c r="J286" i="2"/>
  <c r="H286" i="2"/>
  <c r="F286" i="2"/>
  <c r="I288" i="2"/>
  <c r="G291" i="2"/>
  <c r="J294" i="2"/>
  <c r="H294" i="2"/>
  <c r="F294" i="2"/>
  <c r="I296" i="2"/>
  <c r="G299" i="2"/>
  <c r="J302" i="2"/>
  <c r="H302" i="2"/>
  <c r="F302" i="2"/>
  <c r="I304" i="2"/>
  <c r="G307" i="2"/>
  <c r="J310" i="2"/>
  <c r="H310" i="2"/>
  <c r="F310" i="2"/>
  <c r="I312" i="2"/>
  <c r="G315" i="2"/>
  <c r="J318" i="2"/>
  <c r="H318" i="2"/>
  <c r="F318" i="2"/>
  <c r="I320" i="2"/>
  <c r="G323" i="2"/>
  <c r="J326" i="2"/>
  <c r="H326" i="2"/>
  <c r="F326" i="2"/>
  <c r="H249" i="2"/>
  <c r="F249" i="2"/>
  <c r="J249" i="2"/>
  <c r="H257" i="2"/>
  <c r="F257" i="2"/>
  <c r="J257" i="2"/>
  <c r="H265" i="2"/>
  <c r="F265" i="2"/>
  <c r="J265" i="2"/>
  <c r="I267" i="2"/>
  <c r="H273" i="2"/>
  <c r="F273" i="2"/>
  <c r="J273" i="2"/>
  <c r="H281" i="2"/>
  <c r="F281" i="2"/>
  <c r="J281" i="2"/>
  <c r="H289" i="2"/>
  <c r="F289" i="2"/>
  <c r="J289" i="2"/>
  <c r="H297" i="2"/>
  <c r="F297" i="2"/>
  <c r="J297" i="2"/>
  <c r="H305" i="2"/>
  <c r="F305" i="2"/>
  <c r="J305" i="2"/>
  <c r="H313" i="2"/>
  <c r="F313" i="2"/>
  <c r="J313" i="2"/>
  <c r="H321" i="2"/>
  <c r="F321" i="2"/>
  <c r="J321" i="2"/>
  <c r="G328" i="2"/>
  <c r="I329" i="2"/>
  <c r="F327" i="2"/>
  <c r="H328" i="2"/>
  <c r="J329" i="2"/>
  <c r="H327" i="2"/>
  <c r="J328" i="2"/>
  <c r="E2" i="4"/>
  <c r="F2" i="4"/>
  <c r="F329" i="2"/>
  <c r="G2" i="4"/>
  <c r="G329" i="2"/>
  <c r="H2" i="4"/>
</calcChain>
</file>

<file path=xl/sharedStrings.xml><?xml version="1.0" encoding="utf-8"?>
<sst xmlns="http://schemas.openxmlformats.org/spreadsheetml/2006/main" count="16058" uniqueCount="4154">
  <si>
    <t>Department/Entity ID</t>
  </si>
  <si>
    <t>Department Name</t>
  </si>
  <si>
    <t>Total Number of Incidents</t>
  </si>
  <si>
    <t>Firefighter Fatal Casualties</t>
  </si>
  <si>
    <t>Firefighter Nonfatal Casualties</t>
  </si>
  <si>
    <t>Civilian Fatal Casualties</t>
  </si>
  <si>
    <t>Civilian Nonfatal Casualties</t>
  </si>
  <si>
    <t>Total Dollar Loss</t>
  </si>
  <si>
    <t>Acres Burned</t>
  </si>
  <si>
    <t>FD25027007</t>
  </si>
  <si>
    <t>Spencer Fire Department</t>
  </si>
  <si>
    <t>FD25027087</t>
  </si>
  <si>
    <t>Princeton Fire Department</t>
  </si>
  <si>
    <t>FD25027106</t>
  </si>
  <si>
    <t>Warren Fire Department</t>
  </si>
  <si>
    <t>FD25027116</t>
  </si>
  <si>
    <t>Douglas Fire Department</t>
  </si>
  <si>
    <t>FD25027157</t>
  </si>
  <si>
    <t>Clinton Fire Department</t>
  </si>
  <si>
    <t>FD25027162</t>
  </si>
  <si>
    <t>East Brookfield Fire Department</t>
  </si>
  <si>
    <t>FD25027167</t>
  </si>
  <si>
    <t>Milford Fire Department</t>
  </si>
  <si>
    <t>FD25027173</t>
  </si>
  <si>
    <t>West Boylston Fire Department</t>
  </si>
  <si>
    <t>FD25027241</t>
  </si>
  <si>
    <t>Grafton Fire Department</t>
  </si>
  <si>
    <t>FD25027249</t>
  </si>
  <si>
    <t>Dudley Fire Department</t>
  </si>
  <si>
    <t>FD25027254</t>
  </si>
  <si>
    <t>Brookfield Fire Department</t>
  </si>
  <si>
    <t>FD25027262</t>
  </si>
  <si>
    <t>FD25027265</t>
  </si>
  <si>
    <t>City Of Leominster Fire Department</t>
  </si>
  <si>
    <t>FD25027278</t>
  </si>
  <si>
    <t>Hubbardston Fire Department</t>
  </si>
  <si>
    <t>FD25027296</t>
  </si>
  <si>
    <t>Lancaster Fire Department</t>
  </si>
  <si>
    <t>FD25027312</t>
  </si>
  <si>
    <t>Worcester Fire Department</t>
  </si>
  <si>
    <t>FD25027314</t>
  </si>
  <si>
    <t>Leicester Fire Department</t>
  </si>
  <si>
    <t>FD25027327</t>
  </si>
  <si>
    <t>Uxbridge Fire Department</t>
  </si>
  <si>
    <t>FD25027342</t>
  </si>
  <si>
    <t>Hopedale Fire Department</t>
  </si>
  <si>
    <t>FD25027399</t>
  </si>
  <si>
    <t>Holden Fire Department</t>
  </si>
  <si>
    <t>FD25027402</t>
  </si>
  <si>
    <t>Phillipston Fire Department</t>
  </si>
  <si>
    <t>FD25027411</t>
  </si>
  <si>
    <t>Mendon Fire Department</t>
  </si>
  <si>
    <t>FD25027419</t>
  </si>
  <si>
    <t>Charlton Fire Department</t>
  </si>
  <si>
    <t>FD25027451</t>
  </si>
  <si>
    <t>Town Of Northborough Fire Department</t>
  </si>
  <si>
    <t>FD25027517</t>
  </si>
  <si>
    <t>Winchendon Fire Department</t>
  </si>
  <si>
    <t>FD25027551</t>
  </si>
  <si>
    <t>Templeton Fire Department</t>
  </si>
  <si>
    <t>FD25027605</t>
  </si>
  <si>
    <t>Ashburnham Fire Department</t>
  </si>
  <si>
    <t>FD25027606</t>
  </si>
  <si>
    <t>FD25027621</t>
  </si>
  <si>
    <t>Rutland Fire Department</t>
  </si>
  <si>
    <t>FD25027661</t>
  </si>
  <si>
    <t>Sterling Fire Department</t>
  </si>
  <si>
    <t>FD25027669</t>
  </si>
  <si>
    <t>Devens Fire Department</t>
  </si>
  <si>
    <t>FD25027671</t>
  </si>
  <si>
    <t>Berlin Fire Department</t>
  </si>
  <si>
    <t>FD25027696</t>
  </si>
  <si>
    <t>Millville Fire Rescue</t>
  </si>
  <si>
    <t>FD25027743</t>
  </si>
  <si>
    <t>Northbridge Fire Department</t>
  </si>
  <si>
    <t>FD25027751</t>
  </si>
  <si>
    <t>West Brookfield Fire Department</t>
  </si>
  <si>
    <t>FD25027761</t>
  </si>
  <si>
    <t>Webster Fire Department</t>
  </si>
  <si>
    <t>FD25027770</t>
  </si>
  <si>
    <t>North Brookfield Fire Department</t>
  </si>
  <si>
    <t>FD25027786</t>
  </si>
  <si>
    <t>Bolton Fire Department</t>
  </si>
  <si>
    <t>FD25027795</t>
  </si>
  <si>
    <t>Upton Fire - Ems</t>
  </si>
  <si>
    <t>FD25027809</t>
  </si>
  <si>
    <t>Lunenburg Fire Department</t>
  </si>
  <si>
    <t>FD25027935</t>
  </si>
  <si>
    <t>Athol Fire Department</t>
  </si>
  <si>
    <t>Incident NERIS ID</t>
  </si>
  <si>
    <t>Incident Number</t>
  </si>
  <si>
    <t>Call Date</t>
  </si>
  <si>
    <t>Call Date (Eastern Time Zone)</t>
  </si>
  <si>
    <t>Call Date (Eastern Time Zone) Date</t>
  </si>
  <si>
    <t>Call Date (Eastern Time Zone) Time</t>
  </si>
  <si>
    <t>Call Date (Eastern Time Zone) Month</t>
  </si>
  <si>
    <t>Call Date (Eastern Time Zone) Year</t>
  </si>
  <si>
    <t>Call Date (Eastern Time Zone) Hour</t>
  </si>
  <si>
    <t>Last Modified</t>
  </si>
  <si>
    <t>Incident Status</t>
  </si>
  <si>
    <t>First Incident Type</t>
  </si>
  <si>
    <t>Second Incident Type</t>
  </si>
  <si>
    <t>Third Incident Type</t>
  </si>
  <si>
    <t>People Present</t>
  </si>
  <si>
    <t>Animals Rescued</t>
  </si>
  <si>
    <t>Outcome Narrative</t>
  </si>
  <si>
    <t>Displacement Count</t>
  </si>
  <si>
    <t>Submitter Type</t>
  </si>
  <si>
    <t>Location Source</t>
  </si>
  <si>
    <t>Latitude</t>
  </si>
  <si>
    <t>Longitude</t>
  </si>
  <si>
    <t>GIS Point (longitude,latitude)</t>
  </si>
  <si>
    <t>FD25027007|26-001120_639190300512922152|1783181040</t>
  </si>
  <si>
    <t>26-001120_639190300512922152</t>
  </si>
  <si>
    <t>2026-07-04T16:04:00+00:00</t>
  </si>
  <si>
    <t>2026-07-07T14:07:35.355965+00:00</t>
  </si>
  <si>
    <t>APPROVED</t>
  </si>
  <si>
    <t>FIRE||OUTSIDE_FIRE||VEGETATION_GRASS_FIRE</t>
  </si>
  <si>
    <t>Dispatched for a possible brush fire in front of village green. F-2 arrive on scene X-13 assumed command. Found a 2 foot by 2 foot area in the mulch that was smoldering. F-2 extinguished mulch, no other hazards found at this time. All units cleared scene and returned in service. Command terminated.</t>
  </si>
  <si>
    <t>RMS</t>
  </si>
  <si>
    <t>base_location</t>
  </si>
  <si>
    <t>FD25027007|260504-121200-SFDSTA11_639135808218833837|1777904640</t>
  </si>
  <si>
    <t>260504-121200-SFDSTA11_639135808218833837</t>
  </si>
  <si>
    <t>2026-05-04T14:24:00+00:00</t>
  </si>
  <si>
    <t>2026-09-10T23:02:59.848728+00:00</t>
  </si>
  <si>
    <t>SFD dispatched to 1238 Brimfield Rd in Warren MA for assistance with a brush fire. ****** requested UTV and forestry unit from SFD then later requested a coverage Engine for their headquarters station.  Forestry-1 with UTV/ATV on a trailer responded to the scene with a crew of 2. Engine 3 responded to cover Warren HQ with a crew of 4. Forestry-1 arrived on scene. ****** command noted UTV/ ATV will not work due to terrain of brush fire. Sent to top of hill with Indian bags, rakes, and chainsaw. Assisted in fire extinguishment and containment with handlines using foam and Indian bags until command deemed all hot spots knocked down and fire fully extinguished. Cleared by ****** command. Cleared the scene, went to Warren HQ and met up with SFD Engine 3. All fire units cleared by ****** command. Cleared and returned. All without incident. End of report.</t>
  </si>
  <si>
    <t>FD25027007|260429-102243-SFDSTA11_639131496325194001|1777469220</t>
  </si>
  <si>
    <t>260429-102243-SFDSTA11_639131496325194001</t>
  </si>
  <si>
    <t>2026-04-29T13:27:00+00:00</t>
  </si>
  <si>
    <t>2026-09-10T22:58:47.022000+00:00</t>
  </si>
  <si>
    <t>Called to area of Leon Drive for a brush fire. On arrival found two females burning brush without a permit. Advised the son of the open burning laws. Command held units to F-1. Fire extinguished with booster line. All units cleared.</t>
  </si>
  <si>
    <t>FD25027007|260426-131243-SFDSTA11_639129179147643921|1777220940</t>
  </si>
  <si>
    <t>260426-131243-SFDSTA11_639129179147643921</t>
  </si>
  <si>
    <t>2026-04-26T16:29:00+00:00</t>
  </si>
  <si>
    <t>2026-09-10T22:53:21.552769+00:00</t>
  </si>
  <si>
    <t>SFD dispatched to 25 Browning Pond Rd for reported out of control campfire, called in by homeowner&amp;#x27;s child. Forestry-2 responded with a crew of 2, Car 2 en route, Forestry-1 en route with a crew of 2. Forestry 3 and Tanker en route with 3. Informed address has no current burn permit. Forestry-2 arrived on scene, found a small campfire that had burned outside leaves and brush at fenceline to woods, homeowner on scene had a garden hose and was extinguishing the area/ wetting down unburned leaves. Fire contained. Held all units in quarters. Found materials in fire pit other than class a, homeowner noted he was burning a chair that had metal and wood. Informed homeowner of open burning rules/ regulations. Informed that if he wishes to burn he must obtain burn permit and adhere to the laws. Had homeowner extinguish entire fire in fire pit to remove metal and suggested he digs down or creates a better barrier around the pit so it does not travel in the future. Homeowner complied. Fire extinguished. All fire units clear and returning. All without incident. End of report.  Homeowner: ****************** ************</t>
  </si>
  <si>
    <t>FD25027007|260412-191756-SFDSTA11_639116803221565001|1776033720</t>
  </si>
  <si>
    <t>260412-191756-SFDSTA11_639116803221565001</t>
  </si>
  <si>
    <t>2026-04-12T22:42:00+00:00</t>
  </si>
  <si>
    <t>2026-09-10T22:50:56.102906+00:00</t>
  </si>
  <si>
    <t>Station 11 received a call about a possible illegal burn at 2 Chickering Rd. Upon F-2 arrival we found a roughly 10x10 area that had burned with fire still on the perimeter of the yard. At this time the home owner came outside and stated that he dumped ashes from his wood furnace in his yard. F-2 used a booster line to put out remainder of the fire and wet down other areas. once complete the home owner was made aware of safe fire practices / regulations. F-2 cleared and returned.</t>
  </si>
  <si>
    <t>FD25027087|26PRI-146-IN_639107341196182319|1774798380</t>
  </si>
  <si>
    <t>26PRI-146-IN_639107341196182319</t>
  </si>
  <si>
    <t>2026-03-29T15:33:00+00:00</t>
  </si>
  <si>
    <t>2026-09-10T19:37:28.711766+00:00</t>
  </si>
  <si>
    <t>Burn permit that got out of control.  We extinguished the extension into the stone wall and let the resident keep burning.</t>
  </si>
  <si>
    <t>base_location_geocoded</t>
  </si>
  <si>
    <t>FD25027106|26WN-522-IN|1778011200</t>
  </si>
  <si>
    <t>cc6e6a37-aad0-4a0c-8aff-3bd76e9c9e93</t>
  </si>
  <si>
    <t>2026-05-05T20:00:00+00:00</t>
  </si>
  <si>
    <t>2026-09-10T21:34:08.460505+00:00</t>
  </si>
  <si>
    <t>PENDING_APPROVAL</t>
  </si>
  <si>
    <t>Warren Fire dispatched for reported large brush fire in the area of the apple orchard on Bragg Rd, in the area of 270 Bragg Rd.  Upon arrival of 16-C1 he assumed command of a spreading brush fire, due to the location and weather conditions C1 requested a 2nd alarm brush response.  Brush 1 and Engine 4 arrived on scene simultaneously and began fire suppression and control.  Engine 2 set up a draft site to fill tankers at 132 Forest Ave, and Tanker 1 had set up a fill area on Bragg Rd.  The fire was knocked down and controlled prior to mutual aid arriving. Mutual Aid assisted with wetting down and overhauling hot spots.  Once the fire was deemed under control and just about out command released mutual aid companies.  The fire was completely wet down and overhauled, command was terminated and all units returned.    The persons responsible for the fire starting live at 270 Bragg Rd.  They informed fire and Police personnel that they hadn&amp;#x27;t burned brush or any materials in a couple days.  They believe the fire had possibly been smoldering for a couple days and with the wind it kicked up sparks and or ember&amp;#x27;s which started the fire.</t>
  </si>
  <si>
    <t>USER</t>
  </si>
  <si>
    <t>FD25027106|26WN-517-IN|1777902720</t>
  </si>
  <si>
    <t>059cdca2-dd29-4e90-872f-a84030b5ebff</t>
  </si>
  <si>
    <t>2026-05-04T13:52:00+00:00</t>
  </si>
  <si>
    <t>2026-09-10T21:37:29.763221+00:00</t>
  </si>
  <si>
    <t>Warren Fire along with Brimfield Fire were dispatched to the area of the Warren and Brimfield town lines for reported large amount of smoke in the area.  Upon arrival of Warren C1 he found a large out of control brush fire rapidly spreading in to the wooded area behind 1238,1226 and 1210 Brimfield Rd.  A 2nd alarm brush assignment was requested to bring additional resources to the scene.  Brush 1 along with mutual aid units attacked the left side fire line from behind 1238 Brimfield Rd.  Upon arrival of Engine 4 along with mutual aid units attacked the right side fire line.  A 3rd alarm was requested to bring more additional brush crews to assist.  Rehab 78 was requested from Mass Fire District 7 along with MASS D-7 DCR personnel.  Tanker 1 and a tanker from Brookfield supplied water to both Brush 1 and Engine 4 throughout the incident.  Water and F-500 foam was used in all firefighting efforts.  The fire was brought under control and surrounded in approximately 2 hours and fully extinguished in about 4.5 hours.  One member of the D-7 rehab 78 crew suffered a medical emergency and was transported by Brimfield EMS to Harrington Hospital for evaluation, no firefighters were injured.  Once the fire was extinguished all personnel assisted with removal of hose and equipment from the woods, with personnel checking for remaining hot spots with none being found.  Command was terminated and all units returned.    The cause of the fire was found to be a resident at 1226 Brimfield Rd to be burning leaves and brush out of season without a permit.</t>
  </si>
  <si>
    <t>FD25027106|26WN-429-IN|1776011880</t>
  </si>
  <si>
    <t>eaa8fa42-ef2d-48be-8143-1b3d11609577</t>
  </si>
  <si>
    <t>2026-04-12T16:38:00+00:00</t>
  </si>
  <si>
    <t>2026-07-22T14:22:34.937075+00:00</t>
  </si>
  <si>
    <t>All Call to 187 Babcock Tavern Rd in the town of Ware for the Brush fire. Fire units were cancelled prior to arrival and returned to town in service.</t>
  </si>
  <si>
    <t>FD25027106|26WN-422-IN|1775922900</t>
  </si>
  <si>
    <t>cec6c540-c87b-4015-8a9a-8f998b78cd28</t>
  </si>
  <si>
    <t>2026-04-11T15:55:00+00:00</t>
  </si>
  <si>
    <t>2026-07-22T13:51:12.375056+00:00</t>
  </si>
  <si>
    <t>HAZSIT||HAZARD_NONCHEM||ELEC_POWER_LINE_DOWN_ARCHING_MALFUNC</t>
  </si>
  <si>
    <t>All Call to 490 Town Farm Rd for the reported wires down causing a small brush fire. Upon arrival C-2 found wires down on the ground with about a 10x20 area burning. C-2 also advised getting national grid to the scene. Brush 1 arrived on scene and began cutting a fire break at the head of the fire. Water could not be used at that time due to live electrical lines on the ground. National grid arrived and cut the power so fire could start extinguishment. Fire crews extinguished the area and put out hot spots and overhauled. Fire units cleared in service.</t>
  </si>
  <si>
    <t>FD25027116|26-390-IN_639116286568842368|1776028860</t>
  </si>
  <si>
    <t>26-390-IN_639116286568842368</t>
  </si>
  <si>
    <t>2026-04-12T21:21:00+00:00</t>
  </si>
  <si>
    <t>2026-09-10T20:12:11.059500+00:00</t>
  </si>
  <si>
    <t>FIRE||OUTSIDE_FIRE||TRASH_RUBBISH_FIRE</t>
  </si>
  <si>
    <t>The fire was extinguished by DFD personnel.</t>
  </si>
  <si>
    <t>FD25027116|26-368-IN_639111747820500244|1775570353</t>
  </si>
  <si>
    <t>26-368-IN_639111747820500244</t>
  </si>
  <si>
    <t>2026-04-07T13:59:13+00:00</t>
  </si>
  <si>
    <t>2026-09-10T20:07:25.351252+00:00</t>
  </si>
  <si>
    <t>Brush 1 was dispatched to the area of 8 Wallis Street for smoke coming from a pile of brush in the back of the house. On arrival at a single story residence with smoke coming from a pile of brush in the back yard. Pile is burning underneath sand that was dumped over it.  Crew from Brush 1 broke down the pile and exposed heat coming from within the pile. Fire was extinguished without incident and maintained within the pile. crew cleared with no hazards on scene.</t>
  </si>
  <si>
    <t>FD25027157|26-2121|1788199136</t>
  </si>
  <si>
    <t>26-2121</t>
  </si>
  <si>
    <t>2026-08-31T17:58:56+00:00</t>
  </si>
  <si>
    <t>2026-08-31T18:42:29.806807+00:00</t>
  </si>
  <si>
    <t>F-9 to the area of Dunkin donuts for the report of mulch smoldering.  Nothing found on arrival.  Companies cleared</t>
  </si>
  <si>
    <t>FD25027157|26-1697|1784318322</t>
  </si>
  <si>
    <t>26-1697</t>
  </si>
  <si>
    <t>2026-07-17T19:58:42+00:00</t>
  </si>
  <si>
    <t>2026-08-03T18:42:10.687152+00:00</t>
  </si>
  <si>
    <t>F9 dispatched to Bolton for a half-acre brush fire.</t>
  </si>
  <si>
    <t>FD25027157|26-1368|1781530291</t>
  </si>
  <si>
    <t>26-1368</t>
  </si>
  <si>
    <t>2026-06-15T13:31:31+00:00</t>
  </si>
  <si>
    <t>2026-08-03T18:05:40.296382+00:00</t>
  </si>
  <si>
    <t>220 High St in the alley behind the store was a small mulch fire. F9 stretched 1 line to extinguish the fire.</t>
  </si>
  <si>
    <t>FD25027157|26-0927|1777240977</t>
  </si>
  <si>
    <t>26-0927</t>
  </si>
  <si>
    <t>2026-04-26T22:02:57+00:00</t>
  </si>
  <si>
    <t>2026-09-10T20:57:28.287817+00:00</t>
  </si>
  <si>
    <t>E6 dispatched to area of Rogersfield way for report of large outside fire producing a large amount of smoke.  While in route, a large amount of smoke could be seen in the dispatched area from Main St.  Lancaster 17C1 advised over the air he was on scene and that the correct address was 42 Pondview Dr.  On arrival an large hillside area behind the home, about 100&amp;#x27;x50&amp;#x27;, was actively burning.  Home owner had been burning at the bottom of his property near the water front and the fire got away from him and traveled up the hill towards his and his neighbors home at 44 pond view.  A line was stretched off E6 and the bulk of the fire was extinguished.  F9 was requested to the scene to assist with establishing water supply and overhauling the fire.  Water supply was established from hydrant.  Area was wet down thoroughly and overhauled.  Advised the homeowner that he is not to burn anymore this season, and in the future he must call dispatch and request to burn, and follow all rules and regulations, including having a water supply on hand.</t>
  </si>
  <si>
    <t>FD25027157|26-0815|1776009685</t>
  </si>
  <si>
    <t>26-0815</t>
  </si>
  <si>
    <t>2026-04-12T16:01:25+00:00</t>
  </si>
  <si>
    <t>2026-09-10T23:12:17.778543+00:00</t>
  </si>
  <si>
    <t>F9 to the Town of Lancaster for a brush fire.</t>
  </si>
  <si>
    <t>FD25027162|26-039|1774022400</t>
  </si>
  <si>
    <t>8ee728f9-9e32-45b8-87e5-90f5640607cb</t>
  </si>
  <si>
    <t>2026-03-20T16:00:00+00:00</t>
  </si>
  <si>
    <t>2026-09-10T19:51:10.781157+00:00</t>
  </si>
  <si>
    <t>Permit fire out of control. 1/4 acre</t>
  </si>
  <si>
    <t>FD25027167|26-4227|1787856174</t>
  </si>
  <si>
    <t>26-4227</t>
  </si>
  <si>
    <t>2026-08-27T18:42:54+00:00</t>
  </si>
  <si>
    <t>2026-08-28T01:31:15.676467+00:00</t>
  </si>
  <si>
    <t>E4 dispatched to noted address, caller reports outside fire. Mulch fire. Upon arrival FF *********** points E4 personnel to direction of the fire. A small mulch pit approximately 1&amp;#x27;x1&amp;#x27; was smoldering, tenants poured water over the affected area. No fire or smoke upon our arrival. E4 personnel used an entire water can on the affected area and then cleared the scene. on Site maintenance personnel were on scene and made aware of the incident by E4 personnel. E4 clear and RTQ</t>
  </si>
  <si>
    <t>FD25027167|26-3985|1786730226</t>
  </si>
  <si>
    <t>26-3985</t>
  </si>
  <si>
    <t>2026-08-14T17:57:06+00:00</t>
  </si>
  <si>
    <t>2026-08-15T00:44:52.527658+00:00</t>
  </si>
  <si>
    <t>Station 1 received a phone call from a neighbor of 26 Emmons St. stating they were burning in their backyard. Engine 5 responded and saw a large column of black smoke coming from the backyard. Upon investigation, we found the homeowner burning a large pile of green trimmings from his bushes. We advised the homeowner this was not allowed and needed to be put out immediately. The homeowner complied and extinguished the fire completely with his own garden hose. The resident was advised on the rules of open burning and it was explained that he could never burn these types of materials. Engine 5 cleared. JPV</t>
  </si>
  <si>
    <t>FD25027167|26-3664|1785179142</t>
  </si>
  <si>
    <t>26-3664</t>
  </si>
  <si>
    <t>2026-07-27T19:05:42+00:00</t>
  </si>
  <si>
    <t>2026-07-27T21:08:56.082530+00:00</t>
  </si>
  <si>
    <t>E4 was returning to station 2 from motor vehicle lock out when personnel observed a smoldering mulch bed at Prezo Grille &amp;amp; Bar on East Main Street. E4 pulled into parking lot where employee was already attempting to extinguish the fire with buckets of water. E4 assisted by applying water to fully extinguish remaining hot spots. The affected area was approximately 2 ft x 2 ft. Personnel overhauled mulch bed using roof rake to expose any remaining embers while employees continued to soak the area with water. The cause of the fire was undetermined. No further investigation needed. E4 clears scene. -AC</t>
  </si>
  <si>
    <t>FD25027167|26-2889|1781298447</t>
  </si>
  <si>
    <t>26-2889</t>
  </si>
  <si>
    <t>2026-06-12T21:07:27+00:00</t>
  </si>
  <si>
    <t>2026-09-10T23:24:34.419834+00:00</t>
  </si>
  <si>
    <t>E4 dispatched to 495 NB prior to exit 48 for a brush fire in the median. En route, fire alarm gives report of brush fire in the median, Bellingham en route. En route, off duty FF Halpin calls L3 by cell phone to alert him that he is on scene and used a dry chemical extinguisher on small grass fire to knock it down. FF Halpin gives location on 495 as NB between 46 and 48. Upon arrival, E4 on scene with Bellingham Engine, MSP and FF Halpin. As E4 personnel exit vehicle, Bellingham engine departs scene.  Grass fire is approximately a 6 foot x 6 foot area, was knocked down prior to arrival, no flames. Area is still smoldering in parts. Water extinguisher used. After expending water extinguisher, 50&amp;#x27; 1 3&amp;#x27;4&amp;quot; jump line is deployed to finish wetting down area. Approximately 50 gallons are used to soak down area.  Cigarette butt located in burned area. FF Halpin is cleared from scene.   E4 makes up hose line. E4 clears highway and responds to reported structure fire.</t>
  </si>
  <si>
    <t>FD25027167|26-2743|1780599796</t>
  </si>
  <si>
    <t>26-2743</t>
  </si>
  <si>
    <t>2026-06-04T19:03:16+00:00</t>
  </si>
  <si>
    <t>2026-09-10T22:56:42.307172+00:00</t>
  </si>
  <si>
    <t>E5 and R1 dispatched to location for report of smoke coming from a generator in the parking lot. On arrival we located a small area of mulch approx. 2x2 feet smoldering against a retaining wall near the backup generator. A 1 3/4 inch line was stretched and approx. 50 gallons of water was used to soak the area. The area was overhauled and all fire was extinguished. R1 cleared to respond to medical, E5 made up and cleared the scene.</t>
  </si>
  <si>
    <t>FD25027167|26-2680|1780330909</t>
  </si>
  <si>
    <t>26-2680</t>
  </si>
  <si>
    <t>2026-06-01T16:21:49+00:00</t>
  </si>
  <si>
    <t>2026-09-10T22:51:21.120907+00:00</t>
  </si>
  <si>
    <t>Tanker 1 supplied water via rural hitch as directed by Bellingham FD incident command.   Rescue 3 crew assisted with hand tools to remove debris from burn area.   Both units cleared by Command and returned to Station 2.   Recall Released. Engine 4/Ladder 1 returned in service.</t>
  </si>
  <si>
    <t>FD25027167|26-2468|1779227756</t>
  </si>
  <si>
    <t>26-2468</t>
  </si>
  <si>
    <t>2026-05-19T21:55:56+00:00</t>
  </si>
  <si>
    <t>2026-09-10T21:58:55.282298+00:00</t>
  </si>
  <si>
    <t>Ladder 1 diverted from separate incident and responds to location for report of fire in the grass/brush on side of road approximately the size of a car after a lightning strike. E4 is also diverted. As ladder 1 is arriving on scene, C3 contacts L3 over radio and states he needs us to respond to another incident when possible and have E4 handle current call. E4 is approximately 1 minute behind Ladder 1 en route to scene. As ladder 1 receives message, we arrive on scene to a approximately 10x10 grass/brush fire on side of the road spreading into front yard of residence with by standers on scene. L3 has command. Ladder 1 uses water extinguisher to hit edges of fire and contain it to its current location. E4 arrives on scene, and Ladder 1 departs scene to head to separate incident. E4 deploys 50 ft 1 3/4&amp;quot; hand line off side discharge and finishes extinguishing fire. Area is overhauled with shovel and thoroughly wet down.  After fire has been extinguished, E4 makes up hand line. E4 clear of scene, command terminated.</t>
  </si>
  <si>
    <t>FD25027167|26-2444|1779128114</t>
  </si>
  <si>
    <t>26-2444</t>
  </si>
  <si>
    <t>2026-05-18T18:15:14+00:00</t>
  </si>
  <si>
    <t>2026-09-10T22:08:19.046410+00:00</t>
  </si>
  <si>
    <t>E5 was dispatched to area of 31 Main St for an outside fire, multiple people calling reporting a bush on fire at that location. E5 responded and Ladder 1 was in the area and responded as well.  E5 on scene found fire had been extinguished by a citizen with a dry chem extinguisher, bush still smoldering, C5 took command and canceled L1 response.  Citizen was still on scene, reported he went inside a local business, grabbed their fire extinguisher and used it on the bush.  Citizen also reported there had been a car parked in the parking space next to the bush but they drove it away before he extinguished the fire. No description of vehicle available and unknown if damaged by the fire.  E5 used a water extinguisher and then front jump line to wet down the bush and mulch surrounding it.  approx 10 gallons used.  E5 made up the hose. C5 terminated command and E5 returned to quarters.</t>
  </si>
  <si>
    <t>FD25027167|26-2350|1778614958</t>
  </si>
  <si>
    <t>26-2350</t>
  </si>
  <si>
    <t>2026-05-12T19:42:38+00:00</t>
  </si>
  <si>
    <t>2026-09-10T21:50:58.846410+00:00</t>
  </si>
  <si>
    <t>- Dispatched for a report of a brush fire. - Fire alarm update; calling party reports grass fire in front of the above address, property owner is attempting to extinguish the fire.  - On arrival we found the fire had bee completely extinguish by the employees at from the business. - There was an area of about 30&amp;#x27;x30&amp;#x27; of grass that had been burned. Using the front jump line we wet down the entire area. - The ignition source was mostly likely a cigarette from a passing vehicle.</t>
  </si>
  <si>
    <t>FD25027167|26-2084|1777308377</t>
  </si>
  <si>
    <t>26-2084</t>
  </si>
  <si>
    <t>2026-04-27T16:46:17+00:00</t>
  </si>
  <si>
    <t>2026-09-10T21:00:04.898098+00:00</t>
  </si>
  <si>
    <t>Dispatched to 86 Howard St. for a brush fire. Report from Dispatch is that the calling party reported that a brush burning pile got out of control and extended to the woods. Engine 5, Brush 1 en route, w/ C2.  While en route C1 dispatched Tanker 1 to the scene. Upon arrival found the fire pit fire smoldering and fire extended out of the pit to a construction debris pile (including cut up trex decking) w/ active fire headed to the direction of a wood shed. C1 established Howard st. command and called for a 3:1. E5/Command deployed 1 and 3/4&amp;quot; jump-line to knock down the construction debris pile and had Brush 1 knock down the light running fire on the left sided headed to a nearby wood shed. At this time Command confirmed approximately a 1/4 Acre area was burning. A 3 inch line was deployed as a supply line to feed brush line down the right side of the fire where the heaviest fire was running. C2 assumed Command and requested 2 off road tankers and a Box was struck for the brush fire. Tanker 2 was en route and a dump tank operation was set up on scene. Hopkinton fire dispatched a tanker and a DCR forestry tanker was also en route. Hopkinton was canceled by C2. Operation of the 3 inch line was shut down to bring in a tractor to aid in moving overhauling the construction debris pile. The fire was knocked down and ultimately extinguished by approximately 6 shuttles (7000+/- gallons).     Upon investigation of the fire cause the property owner reports that brush fire was unattended momentarily before it extended and that in the attempt to extinguish or limit damage of the fire they had used a tractor and multiple hoses in the woods. They reported no injuries and only a  fire damaged tire. The owner reports that the tractor is uninsured and did not appear to have any other visible damage upon inspection.   Tractor: John Deere 5320 (PIN *LV53309236484*)  Tire: TR-135  No injuries were reported on scene and all apparatus were made up on scene, Recall Personnel were released from the scene. Engine 5/ Brush 1 cleared the scene and returned to service after filling the tanks back up at station 2. Medway was then released from station coverage.</t>
  </si>
  <si>
    <t>FD25027167|26-1856|1776016550</t>
  </si>
  <si>
    <t>26-1856</t>
  </si>
  <si>
    <t>2026-04-12T17:55:50+00:00</t>
  </si>
  <si>
    <t>2026-09-10T20:12:36.303662+00:00</t>
  </si>
  <si>
    <t>Brush 1 dispatched to 25 Courtland St. for a brush fire. En-route, dispatch updated that it was a bush on fire that spread to a section of woods behind the property. Upon our arrival, the residents were attempting to control the fire with a garden hose. They had extinguished a good portion of the fire, however, it was still burning and spreading in the woods. The roll up booster reel was pulled and we began extinguishing the fire. Engine 5 was requested to respond also.   The fire was contained quickly and then needed to be wet down substantially. Engine 5 personnel deployed a second line and began wetting down the burned area from the opposite side. A 3 and 1 recall was requested for station coverage. A hydrant line was established and we used approximately 1000 gallons of water to thoroughly extinguish the fire. 2 dead trees were burning and needed to be cut down with the chain saw as well.   The neighbor at #23 Courtland had some damage to a section of vinyl fence that had melted and bubbled from the fire. The residents of the home at #25 stated they were out for a walk and came back and saw the smoke and flames. They stated they had no idea how it could have started and there was nothing obvious in the fire area.  The resident&amp;#x27;s name was ***************. The burned area was roughly 25x60 feet long and was mostly leaves and yard debris. Once all equipment was repacked, Engine 5 and Brush 1 cleared. ***</t>
  </si>
  <si>
    <t>FD25027167|26-1609|1774792945</t>
  </si>
  <si>
    <t>26-1609</t>
  </si>
  <si>
    <t>2026-03-29T14:02:25+00:00</t>
  </si>
  <si>
    <t>2026-09-10T19:25:13.633762+00:00</t>
  </si>
  <si>
    <t>Engine 4 dispatched to 98 Medway Road Sacred Heart Cemetery for a outside grass fire. On arrival, large area of grass within the cemetery area burning. On arrival, I originally thought the area to be 50x50, once the fire was knocked down. Area was approximately 100x100. We stretched the front job line and extinguished all the active running fire. Several flower pots, flags and other memorials around the headstones had damage. Engine 4 continued to wet down the area, Engine 1 was requested for water supply and assistance w/ wetting down the area. I requested PD to the scene to make a report of the property damage on scene. Engine 1 on arrival, PD on scene. Engine 1 crew used their front jump to assist in wetting down the area. Approximately 800 gallons of water used. 
The fire was caused by discarded matches. Individual that called ***, remained on scene. I Spoke to the caller, he stated that he accidentally started the fire when lighting a candle for a memorial. He thought the match was out and threw it on the ground, subsequently starting the fire. No malicious intent. (********** Sample Rd. Milford) 
The last names of individuals that had damage to flower pots, flags and other memorial items.
**********, ******* (flower pots and flags). Tieuli, *****, ******** and *****.</t>
  </si>
  <si>
    <t>FD25027173|2607-993-IN_639178480523567173|1782063165</t>
  </si>
  <si>
    <t>2607-993-IN_639178480523567173</t>
  </si>
  <si>
    <t>2026-06-21T17:32:45+00:00</t>
  </si>
  <si>
    <t>2026-09-11T00:04:40.717283+00:00</t>
  </si>
  <si>
    <t>Extinguished 5 roadside fires- largest fire was 20&amp;#x27;x50&amp;#x27;  Sterling and Holden FD assisted</t>
  </si>
  <si>
    <t>FD25027173|2607-958-IN_639189365124541345|1781549532</t>
  </si>
  <si>
    <t>2607-958-IN_639189365124541345</t>
  </si>
  <si>
    <t>2026-06-15T18:52:12+00:00</t>
  </si>
  <si>
    <t>2026-07-06T12:08:35.604076+00:00</t>
  </si>
  <si>
    <t>FD25027173|2607-853-IN_639154909703426415|1779890503</t>
  </si>
  <si>
    <t>2607-853-IN_639154909703426415</t>
  </si>
  <si>
    <t>2026-05-27T14:01:43+00:00</t>
  </si>
  <si>
    <t>2026-09-10T22:39:58.534858+00:00</t>
  </si>
  <si>
    <t>CP REPORTING A BRUSH FIRE. SECOND 911 CALLER C1 ADV 5 TOTAL FIRES, APPROX 20X100, INVESTIGATING COMMAND ADVISES THAT FIRE IS IN BOYLSTON REQUESTING PD TO LIMIT TRAFFIC UP PAUL X COMMAND ADV BE1 AND WBE3 WILL HAVE WATER ON THE FIRES COMMAND ADVISED EVERYTHING HAS BEEN TRANSFERRED OVER TO 8C, ALL FIRES (4) HAVE BEEN EXTINGUISHED, ALL WB UNITS CLEAR.</t>
  </si>
  <si>
    <t>FD25027173|2607-724-IN_639136226694607509|1778000446</t>
  </si>
  <si>
    <t>2607-724-IN_639136226694607509</t>
  </si>
  <si>
    <t>2026-05-05T17:00:46+00:00</t>
  </si>
  <si>
    <t>2026-09-10T21:23:11.643904+00:00</t>
  </si>
  <si>
    <t>MULCH FIRE. *************** ************ A1 ADV SMALL MULCH FIRE IN MEDIAN A1 ADV CLEARED BY FORESTRY TO GO TO OTHER CALL FORESTRY ADV SMOULDERING MULCH HAS BEEN EXTINGUISHED</t>
  </si>
  <si>
    <t>FD25027173|2607-603-IN_639128878210781100|1776091658</t>
  </si>
  <si>
    <t>2607-603-IN_639128878210781100</t>
  </si>
  <si>
    <t>2026-04-13T14:47:38+00:00</t>
  </si>
  <si>
    <t>2026-09-10T21:06:34.172851+00:00</t>
  </si>
  <si>
    <t>FIRE||OUTSIDE_FIRE||OTHER_OUTSIDE_FIRE</t>
  </si>
  <si>
    <t>PUBSERV||OTHER||STANDBY</t>
  </si>
  <si>
    <t>Walk in report from Public Housing regarding a previous set fire by neighborhood kids. Car 1 visited the site and spoke with two adult residents. Determination was made that kids were experimenting, non-habitual, they will notify FD if any more fires are set.</t>
  </si>
  <si>
    <t>FD25027173|2607-594-IN_639115343407259742|1775931324</t>
  </si>
  <si>
    <t>2607-594-IN_639115343407259742</t>
  </si>
  <si>
    <t>2026-04-11T18:15:24+00:00</t>
  </si>
  <si>
    <t>2026-09-10T20:17:00.779416+00:00</t>
  </si>
  <si>
    <t>***********, TONED EN ROUTE WITH 4 ON THE FORESTRY TRUCK</t>
  </si>
  <si>
    <t>FD25027173|2607-86-IN_639042801513469750|1768597129</t>
  </si>
  <si>
    <t>2607-86-IN_639042801513469750</t>
  </si>
  <si>
    <t>2026-01-16T20:58:49+00:00</t>
  </si>
  <si>
    <t>2026-09-10T16:00:41.227143+00:00</t>
  </si>
  <si>
    <t>FD25027241|26-0334|1781744040</t>
  </si>
  <si>
    <t>26-0334</t>
  </si>
  <si>
    <t>2026-06-18T00:54:00+00:00</t>
  </si>
  <si>
    <t>2026-09-10T23:51:23.853054+00:00</t>
  </si>
  <si>
    <t>B3 and E3 Responded to above location for an outside fire, units on scene confirmed a small fire in the woods near the driveway of the residence, units quickly extinguished the flame, advised homeowner, units cleared</t>
  </si>
  <si>
    <t>FD25027241|26-0246|1777422120</t>
  </si>
  <si>
    <t>26-0246</t>
  </si>
  <si>
    <t>2026-04-29T00:22:00+00:00</t>
  </si>
  <si>
    <t>2026-09-10T21:15:22.097594+00:00</t>
  </si>
  <si>
    <t>Station 3 dispatched to the area of 114 Ferry st for the report of an fire in the woods. On arrival fire was seen in the woods behind 114 Ferry st. Crews entered the woods from poplar st stretching one line from B3. On assessment a 75 foot circle area was burning, the origin being a camp fire in the center area. Crews wet down the area and utilized hand tools to create a fire break on the perimeter of the fire. Once fire was contained and put out crews spent time wetting down the area and checking for spot fires. Fire was successfully extinguished and crews cleared without further incident.</t>
  </si>
  <si>
    <t>FD25027241|26-0233|1777027500</t>
  </si>
  <si>
    <t>26-0233</t>
  </si>
  <si>
    <t>2026-04-24T10:45:00+00:00</t>
  </si>
  <si>
    <t>2026-09-10T21:04:36.327738+00:00</t>
  </si>
  <si>
    <t>E3 with crew of 3 and F3 with crew of 1 responded to above location for a outside fire, when units arrived 2 trees and a natural privacy fence that were ongoing. Units extinguished both fires, units cleared</t>
  </si>
  <si>
    <t>FD25027241|26-0231|1776967200</t>
  </si>
  <si>
    <t>26-0231</t>
  </si>
  <si>
    <t>2026-04-23T18:00:00+00:00</t>
  </si>
  <si>
    <t>2026-09-10T20:52:36.064863+00:00</t>
  </si>
  <si>
    <t>FIRE||STRUCTURE_FIRE||STRUCTURAL_INVOLVEMENT_FIRE</t>
  </si>
  <si>
    <t>Engine 1 and Brush 1 with Car 2 responded to 11 stonygate rd for a reported brush fire out of control. Car 2 arrived and the fire was out but discovered the fire went up the side of the home. Car 2 instructed crews to take some of the siding off to make sure that there was not any extension. All crews cleared .</t>
  </si>
  <si>
    <t>FD25027241|26-0196|1775341620</t>
  </si>
  <si>
    <t>26-0196</t>
  </si>
  <si>
    <t>2026-04-04T22:27:00+00:00</t>
  </si>
  <si>
    <t>2026-09-10T20:02:55.038369+00:00</t>
  </si>
  <si>
    <t>Engine 1 ,Brush 1, and Car 2 responded to 9 Faye Mtn Rd for an unattended brush pile burning. The call came in from a concerned neighbor. Upon arrival the Crew from Brush 1 deployed the brush line with the crew from Engine 1 with rakes and shovels breaking up the pile.Water usage was a 1/4 of a tank. All units cleared by command. weather cloudy, cool and dry with temps in the 40s</t>
  </si>
  <si>
    <t>FD25027249|26-0859|1781975561</t>
  </si>
  <si>
    <t>26-0859</t>
  </si>
  <si>
    <t>2026-06-20T17:12:41+00:00</t>
  </si>
  <si>
    <t>2026-09-11T00:06:52.772740+00:00</t>
  </si>
  <si>
    <t>FD25027249|26-0725|1779497876</t>
  </si>
  <si>
    <t>26-0725</t>
  </si>
  <si>
    <t>2026-05-23T00:57:56+00:00</t>
  </si>
  <si>
    <t>2026-09-10T22:26:48.995566+00:00</t>
  </si>
  <si>
    <t>FD25027249|26-0653|1778266059</t>
  </si>
  <si>
    <t>26-0653</t>
  </si>
  <si>
    <t>2026-05-08T18:47:39+00:00</t>
  </si>
  <si>
    <t>2026-09-10T21:42:29.277927+00:00</t>
  </si>
  <si>
    <t>FD25027249|26-0448|1774812274</t>
  </si>
  <si>
    <t>26-0448</t>
  </si>
  <si>
    <t>2026-03-29T19:24:34+00:00</t>
  </si>
  <si>
    <t>2026-09-10T19:39:14.682206+00:00</t>
  </si>
  <si>
    <t>FD25027254|26-186|1788105300</t>
  </si>
  <si>
    <t>26-186</t>
  </si>
  <si>
    <t>2026-08-30T15:55:00+00:00</t>
  </si>
  <si>
    <t>2026-09-11T01:50:12.791850+00:00</t>
  </si>
  <si>
    <t>Small tree stump on fire at South Pond Beach, likely due to smoking materials.</t>
  </si>
  <si>
    <t>FD25027254|26-113|1778012100</t>
  </si>
  <si>
    <t>26-113</t>
  </si>
  <si>
    <t>2026-05-05T20:15:00+00:00</t>
  </si>
  <si>
    <t>2026-09-10T23:31:26.798213+00:00</t>
  </si>
  <si>
    <t>Requested by Warren Fire to respond to a 2nd Alarm brush fire on Bragg Rd. Tanker 2 responded with a crew of 3, per command assignment was to access via 270 Bragg Rd and extinguish a large brush pile and surrounding area. Deployed a 1.5&amp;quot; forestry hand line and used approx 500 gallons to extinguish the fire.</t>
  </si>
  <si>
    <t>FD25027254|26-112|1778006700</t>
  </si>
  <si>
    <t>26-112</t>
  </si>
  <si>
    <t>2026-05-05T18:45:00+00:00</t>
  </si>
  <si>
    <t>2026-09-10T23:30:41.905609+00:00</t>
  </si>
  <si>
    <t>Brookfield Fire dispatched to the area of 50 Long Hill Road for a tree down with power lines involved possibly on fire. Car 1 arrived and found a large tree had fallen and taken out the primary lines. Found approx. 100&amp;#x27; fire line on the north side of Long Hill Rd spreading into the woods. Notified National Grid to respond to the scene to shut off the power. Tanker 2 and Forestry 2 arrived on scene and deployed 2 forestry hand lines to control the perimeter using caution to avoid the energized lines. West Brookfield contacted to respond with a Brush truck from there end of Long Hill Rd and East Brookfield requested for the brush tanker for water supply. Used 3 handlines and approx 2500 Gallons of water.</t>
  </si>
  <si>
    <t>FD25027254|26-111|1778004900</t>
  </si>
  <si>
    <t>26-111</t>
  </si>
  <si>
    <t>2026-05-05T18:15:00+00:00</t>
  </si>
  <si>
    <t>2026-09-10T23:30:38.210317+00:00</t>
  </si>
  <si>
    <t>Brookfield Fire dispatched to the area of 76 Town Farm Road for the brush fire. Car 3 responded and arrived to find a small 10x10 brush fire and a pile of burning brush and debris. Male party was burning brush for a family member and was unaware that burning season was over. Forestry 2 deployed 1 forestry handline and extinguished the fire with tank water, approx 200 gallons. Units cleared and responded to another fire on Long Hill Rd/\.</t>
  </si>
  <si>
    <t>FD25027254|26-29058|1777395720</t>
  </si>
  <si>
    <t>26-101</t>
  </si>
  <si>
    <t>2026-04-28T17:02:00+00:00</t>
  </si>
  <si>
    <t>2026-09-10T23:08:00.810081+00:00</t>
  </si>
  <si>
    <t>Brookfield Fire dispatched Mutual Aid to West Brookfield, John Gilbert Rd. at the solar field near High View Campground for smoke in the area. Forestry 2 and Car 2 responded. While responding we were updated that the smoke was most likely due to another brush fire on Route 67 at the Warren/West Brookfield line. Warren fire units on scene, Warren Car 1 in command.  Brookfield Forestry 2 diverted to the scene on Route 67, Car 2 checked the John Gilbert Rd and Ragged Hill Rd area and confirmed no fire at that address and then responded to the fire scene and assisted with wetting down the area. Found a brush/grass fire had started due to a malfunction of a transformer on  a Solar panel unit.</t>
  </si>
  <si>
    <t>FD25027254|26-91|1776191940</t>
  </si>
  <si>
    <t>26-91</t>
  </si>
  <si>
    <t>2026-04-14T18:39:00+00:00</t>
  </si>
  <si>
    <t>2026-09-10T22:29:00.266827+00:00</t>
  </si>
  <si>
    <t>Brookfield Fire dispatched to the area of 149 Lake Rd near the boat launch for a brush fire.  Found a approx 100&amp;#x27;x50&amp;#x27; area of brush burning on the side of the road, no property or structures involved or damaged.  Controlled and extinguished the fire with 2 forestry handlines and 400 gallons of water.  Cause of the fire was undetermined but most likely due to discarded smoking materials.</t>
  </si>
  <si>
    <t>FD25027254|26-24871|1776022020</t>
  </si>
  <si>
    <t>26-89</t>
  </si>
  <si>
    <t>2026-04-12T19:27:00+00:00</t>
  </si>
  <si>
    <t>2026-09-10T22:28:56.191067+00:00</t>
  </si>
  <si>
    <t>FIRE||OUTSIDE_FIRE||WILDFIRE_WILDLAND</t>
  </si>
  <si>
    <t>Dispatched to 34 Lake road for a brush fire.  Arrived on scene to find  a brush fire about 1 acre in size.  Approximately 1.5 acres of a cow pasture had been part of an agricultural burn by the owner.  The burn &amp;quot;got away&amp;quot; from them and began burning in the woods beyond their control.  Crews quickly stopped the front and continued to hit hot spots and fell trees as needed.  The perimeter was doublechecked and re-wetted prior to clearing the scene.</t>
  </si>
  <si>
    <t>FD25027262|26-16304|1784897280</t>
  </si>
  <si>
    <t>26-16304</t>
  </si>
  <si>
    <t>2026-07-24T12:48:00+00:00</t>
  </si>
  <si>
    <t>2026-09-11T01:08:41.513209+00:00</t>
  </si>
  <si>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</si>
  <si>
    <t>FD25027262|26-15592|1784322600</t>
  </si>
  <si>
    <t>26-15592</t>
  </si>
  <si>
    <t>2026-07-17T21:10:00+00:00</t>
  </si>
  <si>
    <t>2026-07-22T11:42:33.869356+00:00</t>
  </si>
  <si>
    <t>07/17/2026 17:47:17: E4 dispatched to the above location for a mulch fire that is reported to now be smoldering. On our arrival noted an approx 1 foot diameter circle of mulch smoldering in the yard next to a tree. Hose reel deployed and area extinguished using tank water (approx 20 gallons) and a trash hook for overhaul. Confirmed area was extinguished and there were no other areas in need of extinguishment.</t>
  </si>
  <si>
    <t>FD25027262|26-14901|1783707000</t>
  </si>
  <si>
    <t>26-14901</t>
  </si>
  <si>
    <t>2026-07-10T18:10:00+00:00</t>
  </si>
  <si>
    <t>2026-07-14T18:14:15.816350+00:00</t>
  </si>
  <si>
    <t>07/10/2026 18:30:03: Dispatched for a small outside fire. PTA a passerby had extinguished the fire with a dry chem extinguisher. E4 found a small area or mulch that had recently burned in the median between 2 travel lanes. Area was hydraulically overhauled. Engine 4 cleared.</t>
  </si>
  <si>
    <t>FD25027262|26-11459|1780600380</t>
  </si>
  <si>
    <t>26-11459</t>
  </si>
  <si>
    <t>2026-06-04T19:13:00+00:00</t>
  </si>
  <si>
    <t>2026-09-10T23:12:54.315355+00:00</t>
  </si>
  <si>
    <t>06/04/2026 15:59:27: Dispatched to a small mulch fire in the island between LaQuinta and Outback.  Fire extinguished and overhauled.  E4 cleared.</t>
  </si>
  <si>
    <t>FD25027262|26-8612|1777659540</t>
  </si>
  <si>
    <t>26-8612</t>
  </si>
  <si>
    <t>2026-05-01T18:19:00+00:00</t>
  </si>
  <si>
    <t>2026-09-10T21:27:56.037212+00:00</t>
  </si>
  <si>
    <t>05/01/2026 16:48:31: Dispatched to the train track behind Ryder rental for a brush fire.  Area of approximately 50&amp;#x27; x 20&amp;#x27; found burning.  Fire extinguished and overhauled.  All companies cleared.</t>
  </si>
  <si>
    <t>FD25027262|26-8263|1777249260</t>
  </si>
  <si>
    <t>26-8263</t>
  </si>
  <si>
    <t>2026-04-27T00:21:00+00:00</t>
  </si>
  <si>
    <t>2026-09-10T21:06:22.722887+00:00</t>
  </si>
  <si>
    <t>04/26/2026 22:25:30: Dispatched to an outside fire.  On arrival found a permitted fire that had rekindled an 8x8 foot area with no exposure hazards.  Homeowner was actively attempting to extinguish fire with hose from the house.  Fire extinguished and overhauled.  All companies cleared.</t>
  </si>
  <si>
    <t>FD25027262|26-8252|1777231620</t>
  </si>
  <si>
    <t>26-8252</t>
  </si>
  <si>
    <t>2026-04-26T19:27:00+00:00</t>
  </si>
  <si>
    <t>2026-09-10T21:05:13.287219+00:00</t>
  </si>
  <si>
    <t>04/26/2026 17:49:24: Engine 3 and Car 3 to the area of 377 Washington Street for the potential brush fire called in by a passerby. Upon arrival smoke showing from the back yard of 4 Old Common Road. Upon investigation we find an approximately 60x50 area of brush burning. The resident appears to be trying to extinguish areas. He does not have a burn permit and the fire is not under control or contained at this time. Forestry requested to the scene. Fire extinguished, overhauled, and resident advised. All companies clear.</t>
  </si>
  <si>
    <t>FD25027262|26-7020|1775840880</t>
  </si>
  <si>
    <t>26-7020</t>
  </si>
  <si>
    <t>2026-04-10T17:08:00+00:00</t>
  </si>
  <si>
    <t>2026-09-10T20:06:48.878922+00:00</t>
  </si>
  <si>
    <t>04/10/2026 13:50:28: The companies were dispatched to location for a Odor of smoke in the area.  U/T/A of the companies it was determined that the cause of the smoke was from a permitted fire on Pinrock Rd.  Engine-1 went to investigate to confirm it was a permitted fire, once confirmation was made all companies cleared the scene.  ***</t>
  </si>
  <si>
    <t>FD25027262|26-6326|1774979460</t>
  </si>
  <si>
    <t>26-6326</t>
  </si>
  <si>
    <t>2026-03-31T17:51:00+00:00</t>
  </si>
  <si>
    <t>2026-09-10T19:55:28.063899+00:00</t>
  </si>
  <si>
    <t>MEDICAL||INJURY||MOTOR_VEHICLE_COLLISION</t>
  </si>
  <si>
    <t>03/31/2026 15:10:15: Engine 4 and Ambulance 3 dispatched for an MVA into a pole. Updated that the pole was on the car, wires were live and arching. National Grid requested for a priority response. C3 requested to the scene. A3 on scene reported 1 person in the vehicle and a small grass fire from arching. Power in the area appeared out, no arching at present. Contact was made with the driver who was awake and alert. She was coached to stay in her vehicle until National Grid was on scene to confirm no power. She reported minor injuries. Her vehicle had snapped 1 power pole that was being suspended by utility lines. It appeared that both the primary and secondary power lines had snapped.   While waiting for National Grid the fire self extinguished. National Grid on scene and confirmed no live power to the lines and it was safe to removed the patient from the car. She was transferred to a stretcher and moved to the ambulance. 1 patient transported to Memorial Hospital, BLS.   Car 3 and Engine 1 cleared. Engine 4 overhauled an approx. 5&amp;#x27; x 5&amp;#x27; area that had burned from arching power lines. E4 cleared, scene left with APD and National Grid. No other hazards.</t>
  </si>
  <si>
    <t>FD25027265|26-05084|1784228053</t>
  </si>
  <si>
    <t>26-05084</t>
  </si>
  <si>
    <t>2026-07-16T18:54:13+00:00</t>
  </si>
  <si>
    <t>2026-07-16T19:19:03.352663+00:00</t>
  </si>
  <si>
    <t>Small mulch fire, E4 extinguished with water can.</t>
  </si>
  <si>
    <t>FD25027265|26-02998|1777408302</t>
  </si>
  <si>
    <t>26-02998</t>
  </si>
  <si>
    <t>2026-04-28T20:31:42+00:00</t>
  </si>
  <si>
    <t>2026-09-10T20:58:31.812863+00:00</t>
  </si>
  <si>
    <t>E3 was dispatched on a full alarm assignment to 14 Nashua St for the brush fire approaching a home.  O/A found civilians extinguishing a 10x10 area of brush on fire with hand extinguishers.  E3 stretched the 150&amp;#x27; front bumper line and continued to extinguish and pt out hot spots.  The civilians were able to knock down the bulk of the fire PTA of E3.  All other responding companies were canceled.  The fire appeared to have started from careless disposal of smoking materials.  The fire did not come anywhere near the home in question.  All hot spots were adequately cooled down.  E3 and R3 cleared the scene without incident.  End.</t>
  </si>
  <si>
    <t>FD25027265|26-02843|1776803095</t>
  </si>
  <si>
    <t>26-02843</t>
  </si>
  <si>
    <t>2026-04-21T20:24:55+00:00</t>
  </si>
  <si>
    <t>2026-09-10T20:48:41.348553+00:00</t>
  </si>
  <si>
    <t>leaves under the fence burning. Appears to be most likely a discarded cigarette</t>
  </si>
  <si>
    <t>FD25027265|26-02628|1776096967</t>
  </si>
  <si>
    <t>26-02628</t>
  </si>
  <si>
    <t>2026-04-13T16:16:07+00:00</t>
  </si>
  <si>
    <t>2026-09-10T20:23:40.204618+00:00</t>
  </si>
  <si>
    <t>E3 dispatched for a mulch fire. Upon arrival we met an employee who showed us the area. Fire extinguished and overhauled via the garden hose. E3 clear in service.</t>
  </si>
  <si>
    <t>FD25027265|26-02614|1776031767</t>
  </si>
  <si>
    <t>26-02614</t>
  </si>
  <si>
    <t>2026-04-12T22:09:27+00:00</t>
  </si>
  <si>
    <t>2026-09-10T20:22:19.547413+00:00</t>
  </si>
  <si>
    <t>Small 20x10 area of grass which was ignited by a grill.  Fire was out upon arrival and the companies wet down the area.</t>
  </si>
  <si>
    <t>FD25027265|26-02300|1774892995</t>
  </si>
  <si>
    <t>26-02300</t>
  </si>
  <si>
    <t>2026-03-30T17:49:55+00:00</t>
  </si>
  <si>
    <t>2026-09-10T19:44:15.418274+00:00</t>
  </si>
  <si>
    <t>Dispatched for reported smoke in the area. 
E4 arrives at 265 West St to find a large volume of smoke coming from the back yard. E4 locates the source, an approximate 30x40ft are burning. The homeowner states he was burning brush off in his yard. No hose or water source present. The homeowner did not have a burn permit.
Homeowner states that most of what he is burning is poison ivy. Homeowner informed of violations and informed on safe burning practices. 
Homeowner attempts to extinguish fire with buckets before E4 stretched the brush line, 300ft using about 1/8th of a tank.
E4 clear.
Exposure report to be filled out for poison ivy smoke exposure.</t>
  </si>
  <si>
    <t>FD25027278|26HU-572|1786558448</t>
  </si>
  <si>
    <t>03156798-6154-4642-8c93-e60fe89b2e94</t>
  </si>
  <si>
    <t>2026-08-12T18:14:08+00:00</t>
  </si>
  <si>
    <t>2026-08-17T15:49:17.534858+00:00</t>
  </si>
  <si>
    <t>Small brush fire from an illegal burn.  Resident advised of open burning rules.</t>
  </si>
  <si>
    <t>FD25027278|26HU-333|1778013586</t>
  </si>
  <si>
    <t>e3305e67-b1ff-432c-8da3-f3f976509a55</t>
  </si>
  <si>
    <t>2026-05-05T20:39:46+00:00</t>
  </si>
  <si>
    <t>2026-09-10T22:08:39.787049+00:00</t>
  </si>
  <si>
    <t>PUBSERV||OTHER||MOVE_UP</t>
  </si>
  <si>
    <t>Small brush fire on roadside, canceled on scene.</t>
  </si>
  <si>
    <t>FD25027278|26HU-322|1777487556</t>
  </si>
  <si>
    <t>130c1e1c-e966-4f39-8d77-a534d53b03a1</t>
  </si>
  <si>
    <t>2026-04-29T18:32:36+00:00</t>
  </si>
  <si>
    <t>2026-09-10T21:40:55.191940+00:00</t>
  </si>
  <si>
    <t>Small brush fire from a burn permit.  Extinguished.</t>
  </si>
  <si>
    <t>FD25027278|26HU-316|1777228015</t>
  </si>
  <si>
    <t>9a08697b-a0a8-4e4a-8cbc-88d1b16aace2</t>
  </si>
  <si>
    <t>2026-04-26T18:26:55+00:00</t>
  </si>
  <si>
    <t>2026-09-10T21:40:38.028877+00:00</t>
  </si>
  <si>
    <t>Short on power line from solar field, small area, extinguished.</t>
  </si>
  <si>
    <t>FD25027278|26HU-3115|1777051825</t>
  </si>
  <si>
    <t>87ceb4b8-a5e6-4b47-8ed4-b99e2a3a3ff5</t>
  </si>
  <si>
    <t>2026-04-24T17:30:25+00:00</t>
  </si>
  <si>
    <t>2026-09-10T21:40:17.344546+00:00</t>
  </si>
  <si>
    <t>40 x 40 area of brush from a permit fire.  Extinguished.</t>
  </si>
  <si>
    <t>FD25027278|26HU-279|1775935471</t>
  </si>
  <si>
    <t>5e8d32b4-ac8c-48d4-833a-c53531db01dd</t>
  </si>
  <si>
    <t>2026-04-11T19:24:31+00:00</t>
  </si>
  <si>
    <t>2026-09-10T20:39:00.072981+00:00</t>
  </si>
  <si>
    <t>Large area of forest cutting debris from a permit fire.</t>
  </si>
  <si>
    <t>FD25027278|26HU-275|1775842874</t>
  </si>
  <si>
    <t>99321f9c-6e88-435a-87f7-f744a54b0d48</t>
  </si>
  <si>
    <t>2026-04-10T17:41:14+00:00</t>
  </si>
  <si>
    <t>2026-09-10T20:46:55.601160+00:00</t>
  </si>
  <si>
    <t>Mutual aid for an area of brush.</t>
  </si>
  <si>
    <t>FD25027296|26-53258_639190283736921488|1783359362</t>
  </si>
  <si>
    <t>26-53258_639190283736921488</t>
  </si>
  <si>
    <t>2026-07-06T17:36:02+00:00</t>
  </si>
  <si>
    <t>2026-07-07T13:39:40.833029+00:00</t>
  </si>
  <si>
    <t>Dispatched for reported brush fire at the Bolton Flats. Upon arrival, no fire but light smoke condition towards the north. C2 investigated the Pine Hill area and was notified by Devens that there was a small brush fire along the railroad tracks. C2 requested a Clinton forestry, Devens tanker and Engine. 17Car 2 arrived on scene as well. C2 pulled a line off the range control truck to knock down the head of the fire. Crews extinguished the fire and overhauled the area. Approx. 6,000-7,000 sq/ft were burnt.</t>
  </si>
  <si>
    <t>FD25027296|26-43573_639166290030175888|1780466021</t>
  </si>
  <si>
    <t>26-43573_639166290030175888</t>
  </si>
  <si>
    <t>2026-06-03T05:53:41+00:00</t>
  </si>
  <si>
    <t>2026-09-10T22:42:27.110022+00:00</t>
  </si>
  <si>
    <t>Lancaster fire was dispatched to a/a for a brush fire. E2 investigated and found that a homeowner had had a small fire the previous day that rekindled. Homeowner was extinguishing with a garden hose on E2&amp;#x27;s arrival.</t>
  </si>
  <si>
    <t>FD25027296|26-28256_639117691934862116|1776009131</t>
  </si>
  <si>
    <t>26-28256_639117691934862116</t>
  </si>
  <si>
    <t>2026-04-12T15:52:11+00:00</t>
  </si>
  <si>
    <t>2026-09-10T20:20:43.959030+00:00</t>
  </si>
  <si>
    <t>Dispatched for reported brush fire. Upon arrival, approx. 1/4 acre was burning. C2 requested a Clinton Forestry Unit and a Bolton Tanker. 17E1 along with other units extinguished and overhauled the area. Approx. 1 acre was burnt.</t>
  </si>
  <si>
    <t>FD25027296|26-24808_639105663327709511|1774965569</t>
  </si>
  <si>
    <t>26-24808_639105663327709511</t>
  </si>
  <si>
    <t>2026-03-31T13:59:29+00:00</t>
  </si>
  <si>
    <t>2026-09-10T19:31:21.587914+00:00</t>
  </si>
  <si>
    <t>Lancaster fire was dispatched to a/a for a outdoor burn without a permit called in by 8-0. Resident was advised of the burning regulations and was told to extinguish the fire, which he did. E2 crew quickly overhauled the pile while it was being extinguished. E2 cleared and returned to quarters.</t>
  </si>
  <si>
    <t>FD25027296|26-2486_639066062417260278|1768071307</t>
  </si>
  <si>
    <t>26-2486_639066062417260278</t>
  </si>
  <si>
    <t>2026-01-10T18:55:07+00:00</t>
  </si>
  <si>
    <t>2026-09-10T17:27:32.330198+00:00</t>
  </si>
  <si>
    <t>FD25027312|2026-0024294|1788122856</t>
  </si>
  <si>
    <t>2026-0024294</t>
  </si>
  <si>
    <t>2026-08-30T20:47:36+00:00</t>
  </si>
  <si>
    <t>2026-08-30T22:06:17.843719+00:00</t>
  </si>
  <si>
    <t>08/30/2026 18:06:11: Engine 7 arrived on scene to the address and located an outside fire in the rear of the residence. Engine 7 spoke to the resident and inform them of the city ordinance, which he complied and stated he would extinguish the fire. Due to the size of the fire, Engine 7 pulled an 1 3/4 and used tank water to extinguish the fire. Contents of the fire was yard waste. Engine 7 cleared with fire fully extinguished.</t>
  </si>
  <si>
    <t>FD25027312|2026-0022683|1786825849</t>
  </si>
  <si>
    <t>2026-0022683</t>
  </si>
  <si>
    <t>2026-08-15T20:30:49+00:00</t>
  </si>
  <si>
    <t>2026-08-17T01:39:47.336744+00:00</t>
  </si>
  <si>
    <t>08/16/2026 21:39:41: E6 dispatched to outside fire. On arrival, a small area of smoldering ,mulch was located. Copious water was applied. E6 cleared.</t>
  </si>
  <si>
    <t>FD25027312|2026-0022561|1786730720</t>
  </si>
  <si>
    <t>2026-0022561</t>
  </si>
  <si>
    <t>2026-08-14T18:05:20+00:00</t>
  </si>
  <si>
    <t>2026-08-14T21:21:57.731543+00:00</t>
  </si>
  <si>
    <t>08/14/2026 14:46:38: Engine 7 was on scene when this call was received. Fire Alarm stated Coastal EMS called in for a car smoking in the parking lot. When mulch fire was extinguished investigated the area and found signs of no car smoking. Smoke seen in the parking lot was from the outside E7 was responding to. E7 cleared.</t>
  </si>
  <si>
    <t>FD25027312|2026-0022560|1786730678</t>
  </si>
  <si>
    <t>2026-0022560</t>
  </si>
  <si>
    <t>2026-08-14T18:04:38+00:00</t>
  </si>
  <si>
    <t>2026-08-14T21:10:30.012202+00:00</t>
  </si>
  <si>
    <t>08/14/2026 14:39:19: Engine 7 was dispatched to the parking lot of 50 Southwest Cutoff for reports of mulch on fire in the parking lot. Upon arrival found a mulch bed smoldering by the RT 20 side of the parking lot. People on scene had already put water on it prior to our arrival. Used tank water from truck to soak the mulch bed and put out remaining embers. Stayed on scene to assure fire was out and E7 cleared.</t>
  </si>
  <si>
    <t>FD25027312|2026-0022329|1786554365</t>
  </si>
  <si>
    <t>2026-0022329</t>
  </si>
  <si>
    <t>2026-08-12T17:06:05+00:00</t>
  </si>
  <si>
    <t>2026-09-11T01:40:10.111115+00:00</t>
  </si>
  <si>
    <t>: Smoldering mulch extinguished</t>
  </si>
  <si>
    <t>FD25027312|2026-0021777|1786132307</t>
  </si>
  <si>
    <t>2026-0021777</t>
  </si>
  <si>
    <t>2026-08-07T19:51:47+00:00</t>
  </si>
  <si>
    <t>2026-09-11T01:13:33.328672+00:00</t>
  </si>
  <si>
    <t>08/07/2026 16:25:42: We arrived on scene to find an old railroad tie smoking.  We used a handline to extinguish the smoldering railroad tie.</t>
  </si>
  <si>
    <t>FD25027312|2026-0021772|1786127176</t>
  </si>
  <si>
    <t>2026-0021772</t>
  </si>
  <si>
    <t>2026-08-07T18:26:16+00:00</t>
  </si>
  <si>
    <t>2026-09-11T01:25:11.599474+00:00</t>
  </si>
  <si>
    <t>08/08/2026 00:09:45: E2 arrived on scene to a mulch fire.  E2 put out the fire using a garden hose.  E2 cleared.</t>
  </si>
  <si>
    <t>FD25027312|2026-0021755|1786116711</t>
  </si>
  <si>
    <t>2026-0021755</t>
  </si>
  <si>
    <t>2026-08-07T15:31:51+00:00</t>
  </si>
  <si>
    <t>2026-09-11T01:21:26.476221+00:00</t>
  </si>
  <si>
    <t>08/07/2026 12:00:39: We arrived on scene to find a small patch of mulch smoldering from the high heat temperatures outside.  We filled a bucket of water from the tank and extinguished the smoldering mulch.</t>
  </si>
  <si>
    <t>FD25027312|2026-0020687|1785255959</t>
  </si>
  <si>
    <t>2026-0020687</t>
  </si>
  <si>
    <t>2026-07-28T16:25:59+00:00</t>
  </si>
  <si>
    <t>2026-07-28T18:24:06.582625+00:00</t>
  </si>
  <si>
    <t>: E6 off with small amount of smoldering mulch. Put out with water. Cleared</t>
  </si>
  <si>
    <t>FD25027312|2026-0020633|1785192733</t>
  </si>
  <si>
    <t>2026-0020633</t>
  </si>
  <si>
    <t>2026-07-27T22:52:13+00:00</t>
  </si>
  <si>
    <t>2026-07-28T10:50:32.824515+00:00</t>
  </si>
  <si>
    <t>07/28/2026 06:50:18: Homeless person started mulch fire from smoking</t>
  </si>
  <si>
    <t>FD25027312|2026-0020626|1785190363</t>
  </si>
  <si>
    <t>2026-0020626</t>
  </si>
  <si>
    <t>2026-07-27T22:12:43+00:00</t>
  </si>
  <si>
    <t>2026-07-28T10:53:28.953594+00:00</t>
  </si>
  <si>
    <t>07/28/2026 06:53:19: Homeless person started mulch fire from smoking</t>
  </si>
  <si>
    <t>FD25027312|2026-0020452|1785018291</t>
  </si>
  <si>
    <t>2026-0020452</t>
  </si>
  <si>
    <t>2026-07-25T22:24:51+00:00</t>
  </si>
  <si>
    <t>2026-07-26T02:18:40.193341+00:00</t>
  </si>
  <si>
    <t>07/25/2026 22:18:27: Engine 4 was dispatched to 50 Cambridge St. for smoke outside. Engine 4 arrived and found a 5x5 area of mulch smoldering deep into the soil. Engine 4 used a garden hose to extinguish and then overhauled the area thoroughly with shovels and hooks. Engine 4 cleared.</t>
  </si>
  <si>
    <t>FD25027312|2026-0020420|1785002299</t>
  </si>
  <si>
    <t>2026-0020420</t>
  </si>
  <si>
    <t>2026-07-25T17:58:19+00:00</t>
  </si>
  <si>
    <t>2026-07-25T22:16:16.613134+00:00</t>
  </si>
  <si>
    <t>07/25/2026 18:15:55: Engine 4 was dispatched to 17 Conger Rd. for an outside fire. Engine 4 arrived and was met by the resident of #19 stating that he had a camp fire in back. Engine 4 found a contained fire ring with several pieces of wood burning. Engine 4 informed him that outside burning is not allowed in the city and he extinguished the fire with a garden hose. Engine 4 cleared.</t>
  </si>
  <si>
    <t>FD25027312|2026-0020237|1784852297</t>
  </si>
  <si>
    <t>2026-0020237</t>
  </si>
  <si>
    <t>2026-07-24T00:18:17+00:00</t>
  </si>
  <si>
    <t>2026-07-24T02:23:18.484568+00:00</t>
  </si>
  <si>
    <t>07/23/2026 22:23:02: 14 Bergin st had outside fire in fire pit burning brush. extinguished on our request and finding no other issues E5 cleared.</t>
  </si>
  <si>
    <t>FD25027312|2026-0019978|1784649612</t>
  </si>
  <si>
    <t>2026-0019978</t>
  </si>
  <si>
    <t>2026-07-21T16:00:12+00:00</t>
  </si>
  <si>
    <t>2026-07-22T00:10:50.167081+00:00</t>
  </si>
  <si>
    <t>07/21/2026 20:10:39: E3 informed resident no burning brush in city, resident extinguished fire</t>
  </si>
  <si>
    <t>FD25027312|2026-0019602|1784321829</t>
  </si>
  <si>
    <t>2026-0019602</t>
  </si>
  <si>
    <t>2026-07-17T20:57:09+00:00</t>
  </si>
  <si>
    <t>2026-07-30T12:00:28.633537+00:00</t>
  </si>
  <si>
    <t>07/17/2026 17:21:33: We arrived on scene to find a small patch of mulch that was smoking.  We applied a small amount of tank water and extinguished the embers.  E13 cleared the scene and made available.</t>
  </si>
  <si>
    <t>FD25027312|2026-0019577|1784303276</t>
  </si>
  <si>
    <t>2026-0019577</t>
  </si>
  <si>
    <t>2026-07-17T15:47:56+00:00</t>
  </si>
  <si>
    <t>2026-07-17T17:23:32.308093+00:00</t>
  </si>
  <si>
    <t>07/17/2026 13:23:18: E8 was dispatched to 541 Lincoln St for a brush fire. We arrived to find a bed of mulch smoldering with a couple small flames. We applied water and raked out the mulch. E8 cleared.</t>
  </si>
  <si>
    <t>FD25027312|2026-0019576|1784302400</t>
  </si>
  <si>
    <t>2026-0019576</t>
  </si>
  <si>
    <t>2026-07-17T15:33:20+00:00</t>
  </si>
  <si>
    <t>2026-07-17T18:49:15.495773+00:00</t>
  </si>
  <si>
    <t>07/17/2026 14:49:00: Engine 3 was dispatched to 10 Lincoln Sq for a mulch fire. Engine 3 arrived with Car 3 on scene. Engine 3 used a garden hose to apply water while agitating the ground with a hook. Engine 3 cleared and returned to quarters.</t>
  </si>
  <si>
    <t>FD25027312|2026-0019518|1784237576</t>
  </si>
  <si>
    <t>2026-0019518</t>
  </si>
  <si>
    <t>2026-07-16T21:32:56+00:00</t>
  </si>
  <si>
    <t>2026-07-16T23:31:04.223677+00:00</t>
  </si>
  <si>
    <t>07/16/2026 19:30:54: Engine 16 was dispatched on a fill in to 545 Lincoln St for an outside fire. E3 was returning from a call and advised Fire Alarm that E3 could take the call. Engine 3 arrived in the area and searched for the burning mulch. E3 asked for a more specific location and eventually found a small area of mulch smoldering. E3 used a bucket of water for suppression while using a boston rake to agitate the mulch. Engine 3 cleared.</t>
  </si>
  <si>
    <t>FD25027312|2026-0019514|1784234655</t>
  </si>
  <si>
    <t>2026-0019514</t>
  </si>
  <si>
    <t>2026-07-16T20:44:15+00:00</t>
  </si>
  <si>
    <t>2026-07-16T21:15:14.661246+00:00</t>
  </si>
  <si>
    <t>07/16/2026 17:15:04: On arrival E5 found a extinguished fire. A worker poured water on it. We used tank water to soak the area.</t>
  </si>
  <si>
    <t>FD25027312|2026-0019481|1784220860</t>
  </si>
  <si>
    <t>2026-0019481</t>
  </si>
  <si>
    <t>2026-07-16T16:54:20+00:00</t>
  </si>
  <si>
    <t>2026-07-16T22:20:59.135285+00:00</t>
  </si>
  <si>
    <t>07/16/2026 18:20:51: E11 was dispatched to 200 E mountain Street for a reported structure fire. E11 was waved down by residents of the apartment building to the address which was actually 220 E Mountain Street. Upon arrival E11 could see smoke coming from outside of apartment 310. Upon further investigation E11 found it to be a mulch fire. After extinguishing the mulch fire, E11 noticed that there was bubbling coming from the gas meter that was in the middle of the mulch fire. The bubbling was on the riser before the shut off so C3 and the gas company were called to the scene. L6 brought their meters over and metered around the gas meter and inside apartment 310. There were no meter readings inside apartment 310. C3 called for FIU to the scene. E11 remained on scene until Lt. **** arrived and the gas company arrived. E11, C3 and L6 then all cleared the scene.</t>
  </si>
  <si>
    <t>FD25027312|2026-0019122|1783899574</t>
  </si>
  <si>
    <t>2026-0019122</t>
  </si>
  <si>
    <t>2026-07-12T23:39:34+00:00</t>
  </si>
  <si>
    <t>2026-07-13T00:14:15.650137+00:00</t>
  </si>
  <si>
    <t>07/12/2026 20:14:04: E11 arrived to some smoldering bark mulch which was caused by a discarded cigarette. E11 extinguished the smoldering with a pump can. E11 cleared and returned to quarters.</t>
  </si>
  <si>
    <t>FD25027312|2026-0018379|1783277823</t>
  </si>
  <si>
    <t>2026-0018379</t>
  </si>
  <si>
    <t>2026-07-05T18:57:03+00:00</t>
  </si>
  <si>
    <t>2026-07-06T00:52:58.997828+00:00</t>
  </si>
  <si>
    <t>07/05/2026 20:52:53: E4 arrived, extinguished the smoldering mulch and cleared.</t>
  </si>
  <si>
    <t>FD25027312|2026-0018270|1783193520</t>
  </si>
  <si>
    <t>2026-0018270</t>
  </si>
  <si>
    <t>2026-07-04T19:32:00+00:00</t>
  </si>
  <si>
    <t>2026-07-04T20:00:03.999943+00:00</t>
  </si>
  <si>
    <t>07/04/2026 15:59:57: E13 arrived for mulch smoldering. E13 used tank water to extinguish and cleared.</t>
  </si>
  <si>
    <t>FD25027312|2026-0018265|1783188014</t>
  </si>
  <si>
    <t>2026-0018265</t>
  </si>
  <si>
    <t>2026-07-04T18:00:14+00:00</t>
  </si>
  <si>
    <t>2026-07-04T19:56:15.412663+00:00</t>
  </si>
  <si>
    <t>: E13 arrived for a small section of mulch smoldering. E13 extinguished with tank water and cleared.</t>
  </si>
  <si>
    <t>FD25027312|2026-0018260|1783184676</t>
  </si>
  <si>
    <t>2026-0018260</t>
  </si>
  <si>
    <t>2026-07-04T17:04:36+00:00</t>
  </si>
  <si>
    <t>2026-07-05T09:44:34.193647+00:00</t>
  </si>
  <si>
    <t>07/05/2026 05:44:26: E15 arrived on scene to mulch fire in a bed e15 extinguished and overhauled</t>
  </si>
  <si>
    <t>FD25027312|2026-0018251|1783177400</t>
  </si>
  <si>
    <t>2026-0018251</t>
  </si>
  <si>
    <t>2026-07-04T15:03:20+00:00</t>
  </si>
  <si>
    <t>2026-07-04T15:24:04.180066+00:00</t>
  </si>
  <si>
    <t>07/04/2026 11:23:56: An Employee of McGovern Liquors came to the station and alerted us to an outside fire behind his building on the property of 1 Summerhill Ave.  Engine 11 responded and found a bush on fire with the likely cause being a cigarette butt found in the mulch under the tree.  Engine 11 used its forestry hose and tank water to extinguish the fire.  After making sure to sufficiently wet down and the bushes and mulch in the area Engine 11 cleared.</t>
  </si>
  <si>
    <t>FD25027312|2026-0018182|1783101764</t>
  </si>
  <si>
    <t>2026-0018182</t>
  </si>
  <si>
    <t>2026-07-03T18:02:44+00:00</t>
  </si>
  <si>
    <t>2026-07-04T03:00:55.122186+00:00</t>
  </si>
  <si>
    <t>07/03/2026 15:10:53: On arrival E5 found a mulch fire had spread to a fence with plastic sheathing on it. A person had put most of the fire out. We used tank water to fully extinguish the fire. With the damage to the fence and some melted siding on the house next door. FIU was called. Lt **** arrived. E5 returned with FIU still on scene.</t>
  </si>
  <si>
    <t>FD25027312|2026-0018141|1783073055</t>
  </si>
  <si>
    <t>2026-0018141</t>
  </si>
  <si>
    <t>2026-07-03T10:04:15+00:00</t>
  </si>
  <si>
    <t>2026-07-03T10:28:51.787720+00:00</t>
  </si>
  <si>
    <t>07/03/2026 06:28:48: E4 arrived to the smoldering mulch, extinguished it and cleared.</t>
  </si>
  <si>
    <t>FD25027312|2026-0018052|1783014764</t>
  </si>
  <si>
    <t>2026-0018052</t>
  </si>
  <si>
    <t>2026-07-02T17:52:44+00:00</t>
  </si>
  <si>
    <t>2026-09-11T00:37:30.196065+00:00</t>
  </si>
  <si>
    <t>07/02/2026 16:13:54: Engine 16 arrived in the area of dispatch and located smoldering mulch. Engine 16 extinguished the mulch with tank water and overhauled to ensure it was out. Engine 16 cleared the call.</t>
  </si>
  <si>
    <t>FD25027312|2026-0017996|1782959275</t>
  </si>
  <si>
    <t>2026-0017996</t>
  </si>
  <si>
    <t>2026-07-02T02:27:55+00:00</t>
  </si>
  <si>
    <t>2026-09-11T00:43:32.523909+00:00</t>
  </si>
  <si>
    <t>07/01/2026 22:52:29: E-3 dispatched to 14 West Boylston St. for a bush on fire between the parking lots for Shaw&amp;#x27;s and Cio Bella. On arrival we found a much and bush branches smoldering. E-3 used our garden hose attachment to extinguish the fire. E-3 then used a Boston rake to overhaul the area. Once the fire was extinguished E-3 cleared.</t>
  </si>
  <si>
    <t>FD25027312|2026-0016939|1782113546</t>
  </si>
  <si>
    <t>2026-0016939</t>
  </si>
  <si>
    <t>2026-06-22T07:32:26+00:00</t>
  </si>
  <si>
    <t>2026-09-10T23:59:01.808192+00:00</t>
  </si>
  <si>
    <t>06/22/2026 06:29:58: E6 on arrival with WPD for small area of mulch. Extinguished with tank water cleared</t>
  </si>
  <si>
    <t>FD25027312|2026-0016906|1782073813</t>
  </si>
  <si>
    <t>2026-0016906</t>
  </si>
  <si>
    <t>2026-06-21T20:30:13+00:00</t>
  </si>
  <si>
    <t>2026-09-11T00:31:57.345895+00:00</t>
  </si>
  <si>
    <t>07/01/2026 08:18:42: E11 was dispatched to 172 Ararat St for an outside fire. We arrived to find a stump smoldering in the front yard. The homeowner stated he was burning it to get rid of it, we advised him he is not allowed to do that. We used tank water to extinguish the smoldering fire. E11 cleared.</t>
  </si>
  <si>
    <t>FD25027312|2026-0016904|1782072403</t>
  </si>
  <si>
    <t>2026-0016904</t>
  </si>
  <si>
    <t>2026-06-21T20:06:43+00:00</t>
  </si>
  <si>
    <t>2026-09-11T00:03:50.746564+00:00</t>
  </si>
  <si>
    <t>06/21/2026 17:28:44: E2 on arrival with a brush fire in the rear of 11 Washburn St extending to a large tree and 40 feet of wood stockade fence. E2 stretched and 1 3/4&amp;quot; line to the rear of the property, confined the fire and fully extinguished. E2 took its own water supply due to the extensive overhaul required in the area. At the request of Car 4 FIU was requested to the scene.  E2 conducted extensive overhaul and wetting down of the fire area and surrounding area. Once complete, E2 repacked and cleared the scene. FIU 4 remaining on scene.</t>
  </si>
  <si>
    <t>FD25027312|2026-0016893|1782064065</t>
  </si>
  <si>
    <t>2026-0016893</t>
  </si>
  <si>
    <t>2026-06-21T17:47:45+00:00</t>
  </si>
  <si>
    <t>2026-09-11T00:03:47.789015+00:00</t>
  </si>
  <si>
    <t>06/21/2026 20:04:43: Smoldering mulch on arrival. Wet entire area down and turned mulch. we found no smoke or smoldering and cleared</t>
  </si>
  <si>
    <t>FD25027312|2026-0016889|1782061696</t>
  </si>
  <si>
    <t>2026-0016889</t>
  </si>
  <si>
    <t>2026-06-21T17:08:16+00:00</t>
  </si>
  <si>
    <t>2026-09-11T00:03:38.803857+00:00</t>
  </si>
  <si>
    <t>06/21/2026 17:17:19: E2 in the area taking the call for E5. E2 on arrival on the Hollis St side of 45 Grand st for Smoldering mulch. E2 observed several smoldering spots. E2 extinguished the area and overhauled. E2 wet down the smoldering spots extensively. E2 cleared.</t>
  </si>
  <si>
    <t>FD25027312|2026-0016631|1781813584</t>
  </si>
  <si>
    <t>2026-0016631</t>
  </si>
  <si>
    <t>2026-06-18T20:13:04+00:00</t>
  </si>
  <si>
    <t>2026-09-10T23:49:28.939874+00:00</t>
  </si>
  <si>
    <t>06/18/2026 17:39:42: E-4 arrived on scene staff from the church attempted to extinguish a mulch fire. The fire had spread to the roots of a bush E-4 extinguished the fire and cleared.</t>
  </si>
  <si>
    <t>FD25027312|2026-0016503|1781712192</t>
  </si>
  <si>
    <t>2026-0016503</t>
  </si>
  <si>
    <t>2026-06-17T16:03:12+00:00</t>
  </si>
  <si>
    <t>2026-09-10T23:49:21.317676+00:00</t>
  </si>
  <si>
    <t>06/17/2026 13:13:28: Smoldering area of brush, previously burned yesterday  Wet down with tank water and cleared</t>
  </si>
  <si>
    <t>FD25027312|2026-0016491|1781705853</t>
  </si>
  <si>
    <t>2026-0016491</t>
  </si>
  <si>
    <t>2026-06-17T14:17:33+00:00</t>
  </si>
  <si>
    <t>2026-09-10T23:49:47.099994+00:00</t>
  </si>
  <si>
    <t>: On arrival E5 found a smoldering mulch fire . We put it out using tank water.</t>
  </si>
  <si>
    <t>FD25027312|2026-0016427|1781648727</t>
  </si>
  <si>
    <t>2026-0016427</t>
  </si>
  <si>
    <t>2026-06-16T22:25:27+00:00</t>
  </si>
  <si>
    <t>2026-09-10T23:53:19.465303+00:00</t>
  </si>
  <si>
    <t>06/16/2026 21:03:15: E12 arrived to small smoldering mulch fire by a tree at this location. E12 extinguished smoldering fire here and cleared.</t>
  </si>
  <si>
    <t>FD25027312|2026-0016404|1781635436</t>
  </si>
  <si>
    <t>2026-0016404</t>
  </si>
  <si>
    <t>2026-06-16T18:43:56+00:00</t>
  </si>
  <si>
    <t>2026-09-10T23:48:16.059800+00:00</t>
  </si>
  <si>
    <t>06/17/2026 07:00:42: Smoldering mulch. Extinguished and cleared.</t>
  </si>
  <si>
    <t>FD25027312|2026-0016393|1781628905</t>
  </si>
  <si>
    <t>2026-0016393</t>
  </si>
  <si>
    <t>2026-06-16T16:55:05+00:00</t>
  </si>
  <si>
    <t>2026-09-10T23:42:06.717871+00:00</t>
  </si>
  <si>
    <t>06/16/2026 15:19:43: This was a duplicate incident from 529 Lincoln St.  Smoldering mulch extinguished.  E8 cleared.</t>
  </si>
  <si>
    <t>FD25027312|2026-0016392|1781628876</t>
  </si>
  <si>
    <t>2026-0016392</t>
  </si>
  <si>
    <t>2026-06-16T16:54:36+00:00</t>
  </si>
  <si>
    <t>2026-09-10T23:50:31.339495+00:00</t>
  </si>
  <si>
    <t>06/16/2026 13:59:48: Engine Co. 8 responded to the above location for a report of a mulch fire.  E8 arrived on scene and found one small area of a small mulch bed smoldering.  E8 extinguished and overhauled using tank water from a garden hose.  E8 cleared.</t>
  </si>
  <si>
    <t>FD25027312|2026-0016219|1781493474</t>
  </si>
  <si>
    <t>2026-0016219</t>
  </si>
  <si>
    <t>2026-06-15T03:17:54+00:00</t>
  </si>
  <si>
    <t>2026-09-10T23:40:02.890259+00:00</t>
  </si>
  <si>
    <t>06/15/2026 06:38:06: Mulch fire started by improper disposal of smoking materials in the parking lot area.  E13 extinguished with garden hose and tank water.</t>
  </si>
  <si>
    <t>FD25027312|2026-0016149|1781446613</t>
  </si>
  <si>
    <t>2026-0016149</t>
  </si>
  <si>
    <t>2026-06-14T14:16:53+00:00</t>
  </si>
  <si>
    <t>2026-09-10T23:38:18.000925+00:00</t>
  </si>
  <si>
    <t>06/14/2026 10:39:28: On arrival E5 found a smoldering mulch fire. We used tank water to put it out.</t>
  </si>
  <si>
    <t>FD25027312|2026-0016074|1781377831</t>
  </si>
  <si>
    <t>2026-0016074</t>
  </si>
  <si>
    <t>2026-06-13T19:10:31+00:00</t>
  </si>
  <si>
    <t>2026-09-10T23:41:12.546439+00:00</t>
  </si>
  <si>
    <t>06/13/2026 16:35:35: ** dispatched to mulch fire. Small 2&amp;#x27;X2&amp;#x27; area put out with garden hose. E6 cleared.</t>
  </si>
  <si>
    <t>FD25027312|2026-0015836|1781204315</t>
  </si>
  <si>
    <t>2026-0015836</t>
  </si>
  <si>
    <t>2026-06-11T18:58:35+00:00</t>
  </si>
  <si>
    <t>2026-09-10T23:20:49.741803+00:00</t>
  </si>
  <si>
    <t>06/11/2026 17:12:26: While arriving on scene for an accident across from 78 Burncoat St., we could see/smell smoke.  We could see flames showing from a couple lots behind 78 Burncoat St.  I sent two members to investigate, they found a large pile of brush on fire behind 14 Burncoat Ter.  E8 members stretched an 1.75&amp;quot; attack line and also supplied ourselves from a hydrant nearest 10 Burncoat Ter.  E8 had fire control within approx. 5 minutes.  E8 overhauled, made up the truck and cleared.</t>
  </si>
  <si>
    <t>FD25027312|2026-0015793|1781180412</t>
  </si>
  <si>
    <t>2026-0015793</t>
  </si>
  <si>
    <t>2026-06-11T12:20:12+00:00</t>
  </si>
  <si>
    <t>2026-09-10T23:34:03.277884+00:00</t>
  </si>
  <si>
    <t>06/11/2026 18:44:58: Engine 7 arrived on scene to a residential home who&amp;#x27;s homeowner was outside awaiting our arrival. Homeowner stated that the mulch caught on fire but was unsure of the cause. The fire was extinguished by the homeowner prior to our arrival. Engine 7 made sure the fire was fully extinguished and cleared the scene.</t>
  </si>
  <si>
    <t>FD25027312|2026-0015717|1781109451</t>
  </si>
  <si>
    <t>2026-0015717</t>
  </si>
  <si>
    <t>2026-06-10T16:37:31+00:00</t>
  </si>
  <si>
    <t>2026-09-10T23:26:19.413240+00:00</t>
  </si>
  <si>
    <t>: E13 dispatched to 125 Franklin St. for a mulch fire. E13 extinguished the mulch with tank water. E13 cleared.</t>
  </si>
  <si>
    <t>FD25027312|2026-0015599|1781020252</t>
  </si>
  <si>
    <t>2026-0015599</t>
  </si>
  <si>
    <t>2026-06-09T15:50:52+00:00</t>
  </si>
  <si>
    <t>2026-09-10T18:51:57.724266+00:00</t>
  </si>
  <si>
    <t>06/09/2026 12:19:14: On arrival E5 found a mulch fire that spread to some shrubbery. We use tank water to put it out.</t>
  </si>
  <si>
    <t>FD25027312|2026-0015426|1780843728</t>
  </si>
  <si>
    <t>2026-0015426</t>
  </si>
  <si>
    <t>2026-06-07T14:48:48+00:00</t>
  </si>
  <si>
    <t>2026-09-10T23:20:33.052295+00:00</t>
  </si>
  <si>
    <t>06/07/2026 11:33:50: We arrived on scene to small patch of mulch smoking.  We used water from the tank using a bucket to extinguish the smoldering mulch.  E4 cleared the scene and was made available.</t>
  </si>
  <si>
    <t>FD25027312|2026-0015274|1780703066</t>
  </si>
  <si>
    <t>2026-0015274</t>
  </si>
  <si>
    <t>2026-06-05T23:44:26+00:00</t>
  </si>
  <si>
    <t>2026-09-10T23:16:21.386089+00:00</t>
  </si>
  <si>
    <t>06/05/2026 22:13:03: E-4 arrived on scene St John&amp;#x27;s Cemetery railroad ties and brush were burning against the train tracks. E-4 called for E-2 to resupply tank water. Fire extinguished both crews cleared.</t>
  </si>
  <si>
    <t>FD25027312|2026-0015251|1780687007</t>
  </si>
  <si>
    <t>2026-0015251</t>
  </si>
  <si>
    <t>2026-06-05T19:16:47+00:00</t>
  </si>
  <si>
    <t>2026-09-10T23:06:05.191423+00:00</t>
  </si>
  <si>
    <t>06/05/2026 15:48:35: E15 Dispatched to location for the outside fire. U/A employees outside with small vegetation fire. E15 used tank water to extinguish and wet down area. E15 In service.</t>
  </si>
  <si>
    <t>FD25027312|2026-0015066|1780523967</t>
  </si>
  <si>
    <t>2026-0015066</t>
  </si>
  <si>
    <t>2026-06-03T21:59:27+00:00</t>
  </si>
  <si>
    <t>2026-09-10T22:53:48.040101+00:00</t>
  </si>
  <si>
    <t>06/04/2026 06:27:27: Homeowner burning brush in backyard. Extinguished by owner. E11 cleared</t>
  </si>
  <si>
    <t>FD25027312|2026-0014805|1780314847</t>
  </si>
  <si>
    <t>2026-0014805</t>
  </si>
  <si>
    <t>2026-06-01T11:54:07+00:00</t>
  </si>
  <si>
    <t>2026-09-10T22:48:12.711432+00:00</t>
  </si>
  <si>
    <t>06/01/2026 10:33:57: Engine 7 arrived to the resident burning a stump from his yard. Engine 7 explained to resident that open burning within city limits is prohibited. Resident stated we were wrong and he could. Resident then stated he would extinguish it. Of note, resident stated he would continue to burn unless PD came to issue him a citation. Engine 7 verified fire was out and then cleared.</t>
  </si>
  <si>
    <t>FD25027312|2026-0014441|1779990077</t>
  </si>
  <si>
    <t>2026-0014441</t>
  </si>
  <si>
    <t>2026-05-28T17:41:17+00:00</t>
  </si>
  <si>
    <t>2026-09-10T22:37:49.035412+00:00</t>
  </si>
  <si>
    <t>05/29/2026 06:00:21: E6 dispatched to mulch fire. Small 2&amp;#x27;X2&amp;#x27; area along fence found smoldering. Garden hose used to wet area. E6 cleared.</t>
  </si>
  <si>
    <t>FD25027312|2026-0014336|1779903970</t>
  </si>
  <si>
    <t>2026-0014336</t>
  </si>
  <si>
    <t>2026-05-27T17:46:10+00:00</t>
  </si>
  <si>
    <t>2026-09-10T22:31:45.640611+00:00</t>
  </si>
  <si>
    <t>05/27/2026 14:38:42: E13 arrived at 100 Franklin St with Worcester PD on scene for a small mulch fire. Upon arrival, PD stated that they had poured water on the area prior to arrival. E13 used a 5-gallon bucket and tank water to pour over the roughly 2x4 mulch area for suppression. E13 then overhauled the area of mulch. E13 cleared.</t>
  </si>
  <si>
    <t>FD25027312|2026-0013968|1779575264</t>
  </si>
  <si>
    <t>2026-0013968</t>
  </si>
  <si>
    <t>2026-05-23T22:27:44+00:00</t>
  </si>
  <si>
    <t>2026-09-10T22:20:00.055474+00:00</t>
  </si>
  <si>
    <t>05/23/2026 23:52:11: Engine 5 arrived and found outside fire on open plot of land. ENgine 5 advised residents that open burning is not able to be down in the city. Residents extinguished fire. Engine 5 cleared.</t>
  </si>
  <si>
    <t>FD25027312|2026-0013959|1779567639</t>
  </si>
  <si>
    <t>2026-0013959</t>
  </si>
  <si>
    <t>2026-05-23T20:20:39+00:00</t>
  </si>
  <si>
    <t>2026-09-10T22:13:38.104261+00:00</t>
  </si>
  <si>
    <t>05/23/2026 16:54:58: E12 arrived to small smoldering fire in chiminea. Resident here was burning small amount of yard waste, mostly grass in chiminea. E12 advised resident of city ordinance- no outside fires and advised resident to extinguish. No hazards here, E12 cleared.</t>
  </si>
  <si>
    <t>FD25027312|2026-0013499|1779223733</t>
  </si>
  <si>
    <t>2026-0013499</t>
  </si>
  <si>
    <t>2026-05-19T20:48:53+00:00</t>
  </si>
  <si>
    <t>2026-09-10T22:10:21.291942+00:00</t>
  </si>
  <si>
    <t>05/19/2026 17:38:08: E13 arrived at 145 Front St. with Worcester PD on scene for a mulch/vegetation on fire. Upon arrival E13 did find a small area of mulch/vegetation that was smoldering with light smoke. E13 used tank water and one length of 1 3/4-inch hose line with a smooth-bore tip to flood the area that was smoldering with water. E13 extinguished and overhauled the mulch area. E13 cleared.</t>
  </si>
  <si>
    <t>FD25027312|2026-0013496|1779223071</t>
  </si>
  <si>
    <t>2026-0013496</t>
  </si>
  <si>
    <t>2026-05-19T20:37:51+00:00</t>
  </si>
  <si>
    <t>2026-09-10T22:05:44.781790+00:00</t>
  </si>
  <si>
    <t>05/19/2026 18:20:45: Upon arrival, *****&amp;#x27;s security on scene small mulch fires in two separate tree beds.  E12 extinguished with tank water and cleared.</t>
  </si>
  <si>
    <t>FD25027312|2026-0013489|1779219426</t>
  </si>
  <si>
    <t>2026-0013489</t>
  </si>
  <si>
    <t>2026-05-19T19:37:06+00:00</t>
  </si>
  <si>
    <t>2026-09-10T22:10:11.827535+00:00</t>
  </si>
  <si>
    <t>05/19/2026 16:16:19: E13 arrived at 90 Front St. to possible mulch on fire. Upon arrival E13 found a small area of mulch approximately 3x3 square smoldering with light smoke. E13 used tank water and a 5-gallon bucket to flood the area with water for suppression. E13 then overhauled the area. E13 then applied another bucket of water and overhauled again. E13 cleared.</t>
  </si>
  <si>
    <t>FD25027312|2026-0013475|1779215437</t>
  </si>
  <si>
    <t>2026-0013475</t>
  </si>
  <si>
    <t>2026-05-19T18:30:37+00:00</t>
  </si>
  <si>
    <t>2026-09-10T22:07:28.381430+00:00</t>
  </si>
  <si>
    <t>05/19/2026 22:56:38: Engine 4 in quarters noted an odor of smoke in the area. Engine 4 walked to the parking lot at 418 Park Ave. and found a 1&amp;#x27;x1&amp;#x27; area of mulch burning due to improper disposal of a cigarette. Engine 4 extinguished with a five gallon bucket of water from the station. Engine 4 members returned to quarters.</t>
  </si>
  <si>
    <t>FD25027312|2026-0013463|1779210344</t>
  </si>
  <si>
    <t>2026-0013463</t>
  </si>
  <si>
    <t>2026-05-19T17:05:44+00:00</t>
  </si>
  <si>
    <t>2026-09-10T22:13:08.546096+00:00</t>
  </si>
  <si>
    <t>05/19/2026 14:37:38: E8 arrived for a shrub smoldering.  E8 used tank water and decon hose to extinguish</t>
  </si>
  <si>
    <t>FD25027312|2026-0013462|1779210241</t>
  </si>
  <si>
    <t>2026-0013462</t>
  </si>
  <si>
    <t>2026-05-19T17:04:01+00:00</t>
  </si>
  <si>
    <t>2026-09-10T19:14:47.556545+00:00</t>
  </si>
  <si>
    <t>05/19/2026 13:32:41: Engine 6 dispatched to the US Post office for a reported brush fire.   On arrival, Engine 6 encountered a small area of mulch the was smoldering due to a discarded cigarette. Engine 6 used rakes and a garden hose from tank water to extinguish the area and soaked the surrounding area as well. Engine 6 reporting extinguished mulch.   Engine 6 clear.</t>
  </si>
  <si>
    <t>FD25027312|2026-0013348|1779128036</t>
  </si>
  <si>
    <t>2026-0013348</t>
  </si>
  <si>
    <t>2026-05-18T18:13:56+00:00</t>
  </si>
  <si>
    <t>2026-09-10T22:07:24.585259+00:00</t>
  </si>
  <si>
    <t>05/18/2026 19:01:41: E12 arrived to mulch fire that extended to small bush. E12 deployed a handline and extinguished smoldering with tank water. E12 cleared after extinguishment.</t>
  </si>
  <si>
    <t>FD25027312|2026-0013239|1779042252</t>
  </si>
  <si>
    <t>2026-0013239</t>
  </si>
  <si>
    <t>2026-05-17T18:24:12+00:00</t>
  </si>
  <si>
    <t>2026-09-10T21:51:31.138427+00:00</t>
  </si>
  <si>
    <t>05/18/2026 06:17:44: On arrival we found some mulch on fire in one of the center islands in front of the DCU center. We quickly put it out with our forestry line and overhauled the area to avoid rekindling or any extension. No other needs from E6, available returning.</t>
  </si>
  <si>
    <t>FD25027312|2026-0012353|1778274716</t>
  </si>
  <si>
    <t>2026-0012353</t>
  </si>
  <si>
    <t>2026-05-08T21:11:56+00:00</t>
  </si>
  <si>
    <t>2026-09-10T21:25:10.562133+00:00</t>
  </si>
  <si>
    <t>05/08/2026 17:31:44: E5 arrived with a small mulch fire. We used tank water to put it out.</t>
  </si>
  <si>
    <t>FD25027312|2026-0012328|1778261733</t>
  </si>
  <si>
    <t>2026-0012328</t>
  </si>
  <si>
    <t>2026-05-08T17:35:33+00:00</t>
  </si>
  <si>
    <t>2026-09-10T21:25:54.906516+00:00</t>
  </si>
  <si>
    <t>05/08/2026 22:24:37: Engine 2 arrived on scene to the corner of a grassy area on fire. Members pulled the garden hose along with 50 feet of 1 3/4 line. We used bolt cutters on a locked gate to access the field. We extinguished the fire. Engine 2 cleared.</t>
  </si>
  <si>
    <t>FD25027312|2026-0012323|1778259704</t>
  </si>
  <si>
    <t>2026-0012323</t>
  </si>
  <si>
    <t>2026-05-08T17:01:44+00:00</t>
  </si>
  <si>
    <t>2026-09-10T21:41:27.216056+00:00</t>
  </si>
  <si>
    <t>05/08/2026 20:14:25: DPW stopped by station reporting a brush fire. Found a small brush fire and extinguished with tank water</t>
  </si>
  <si>
    <t>FD25027312|2026-0012255|1778194129</t>
  </si>
  <si>
    <t>2026-0012255</t>
  </si>
  <si>
    <t>2026-05-07T22:48:49+00:00</t>
  </si>
  <si>
    <t>2026-09-10T21:22:57.603975+00:00</t>
  </si>
  <si>
    <t>05/08/2026 06:51:45: E15 arrived and found resident burning some branches and twigs. E15 informed resident outside burning not allowed in Worcester. Resident extinguished fire with garden hose.</t>
  </si>
  <si>
    <t>FD25027312|2026-0012102|1778088176</t>
  </si>
  <si>
    <t>2026-0012102</t>
  </si>
  <si>
    <t>2026-05-06T17:22:56+00:00</t>
  </si>
  <si>
    <t>2026-09-10T21:26:09.764798+00:00</t>
  </si>
  <si>
    <t>05/06/2026 15:39:48: Engine 16 was dispatched for a brush/mulch fire in the area of 10 Lincoln sq. Upon arrival, the mulch was smoldering and smoking. Engine 16 used the garden hose attachment to extinguish and wet the surrounding area. Hooks were used to overhaul the area to ensure it was extinguished. Engine 16 cleared.</t>
  </si>
  <si>
    <t>FD25027312|2026-0012047|1778033365</t>
  </si>
  <si>
    <t>2026-0012047</t>
  </si>
  <si>
    <t>2026-05-06T02:09:25+00:00</t>
  </si>
  <si>
    <t>2026-09-10T21:33:09.504894+00:00</t>
  </si>
  <si>
    <t>05/06/2026 06:24:46: E6 was dispatched to 469 Shrewsbury Street for an outside fire. E6 found a small circle of mulch burning that appeared to be started from a cigarette. E6 dumped some water on it and then cleared the scene.</t>
  </si>
  <si>
    <t>FD25027312|2026-0012044|1778032035</t>
  </si>
  <si>
    <t>2026-0012044</t>
  </si>
  <si>
    <t>2026-05-06T01:47:15+00:00</t>
  </si>
  <si>
    <t>2026-09-10T21:33:17.692924+00:00</t>
  </si>
  <si>
    <t>05/06/2026 06:55:32: E16 extinguished a brush fire.</t>
  </si>
  <si>
    <t>FD25027312|2026-0012036|1778026958</t>
  </si>
  <si>
    <t>2026-0012036</t>
  </si>
  <si>
    <t>2026-05-06T00:22:38+00:00</t>
  </si>
  <si>
    <t>2026-09-10T16:48:53.688964+00:00</t>
  </si>
  <si>
    <t>05/06/2026 08:17:22: E8 arrived for mulch smoldering in a mulch bed.  E8 set up decon hose and washed the bed down.</t>
  </si>
  <si>
    <t>FD25027312|2026-0012000|1778009104</t>
  </si>
  <si>
    <t>2026-0012000</t>
  </si>
  <si>
    <t>2026-05-05T19:25:04+00:00</t>
  </si>
  <si>
    <t>2026-09-10T21:30:28.521045+00:00</t>
  </si>
  <si>
    <t>05/05/2026 16:21:04: E6 was dispatched to Columbus park for an outside fire. E6 found a small brush fire in the woods which we were able to put out with the water can. E6 then cleared the scene.</t>
  </si>
  <si>
    <t>FD25027312|2026-0011996|1778008205</t>
  </si>
  <si>
    <t>2026-0011996</t>
  </si>
  <si>
    <t>2026-05-05T19:10:05+00:00</t>
  </si>
  <si>
    <t>2026-09-10T19:55:59.588357+00:00</t>
  </si>
  <si>
    <t>05/06/2026 07:02:11: E3 arrived on scene to find mulch on fire outside store. E3 then used tank water for extinguishment. Overhaul was done. RP on scene informed of several mulch fire this day with wind being factor on spreading quickly. E3 cleared.</t>
  </si>
  <si>
    <t>FD25027312|2026-0011947|1777971915</t>
  </si>
  <si>
    <t>2026-0011947</t>
  </si>
  <si>
    <t>2026-05-05T09:05:15+00:00</t>
  </si>
  <si>
    <t>2026-09-10T21:19:15.379973+00:00</t>
  </si>
  <si>
    <t>05/05/2026 05:43:41: E13 arrived to find some mulch smoldering near the entrance to the structure with a cigarette butt nearby. Windows were open and the smell was present inside the hallway. E13 used some buckets of tank water to drown out the mulch and stop the smoldering. E13 cleared.</t>
  </si>
  <si>
    <t>FD25027312|2026-0011920|1777935207</t>
  </si>
  <si>
    <t>2026-0011920</t>
  </si>
  <si>
    <t>2026-05-04T22:53:27+00:00</t>
  </si>
  <si>
    <t>2026-09-10T21:19:37.011374+00:00</t>
  </si>
  <si>
    <t>05/04/2026 19:21:59: E13, E2, E12, E6, L3, L1, R1, Safety3, L2(RIT) and C4 to 185 Madison St for a reported structure fire. C4 arrived to a mulch fire. E13 extinguished the mulch. C4 released the assignment, holding E13.</t>
  </si>
  <si>
    <t>FD25027312|2026-0011893|1777919079</t>
  </si>
  <si>
    <t>2026-0011893</t>
  </si>
  <si>
    <t>2026-05-04T18:24:39+00:00</t>
  </si>
  <si>
    <t>2026-09-10T21:26:11.939104+00:00</t>
  </si>
  <si>
    <t>05/04/2026 20:55:17: E13 arrived to mulch smoldering in a few areas. E13 soaked the areas down with tank water. E13 cleared.</t>
  </si>
  <si>
    <t>FD25027312|2026-0011889|1777916083</t>
  </si>
  <si>
    <t>2026-0011889</t>
  </si>
  <si>
    <t>2026-05-04T17:34:43+00:00</t>
  </si>
  <si>
    <t>2026-09-10T16:11:31.114484+00:00</t>
  </si>
  <si>
    <t>: E6 on arrival with mulch on fire, RP was putting hose water on it. Cleared</t>
  </si>
  <si>
    <t>FD25027312|2026-0011881|1777912673</t>
  </si>
  <si>
    <t>2026-0011881</t>
  </si>
  <si>
    <t>2026-05-04T16:37:53+00:00</t>
  </si>
  <si>
    <t>2026-09-10T16:21:11.083429+00:00</t>
  </si>
  <si>
    <t>05/04/2026 15:32:33: E8 arrived to a mulch fire extinguished by T mobile employees with a bucket of water. Raked it over to make sure that it was not burning deep in the mulch bed. Was just surface burning of the mulch that was already wet down by employees. E8 cleared</t>
  </si>
  <si>
    <t>FD25027312|2026-0011880|1777912498</t>
  </si>
  <si>
    <t>2026-0011880</t>
  </si>
  <si>
    <t>2026-05-04T16:34:58+00:00</t>
  </si>
  <si>
    <t>2026-09-10T21:17:37.639281+00:00</t>
  </si>
  <si>
    <t>05/04/2026 15:43:20: E2 on arrival for a mulch fire outside of 51 Myrtle St. E2 extinguished the fire areas and overhauled the mulch. E2 did significant wetting down to prevent reignition. No signs of discarded smoking materials or other signs of ignition. E2 cleared.</t>
  </si>
  <si>
    <t>FD25027312|2026-0011876|1777910700</t>
  </si>
  <si>
    <t>2026-0011876</t>
  </si>
  <si>
    <t>2026-05-04T16:05:00+00:00</t>
  </si>
  <si>
    <t>2026-09-10T16:17:57.392075+00:00</t>
  </si>
  <si>
    <t>05/04/2026 15:43:31: arrived ti find mulch smoldering. used 1.75 line to extinguish and overhauled. no smoke existent we packed up and cleared</t>
  </si>
  <si>
    <t>FD25027312|2026-0011739|1777779445</t>
  </si>
  <si>
    <t>2026-0011739</t>
  </si>
  <si>
    <t>2026-05-03T03:37:25+00:00</t>
  </si>
  <si>
    <t>2026-09-10T21:46:32.968765+00:00</t>
  </si>
  <si>
    <t>05/03/2026 07:14:37: E15 arrived and found outside fire. E15 extinguished fire with *********.</t>
  </si>
  <si>
    <t>FD25027312|2026-0011669|1777727574</t>
  </si>
  <si>
    <t>2026-0011669</t>
  </si>
  <si>
    <t>2026-05-02T13:12:54+00:00</t>
  </si>
  <si>
    <t>2026-09-10T20:40:34.028974+00:00</t>
  </si>
  <si>
    <t>05/03/2026 06:47:26: Smoldering mulch, E11 extinguished and cleared</t>
  </si>
  <si>
    <t>FD25027312|2026-0011590|1777661776</t>
  </si>
  <si>
    <t>2026-0011590</t>
  </si>
  <si>
    <t>2026-05-01T18:56:16+00:00</t>
  </si>
  <si>
    <t>2026-09-10T21:14:15.504468+00:00</t>
  </si>
  <si>
    <t>05/01/2026 17:09:29: E15 arrived to smoldering, dark colored mulch. E15 used a garden hose to wet down the area. E15 cleared.</t>
  </si>
  <si>
    <t>FD25027312|2026-0011381|1777477998</t>
  </si>
  <si>
    <t>2026-0011381</t>
  </si>
  <si>
    <t>2026-04-29T15:53:18+00:00</t>
  </si>
  <si>
    <t>2026-09-10T19:05:18.597977+00:00</t>
  </si>
  <si>
    <t>04/29/2026 21:11:00: E15 arrived and found resident burning a large pile of leaves and small brush. E15 informed resident burning not allowed in the City. E15 stretched a line and extinguished the fire.</t>
  </si>
  <si>
    <t>FD25027312|2026-0011347|1777457686</t>
  </si>
  <si>
    <t>2026-0011347</t>
  </si>
  <si>
    <t>2026-04-29T10:14:46+00:00</t>
  </si>
  <si>
    <t>2026-09-10T21:13:06.460768+00:00</t>
  </si>
  <si>
    <t>04/29/2026 06:50:29: Engine 4 was dispatched to 418 Park Ave. for an outside fire. A WRTA bus driver also notified Engine 4 in quarters. Engine 4 arrived and found the mulch and wood fence on fire at 77 May St. Engine 4 extinguished using tank water and a 100 feet of 1 3/4&amp;quot; hose. Engine 4 overhauled and Fire Alarm notified the responsible party *************). Engine 4 returned to quarters and refilled the tank water.</t>
  </si>
  <si>
    <t>FD25027312|2026-0011315|1777411924</t>
  </si>
  <si>
    <t>2026-0011315</t>
  </si>
  <si>
    <t>2026-04-28T21:32:04+00:00</t>
  </si>
  <si>
    <t>2026-09-10T21:03:45.955833+00:00</t>
  </si>
  <si>
    <t>04/28/2026 19:20:08: E13 arrived in the area of 1 Francis McGrath BLVD. for a report of mulch smoking. E13 investigated and found one 3x3 area of mulch surrounded by concrete on the sidewalk already overhaul. Worcester PD flagged down E13 while on scene to state that they were the ones who overhauled the area. E13 found no smoking mulch in the area of question. E13 cleared.</t>
  </si>
  <si>
    <t>FD25027312|2026-0011306|1777405040</t>
  </si>
  <si>
    <t>2026-0011306</t>
  </si>
  <si>
    <t>2026-04-28T19:37:20+00:00</t>
  </si>
  <si>
    <t>2026-09-10T21:06:28.769947+00:00</t>
  </si>
  <si>
    <t>04/28/2026 16:01:58: E8 arrived with mulch smoking in an island in the parking lot.  E8 used the decon hose and extinguished the smoldering mulch</t>
  </si>
  <si>
    <t>FD25027312|2026-0011232|1777327324</t>
  </si>
  <si>
    <t>2026-0011232</t>
  </si>
  <si>
    <t>2026-04-27T22:02:04+00:00</t>
  </si>
  <si>
    <t>2026-09-10T21:07:58.177758+00:00</t>
  </si>
  <si>
    <t>04/27/2026 20:26:12: Engine 12 arrived on scene and used tank water to extinguish the smoldering mulch.</t>
  </si>
  <si>
    <t>FD25027312|2026-0011224|1777324607</t>
  </si>
  <si>
    <t>2026-0011224</t>
  </si>
  <si>
    <t>2026-04-27T21:16:47+00:00</t>
  </si>
  <si>
    <t>2026-09-10T21:11:23.295382+00:00</t>
  </si>
  <si>
    <t>04/28/2026 06:49:25: Engine 8 arrived on scene to find a small mulch fire. E8 extinguished the fire with tank water. E8 cleared.</t>
  </si>
  <si>
    <t>FD25027312|2026-0011126|1777240892</t>
  </si>
  <si>
    <t>2026-0011126</t>
  </si>
  <si>
    <t>2026-04-26T22:01:32+00:00</t>
  </si>
  <si>
    <t>2026-09-10T20:51:01.913370+00:00</t>
  </si>
  <si>
    <t>04/26/2026 22:01:18: Small mulch fire extinguished and overhauled</t>
  </si>
  <si>
    <t>FD25027312|2026-0011110|1777232691</t>
  </si>
  <si>
    <t>2026-0011110</t>
  </si>
  <si>
    <t>2026-04-26T19:44:51+00:00</t>
  </si>
  <si>
    <t>2026-09-10T20:59:18.239990+00:00</t>
  </si>
  <si>
    <t>04/26/2026 21:58:51: Small mulch fire. Extinguished and overhauled. E8 cleared</t>
  </si>
  <si>
    <t>FD25027312|2026-0010879|1776986410</t>
  </si>
  <si>
    <t>2026-0010879</t>
  </si>
  <si>
    <t>2026-04-23T23:20:10+00:00</t>
  </si>
  <si>
    <t>2026-09-10T20:41:26.670671+00:00</t>
  </si>
  <si>
    <t>04/23/2026 20:01:35: small mulch fire by fence. used tank water to extinguish. overhauled the area and cleared when no smoldering was left</t>
  </si>
  <si>
    <t>FD25027312|2026-0010736|1776868536</t>
  </si>
  <si>
    <t>2026-0010736</t>
  </si>
  <si>
    <t>2026-04-22T14:35:36+00:00</t>
  </si>
  <si>
    <t>2026-09-10T20:45:16.744760+00:00</t>
  </si>
  <si>
    <t>04/23/2026 07:05:58: E16 extinguished a pipe of branches and leaves.</t>
  </si>
  <si>
    <t>FD25027312|2026-0010636|1776778491</t>
  </si>
  <si>
    <t>2026-0010636</t>
  </si>
  <si>
    <t>2026-04-21T13:34:51+00:00</t>
  </si>
  <si>
    <t>2026-09-10T20:45:50.157965+00:00</t>
  </si>
  <si>
    <t>04/21/2026 11:11:43: Engine 2 arrived to a very small outside fire containing grass/trash.  Fire was put out via garden hose using tank water.</t>
  </si>
  <si>
    <t>FD25027312|2026-0009913|1776123337</t>
  </si>
  <si>
    <t>2026-0009913</t>
  </si>
  <si>
    <t>2026-04-13T23:35:37+00:00</t>
  </si>
  <si>
    <t>2026-09-10T20:09:39.957227+00:00</t>
  </si>
  <si>
    <t>04/13/2026 20:50:48: Engine 3 arrived on scene to find a homeowner using his garden hose to wet down a small burnt area near a tree in the back of his house which stated from hot charcoal from cooking. E3 used a long hook to stir up the area while the home owner saturated it. E3 stayed and observed the fire being completely out. E3 cleared.</t>
  </si>
  <si>
    <t>FD25027312|2026-0009902|1776118472</t>
  </si>
  <si>
    <t>2026-0009902</t>
  </si>
  <si>
    <t>2026-04-13T22:14:32+00:00</t>
  </si>
  <si>
    <t>2026-09-10T20:23:39.311927+00:00</t>
  </si>
  <si>
    <t>04/13/2026 20:46:00: Engine 3 arrived on scene to find a small bush and much charred from being on fire. Engine 3 crew pulled 50&amp;#x27; of a 1 3/4 hose line to wet down the hot spots. At that point fire alarms started going off in the building due to the windows being open in the apartments around and above the charred area. Fire alarm called E3 stating a masterbox rang in for our location. E3 officer told fire alarm the situation and held the rest of the companies in quarters. E3 offer went inside to check the apartments above and around the area. An apartment on the second floor and third floor above the area of the mulch fire were charged with smoke. At this point E3 had fire alarm dispatch Ladder 2 to assist E3 with their fan. Engine 3 went to the panel and saw it was 2nd floor hallway outside B16 was the alarm that rang in the masterbox. L2 arrived on scene and ventilated apartments B16 and B4. E3 monitored the hot spots which were completely wet down after the rooms were ventilated the masterbox was reset by a RP on scene it held in a normal status. Fire alarm stated that it cleared  and held on there end. E3 and L2 cleared.</t>
  </si>
  <si>
    <t>FD25027312|2026-0009896|1776114103</t>
  </si>
  <si>
    <t>2026-0009896</t>
  </si>
  <si>
    <t>2026-04-13T21:01:43+00:00</t>
  </si>
  <si>
    <t>2026-09-10T20:16:08.473024+00:00</t>
  </si>
  <si>
    <t>04/13/2026 20:31:33: Engine 3 arrived on scene to find a small smoldering mulch fire. Engine 3 used tank water and 3–5-gallon buckets of water along with rakes to saturate the area where the mulch was burning. Engine 3 watched the area for several minutes fire was extinguished and no signs of smoke. Engine 3 cleared.</t>
  </si>
  <si>
    <t>FD25027312|2026-0009829|1776038767</t>
  </si>
  <si>
    <t>2026-0009829</t>
  </si>
  <si>
    <t>2026-04-13T00:06:07+00:00</t>
  </si>
  <si>
    <t>2026-09-10T20:15:27.589901+00:00</t>
  </si>
  <si>
    <t>04/12/2026 21:08:27: E6 dispatched to shrub/ bush on fire outside 505 Plantation St. E6 flagged down by civilian who pointed out area of concern. Small area of smoldering mulch located. E6 doused area and cleared.</t>
  </si>
  <si>
    <t>FD25027312|2026-0009819|1776033142</t>
  </si>
  <si>
    <t>2026-0009819</t>
  </si>
  <si>
    <t>2026-04-12T22:32:22+00:00</t>
  </si>
  <si>
    <t>2026-09-10T20:05:34.656619+00:00</t>
  </si>
  <si>
    <t>04/13/2026 ********************** and forestry on scene. All companies extinguish fire in woods where a homeless encampment is.</t>
  </si>
  <si>
    <t>FD25027312|2026-0009818|1776033053</t>
  </si>
  <si>
    <t>2026-0009818</t>
  </si>
  <si>
    <t>2026-04-12T22:30:53+00:00</t>
  </si>
  <si>
    <t>2026-09-10T20:12:24.756960+00:00</t>
  </si>
  <si>
    <t>04/12/2026 20:51:27: E8 arrived for a male burning leaves in his backyard.  We advised him hes not allowed to burn and he has to put the fire out</t>
  </si>
  <si>
    <t>FD25027312|2026-0009711|1775940417</t>
  </si>
  <si>
    <t>2026-0009711</t>
  </si>
  <si>
    <t>2026-04-11T20:46:57+00:00</t>
  </si>
  <si>
    <t>2026-09-10T20:19:26.088686+00:00</t>
  </si>
  <si>
    <t>04/11/2026 17:11:24: E9 received a phone call from a resident in the area of 48 Ashmore Rd. complaining that resident at this location was burning brush in backyard. Fire Alarm was notified to create incident and E9 responded. Upon arrival E9 investigated and found resident at 48 Ashmore Rd. burning yard waste in a small fire pit in back yard. E9 advised resident that outside burning was not allowed within the city. Resident extinguished outside fire and E9 cleared.</t>
  </si>
  <si>
    <t>FD25027312|2026-0009696|1775931711</t>
  </si>
  <si>
    <t>2026-0009696</t>
  </si>
  <si>
    <t>2026-04-11T18:21:51+00:00</t>
  </si>
  <si>
    <t>2026-09-10T17:09:31.949103+00:00</t>
  </si>
  <si>
    <t>04/11/2026 15:18:24: On arrival E5 found leaves burning, we used a handline and tank water to put it out.</t>
  </si>
  <si>
    <t>FD25027312|2026-0009693|1775931201</t>
  </si>
  <si>
    <t>2026-0009693</t>
  </si>
  <si>
    <t>2026-04-11T18:13:21+00:00</t>
  </si>
  <si>
    <t>2026-09-10T20:20:37.212650+00:00</t>
  </si>
  <si>
    <t>04/12/2026 06:28:37: E16 extinguished a mulch fire.</t>
  </si>
  <si>
    <t>FD25027312|2026-0009686|1775926711</t>
  </si>
  <si>
    <t>2026-0009686</t>
  </si>
  <si>
    <t>2026-04-11T16:58:31+00:00</t>
  </si>
  <si>
    <t>2026-09-10T20:17:24.656883+00:00</t>
  </si>
  <si>
    <t>04/11/2026 17:10:27: E13 dispatched for outside fire, E13 arrived with a small mulch fire that was extinguished with 5 gallon bucket of tank water and E13 cleared.</t>
  </si>
  <si>
    <t>FD25027312|2026-0009615|1775871016</t>
  </si>
  <si>
    <t>2026-0009615</t>
  </si>
  <si>
    <t>2026-04-11T01:30:16+00:00</t>
  </si>
  <si>
    <t>2026-09-10T20:10:15.632799+00:00</t>
  </si>
  <si>
    <t>04/10/2026 22:27:30: Extinguished and overhauled mulch in the parking lot area</t>
  </si>
  <si>
    <t>FD25027312|2026-0009540|1775817037</t>
  </si>
  <si>
    <t>2026-0009540</t>
  </si>
  <si>
    <t>2026-04-10T10:30:37+00:00</t>
  </si>
  <si>
    <t>2026-09-10T20:08:11.455937+00:00</t>
  </si>
  <si>
    <t>04/10/2026 07:23:21: Engine 5 arrived on scene. There was a small brush fire in the backyard of this address. Engine 5 extinguished the fire. Engine 5 cleared the scene.</t>
  </si>
  <si>
    <t>FD25027312|2026-0009484|1775766719</t>
  </si>
  <si>
    <t>2026-0009484</t>
  </si>
  <si>
    <t>2026-04-09T20:31:59+00:00</t>
  </si>
  <si>
    <t>2026-09-10T20:04:46.248657+00:00</t>
  </si>
  <si>
    <t>04/09/2026 17:35:37: Engine 2 dispatched to 58 Gardner Street for a brush fire.  On arrival, Engine 2 encountered a small mulch fire at the end of the parking lot of Table Talk Pies behind the trailers. Engine 2 stretched 100 feet of 1 3/4&amp;quot; and used tank water to extinguish the mulch fire. Smoking paraphernalia was scene near the mulch. No property damage was noted.   Engine 2 clear.</t>
  </si>
  <si>
    <t>FD25027312|2026-0009481|1775765206</t>
  </si>
  <si>
    <t>2026-0009481</t>
  </si>
  <si>
    <t>2026-04-09T20:06:46+00:00</t>
  </si>
  <si>
    <t>2026-09-10T20:04:56.748661+00:00</t>
  </si>
  <si>
    <t>04/09/2026 18:13:01: E8 arrived in the parking lot of Texas Roadhouse to find a small amount of mulch smoking.  E8 extinguished it with decon hose and washed the bed down.</t>
  </si>
  <si>
    <t>FD25027312|2026-0009459|1775750249</t>
  </si>
  <si>
    <t>2026-0009459</t>
  </si>
  <si>
    <t>2026-04-09T15:57:29+00:00</t>
  </si>
  <si>
    <t>2026-09-10T20:13:00.375650+00:00</t>
  </si>
  <si>
    <t>04/09/2026 15:08:09: Residents burning leaves in backyard. Advised of city ordinance banning burning in city of Worcester. E9 and residents extinguished fire with 10 gallons of water. Overhauled. E9 cleared.</t>
  </si>
  <si>
    <t>FD25027312|2026-0009455|1775747257</t>
  </si>
  <si>
    <t>2026-0009455</t>
  </si>
  <si>
    <t>2026-04-09T15:07:37+00:00</t>
  </si>
  <si>
    <t>2026-09-10T20:13:02.418927+00:00</t>
  </si>
  <si>
    <t>04/09/2026 17:37:23: Engine 16 was dispatched for a brush fire in the area of 14 Rodney st. Upon arrival, Engine 16 found a small fire in gravel area in front of number 19 Rodney st. Members smothered the fire using hooks and water was used to cool the area. The fire appeared to be the remnants of a fire pit. Engine 16 cleared.</t>
  </si>
  <si>
    <t>FD25027312|2026-0009203|1775508751</t>
  </si>
  <si>
    <t>2026-0009203</t>
  </si>
  <si>
    <t>2026-04-06T20:52:31+00:00</t>
  </si>
  <si>
    <t>2026-09-10T19:50:34.381862+00:00</t>
  </si>
  <si>
    <t>04/06/2026 17:23:13: E13 dispatched for outside fire.  On arrival there was a small area of mulch and three shrubs burning.  E13 deployed a 1 3/4&amp;quot; line and extinguished fire and cleared.</t>
  </si>
  <si>
    <t>FD25027312|2026-0008685|1775062150</t>
  </si>
  <si>
    <t>2026-0008685</t>
  </si>
  <si>
    <t>2026-04-01T16:49:10+00:00</t>
  </si>
  <si>
    <t>2026-09-10T19:42:45.668943+00:00</t>
  </si>
  <si>
    <t>04/01/2026 14:23:28: E-3 dispatched to 40 Barrows Rd. for smoke in the area. On arrival we found a large campfire at 40 Barrows Rd. in the back yard. E-3 made contact with the owner and advised them they need to put the fire out due to there being no open burning allowed in the city. The resident used his garden hose to extinguish the fire. E-3 assisted him by moving the wood and leaves around to get the water into all of it. E-3 cleared after the fire was extinguished.</t>
  </si>
  <si>
    <t>FD25027312|2026-0008419|1774817371</t>
  </si>
  <si>
    <t>2026-0008419</t>
  </si>
  <si>
    <t>2026-03-29T20:49:31+00:00</t>
  </si>
  <si>
    <t>2026-09-10T19:39:48.291893+00:00</t>
  </si>
  <si>
    <t>03/30/2026 07:05:44: E3 arrived on scene to smoke coming from ******* side. E3 investigated to find person with an outside fire pit burning brush. E3 put fire out and overhauled. E3 informed homeowner of no outside burning in city. RP informed of other avenues to get rid of brush and trash without burning. Fire was extinguished and overhauled. E3 cleared.</t>
  </si>
  <si>
    <t>FD25027314|26-046_639189524412054282|1770679673</t>
  </si>
  <si>
    <t>26-046_639189524412054282</t>
  </si>
  <si>
    <t>2026-02-09T23:27:53+00:00</t>
  </si>
  <si>
    <t>2026-07-06T16:34:04.274134+00:00</t>
  </si>
  <si>
    <t>Dispatched M/A to Charlton for station coverage.</t>
  </si>
  <si>
    <t>FD25027327|26-1674|1786191300</t>
  </si>
  <si>
    <t>26-1674</t>
  </si>
  <si>
    <t>2026-08-08T12:15:00+00:00</t>
  </si>
  <si>
    <t>2026-09-11T01:14:16.257964+00:00</t>
  </si>
  <si>
    <t>08/08/2026 18:10:59: A box alarm was dispatched for a report of leaves burning near a structure. On arrival found light smoke showing from around the front steps of a two-story residential building and the homeowner applying water to the area with a garden hose. Homeowner reported that he had been using a weed torch to get rid of weeds in his front walkway when he turned around and noticed smoke coming from under his exterior stairs to the front door. Homeowner said he never saw any flames but began spraying the area with his garden hose and called 911. Investigation showed the front stairs were a concrete shell with a void space underneath that had a pile of leaves in it that was smoldering. Engine-2 and Ladder-1 remained on scene and other responding apparatus were returned to Headquarters. The area around the steps was dug out and water applied using the homeowner&amp;#x27;s garden hose. Leaf pile was extinguished and the area around the front steps was cooled. Some of the siding and exterior fascia was removed to check for extension. Two areas just below the front door were charred from the heat, but no other extension to the building was found. Homeowner was instructed to use extra care with his weed torch, and he stated he would. All units then cleared and returned to service.</t>
  </si>
  <si>
    <t>FD25027327|26-1525|1784570760</t>
  </si>
  <si>
    <t>26-1525</t>
  </si>
  <si>
    <t>2026-07-20T18:06:00+00:00</t>
  </si>
  <si>
    <t>2026-07-20T18:52:24.276463+00:00</t>
  </si>
  <si>
    <t>07/20/2026 14:51:34: Disp for a brush fire in the median of Rt 146 NB in the area of mile marker 3.5. On arrival we found an area approximately 30 feet long and 20 feet wide. Fire was extinguished with tank water from Squad 1.  Tanker was returned to service. Fire was accidental. A pickup truck pulling a trailer had a tire burst and the rim caused a spark into the dry grass of the median. Fire competely extinguished and all fire personnel were cleared from the scene.</t>
  </si>
  <si>
    <t>FD25027327|26-1118|1780009860</t>
  </si>
  <si>
    <t>26-1118</t>
  </si>
  <si>
    <t>2026-05-28T23:11:00+00:00</t>
  </si>
  <si>
    <t>2026-09-10T22:42:39.936224+00:00</t>
  </si>
  <si>
    <t>05/28/2026 20:21:09: Engine 2 arrived to find a large tree branch had broken off and landed on the primary on top of the telephone pole to the left side of the high school entrance. By standards said that it was on fire and smoking prior to our arrival engine 2 crew notified Fire alarm to notify National Grid, so that the tree branch could be removed from the primaries. Engine 2 cleared no hazards at this time , command terminated.</t>
  </si>
  <si>
    <t>FD25027327|26-1107|1779914340</t>
  </si>
  <si>
    <t>26-1107</t>
  </si>
  <si>
    <t>2026-05-27T20:39:00+00:00</t>
  </si>
  <si>
    <t>2026-09-10T22:48:24.272447+00:00</t>
  </si>
  <si>
    <t>05/27/2026 17:05:50: S1 dispatched to 99 East Hartford Ave for a mulch/brush fire. Upon arrival found a small batch of mulch 2ftx2ft smoldering, soaked effected area with effect. No further hazards, S1 clear in service.</t>
  </si>
  <si>
    <t>FD25027327|26-0920|1777919220</t>
  </si>
  <si>
    <t>26-0920</t>
  </si>
  <si>
    <t>2026-05-04T18:27:00+00:00</t>
  </si>
  <si>
    <t>2026-09-10T22:38:03.053595+00:00</t>
  </si>
  <si>
    <t>05/11/2026 10:29:23: A duty crew alarm was dispatched for a report of a brush fire. While responding the Mendon Fire Tower advised they could see the amount of smoke increasing considerably over the last couple minutes. On arrival Car-1 took command and reported an approximate 100&amp;#x27;x 100&amp;#x27; brush fire that was spreading toward the roadway. Fire was extinguished using one 1.75&amp;quot; hose line from Engine-5 and both hose reel lines from Squad-1. Once units were around the fire the area was wetted back and any remaining hotspots were extinguished. Property owners reported that they had a tree company (Uxbridge Tree Service) there earlier in the day cutting down a large tree in the middle of the area that had burned and reported seeing at least one member of the tree crew smoking cigarettes. Once the fire was extinguished all units cleared and returned to service.</t>
  </si>
  <si>
    <t>FD25027327|26-0896|1777645200</t>
  </si>
  <si>
    <t>26-0896</t>
  </si>
  <si>
    <t>2026-05-01T14:20:00+00:00</t>
  </si>
  <si>
    <t>2026-09-10T21:26:04.871888+00:00</t>
  </si>
  <si>
    <t>05/01/2026 11:23:37: Dispatched for outside smoke. Found homeowner burning large pile of logs in backyard. Homeowner used gasoline to initiate burn. Fire was extinguished, overhauled and wetted down. Homeowner did have a burn permit but was advised of proper rules and regulations relating to outdoor burning.</t>
  </si>
  <si>
    <t>FD25027327|26-0760|1776199440</t>
  </si>
  <si>
    <t>26-0760</t>
  </si>
  <si>
    <t>2026-04-14T20:44:00+00:00</t>
  </si>
  <si>
    <t>2026-09-10T20:12:45.197927+00:00</t>
  </si>
  <si>
    <t>04/14/2026 19:28:13: Responded to Savers bank for the possible brush fire. Upon arrival, mulch next to the main entrance was smoking, in several locations. Shovel was used to expose the mulch and water was used to spray down the area. No obvious source was determined by FI McGowan, and an employee of the building stated mulch was just put down. Ensured all spots were extinguished, and thoroughly wet down. All apparatus cleared.</t>
  </si>
  <si>
    <t>FD25027327|26-0537|1773425640</t>
  </si>
  <si>
    <t>26-0537</t>
  </si>
  <si>
    <t>2026-03-13T18:14:00+00:00</t>
  </si>
  <si>
    <t>2026-09-10T18:38:43.728481+00:00</t>
  </si>
  <si>
    <t>03/13/2026 15:05:59: Responded to Rt 146 NG MM 1.8 for a brush fire. Upon arrival, found a brush fire in the median of the highway. Tanker 1 blocked the travel lane to create a buffer and safe working space, and Squad 1 crew extinguished the fire and wet down the surrounding grass. All apparatus cleared.</t>
  </si>
  <si>
    <t>FD25027342|26-0000607_639160178366360427|1780418473</t>
  </si>
  <si>
    <t>26-0000607_639160178366360427</t>
  </si>
  <si>
    <t>2026-06-02T16:41:13+00:00</t>
  </si>
  <si>
    <t>2026-09-10T22:58:26.747969+00:00</t>
  </si>
  <si>
    <t>Brush 1, Tanker 2 dispatched to Mendon Street in the area of the railroad tracks for a reported brush fire. Car 1 arrived within 2 minutes and witnessed the Hopedale Water Department employees stopping out the flames that were within leaves around the ends of the rails of the railroad. Brush 1 arrived and provided wetting down of the burnt area as well as surrounding area.</t>
  </si>
  <si>
    <t>FD25027399|2601-2034-IN_639237674408971867|1788093763</t>
  </si>
  <si>
    <t>2601-2034-IN_639237674408971867</t>
  </si>
  <si>
    <t>2026-08-30T12:42:43+00:00</t>
  </si>
  <si>
    <t>2026-08-31T10:04:02.491670+00:00</t>
  </si>
  <si>
    <t>H45 REPORITNG A CAMP FIRE THAT IS STILL SMOLDERING E2 ADV FIRE HAS BEEN EXTINGUISHED.</t>
  </si>
  <si>
    <t>FD25027399|2601-1531-IN_639187897478215623|1783179900</t>
  </si>
  <si>
    <t>2601-1531-IN_639187897478215623</t>
  </si>
  <si>
    <t>2026-07-04T15:45:00+00:00</t>
  </si>
  <si>
    <t>2026-07-04T19:22:29.790016+00:00</t>
  </si>
  <si>
    <t>SMOKE COMING FROM THE GROUND. NO FLAMES SEEN. CAR3 INVESTIGATING. 4X4 AREA OF MULCH SMOKING. CAR3 ADV 4X4 MULCH SPOT HAS BEEN EXTINGUISHED AND OVERHAULED.</t>
  </si>
  <si>
    <t>FD25027399|2601-1413-IN_639176654909757325|1782063515</t>
  </si>
  <si>
    <t>2601-1413-IN_639176654909757325</t>
  </si>
  <si>
    <t>2026-06-21T17:38:35+00:00</t>
  </si>
  <si>
    <t>2026-09-11T00:07:56.012911+00:00</t>
  </si>
  <si>
    <t>E911 CALLERS BRUSH FIRE ON MANNING. #585 MANNING SMALL BRUSH FIRE APPEARS TO BE OUT- BYSTANDER REPORTING MORE IN THE AREA. 14CAR3 ADV OFF AT LEG RD WITH WB FIRE - APPROX 30X20 AREA BURNING. 14CAR3 ADV FIRE EXTINGUISHED AND OVER HAULED - RESPONDING BACK TO MANNING TO OVERHAULD A 15X15 AREA. 14CAR3 ADV CLEAR - F1 AND F2 REMAINING IN MANNING ST AREA WETTING DOWN 15X15 AREA.</t>
  </si>
  <si>
    <t>FD25027399|2601-1288-IN_639173106047493450|1780668487</t>
  </si>
  <si>
    <t>2601-1288-IN_639173106047493450</t>
  </si>
  <si>
    <t>2026-06-05T14:08:07+00:00</t>
  </si>
  <si>
    <t>2026-09-10T23:55:07.828871+00:00</t>
  </si>
  <si>
    <t>Dispatched for a report of a bush on fire in the rear of the residence. F1 and Car 3 arrived to find 3 people with buckets extinguishing large bush approx 20ft from any structure. Engine 3 cancelled per Car 3. F1 assisted residents with overhauling bush. No other services rendered</t>
  </si>
  <si>
    <t>FD25027399|2601-1003-IN_639130012841774853|1777389181</t>
  </si>
  <si>
    <t>2601-1003-IN_639130012841774853</t>
  </si>
  <si>
    <t>2026-04-28T15:13:01+00:00</t>
  </si>
  <si>
    <t>2026-09-10T21:11:14.466536+00:00</t>
  </si>
  <si>
    <t>SMALL BRUSH FIRE - SLOWLY SPEADING - UNABLE TO GET A HOSE TO REACH IT. COMMAND ADV 100X100 UNITS COMMITTED. REQ RETONE ALL CALL COMMAND REQ WB AMBULANCE TO THE LINE FOR COVERAGE - 26-19595 COMMAND ADV THE FIRE HAS BEEN EXTINGUISHED AND OVERHAULED. THE TRUCKS ARE PICKING UP COMMAND TERMINATED</t>
  </si>
  <si>
    <t>FD25027399|2601-969-IN_639127107620449237|1777084220</t>
  </si>
  <si>
    <t>2601-969-IN_639127107620449237</t>
  </si>
  <si>
    <t>2026-04-25T02:30:20+00:00</t>
  </si>
  <si>
    <t>2026-09-10T21:02:12.286318+00:00</t>
  </si>
  <si>
    <t>GROUP OF KIDS, LEFT AREA, CALLED IT IN. ADV A BRUSH FIRE AFTER A PARTY GOLD CAR, RED CAR CAR3 ADV 50X50 AREA, NEAR 190 CAR3 ADV ALL CALL CAR3 ADV FIRE K/D, OVERHAULING H6 ADVISED OUT WITH ATTACHED MV WACHUSETT@RIVER MA STATE POLICE TROOPER CALLED SATING ATTACHED VEHICLE WAS PARKED ON OTHER END OF THE TRAIL. 14CAR3 STATES FIRE IS KNOCKED DOWN AND OVERHAULED, COMPANIES WILL BE CLEAR AND AVAILABLE SHORTLY.</t>
  </si>
  <si>
    <t>FD25027399|2601-910-IN_639121047492196296|1776460176</t>
  </si>
  <si>
    <t>2601-910-IN_639121047492196296</t>
  </si>
  <si>
    <t>2026-04-17T21:09:36+00:00</t>
  </si>
  <si>
    <t>2026-09-10T20:41:09.054589+00:00</t>
  </si>
  <si>
    <t>FD25027399|2601-828-IN_639113257000315417|1775671601</t>
  </si>
  <si>
    <t>2601-828-IN_639113257000315417</t>
  </si>
  <si>
    <t>2026-04-08T18:06:41+00:00</t>
  </si>
  <si>
    <t>2026-09-10T19:51:32.633873+00:00</t>
  </si>
  <si>
    <t>FD25027402|26-0107|1779121912</t>
  </si>
  <si>
    <t>26-0107</t>
  </si>
  <si>
    <t>2026-05-18T16:31:52+00:00</t>
  </si>
  <si>
    <t>2026-07-22T18:51:59.310005+00:00</t>
  </si>
  <si>
    <t>On arrival the fire was out. Crews wet down the area and cleared.</t>
  </si>
  <si>
    <t>FD25027402|26-0105|1779121912</t>
  </si>
  <si>
    <t>26-0105</t>
  </si>
  <si>
    <t>2026-09-10T22:40:25.527948+00:00</t>
  </si>
  <si>
    <t>Crews found an extinguished grass fire. Crews wet down the area.</t>
  </si>
  <si>
    <t>FD25027411|26-0652|1785174550</t>
  </si>
  <si>
    <t>26-0652</t>
  </si>
  <si>
    <t>2026-07-27T17:49:10+00:00</t>
  </si>
  <si>
    <t>2026-09-11T01:21:46.089102+00:00</t>
  </si>
  <si>
    <t>07/27/2026 19:58:59: Car 44 who was command of a previous incident noticed a smoldering pile of mulch approximately 1&amp;#x27;x1&amp;#x27;. Command informed dispatch of this and requested an incident be created with no additional resources needed. Car 44 deployed a water can and extinguished the fire. Car 44 cleared the scene and command was terminated.</t>
  </si>
  <si>
    <t>FD25027411|26-0606|1783996271</t>
  </si>
  <si>
    <t>26-0606</t>
  </si>
  <si>
    <t>2026-07-14T02:31:11+00:00</t>
  </si>
  <si>
    <t>2026-09-11T01:29:06.893902+00:00</t>
  </si>
  <si>
    <t>07/13/2026 23:12:13: FD called for an outside fire on-sighted by police while patrolling the area. Brush44 and Car 3 on scene, Car 3 with command. Units found 5x3 foot area of mulch and 2 small bushes on fire. Brush 44 extinguished the fire and wet down the area. No obvious causes found. All units cleared command terminated</t>
  </si>
  <si>
    <t>FD25027411|26-0456|1780331078</t>
  </si>
  <si>
    <t>26-0456</t>
  </si>
  <si>
    <t>2026-06-01T16:24:38+00:00</t>
  </si>
  <si>
    <t>2026-09-11T00:31:48.991089+00:00</t>
  </si>
  <si>
    <t>06/01/2026 20:02:39: Full recall toned for a tanker to a mutual aid brush fire in Bellingham. T44 and Car 1 responded. Units arrived on scene. T44 set up a water supply tanker shuttle operation and Car 1 assigned to water supply chief. Both units were cleared by Bellingham command. Companies returned to town.</t>
  </si>
  <si>
    <t>FD25027411|26-0297|1776010227</t>
  </si>
  <si>
    <t>26-0297</t>
  </si>
  <si>
    <t>2026-04-12T16:10:27+00:00</t>
  </si>
  <si>
    <t>2026-09-11T00:42:22.978719+00:00</t>
  </si>
  <si>
    <t>04/12/2026 21:22:46: Called to Millville with Tanker 44 for the Brush fire. On arrival Tanker 44 directed to take the driveway and supply Blackstone and Millville Brush trucks with water. Tanker 44 stopped at the end of the paved driveway and pulled 450ft of 3inch supply line. Tanker 44 clear, supply line packed while on scene returning to FDHQ to top off water, 400-500 gallons.</t>
  </si>
  <si>
    <t>FD25027411|26-0259|1774820220</t>
  </si>
  <si>
    <t>26-0259</t>
  </si>
  <si>
    <t>2026-03-29T21:37:00+00:00</t>
  </si>
  <si>
    <t>2026-09-10T19:37:55.560953+00:00</t>
  </si>
  <si>
    <t>03/29/2026 19:54:32: Company recall toned for a brush fire. Car 3 and E44 responded. Car 3 arrived on scene, established command and confirmed brush fire in back yard approaching a shed. E44 arrived on scene. E44 deployed a 1.5&amp;quot; bumper line to the rear of the residence. E44 also used brush hose to split from the 1.5&amp;quot; attack line to have two lines in service. B44 and T44 responded. Units arrived on scene and supplied water to E44. Personnel from those companies then assisted with fire suppression. Fire was surrounded and knocked down. Fire area was approximately 75&amp;#x27;x75&amp;#x27;. Area was wet down to prevent reignition. All companies cleared the scene and command was terminated.</t>
  </si>
  <si>
    <t>FD25027411|26-0046|1768838549</t>
  </si>
  <si>
    <t>26-0046</t>
  </si>
  <si>
    <t>2026-01-19T16:02:29+00:00</t>
  </si>
  <si>
    <t>2026-09-10T15:58:58.033919+00:00</t>
  </si>
  <si>
    <t>01/19/2026 14:00:29: Called to the area for smoke coming from behind a house. On arrival no visible smoke or flame from the roadway, PD reporting large, controlled burn behind the garage. Eng44 investigating, confirmed large, controlled burn, 15'x15' of miscellaneous materials, brush, construction materials, doors, rugs. Eng44 moved from the roadway and into the driveway, bumper line pulled and fire extinguished 200-300 gallons. Pile overhauled. Property owner informed of burning regulations, all units clear and returning in service.</t>
  </si>
  <si>
    <t>FD25027411|26-0043|1768683851</t>
  </si>
  <si>
    <t>26-0043</t>
  </si>
  <si>
    <t>2026-01-17T21:04:11+00:00</t>
  </si>
  <si>
    <t>2026-09-10T16:12:30.124459+00:00</t>
  </si>
  <si>
    <t>01/17/2026 22:21:19: Called to the scene for the brush fire. On arrival 3' x 3' pile of brush approximately 80' from any exposures mostly smoldering, some flame, PD used fire extinguisher prior to our arrival. Brush 44 pulled a hose reel and extinguished the pile. Eng44 on scene assisted with overhaul of the pile. Tree branches, leaf's and, construction material. Homeowner reporting the pile had been sitting there for a "long time". Fire burnt out from the center of the pile, spontaneous combustion due to heat from decomposing material. All units clear and returning in service.</t>
  </si>
  <si>
    <t>FD25027419|26001903|1785923880</t>
  </si>
  <si>
    <t>26001903</t>
  </si>
  <si>
    <t>2026-08-05T09:58:00+00:00</t>
  </si>
  <si>
    <t>2026-09-11T01:40:34.721493+00:00</t>
  </si>
  <si>
    <t>E1 dispatched back to the area of Sturbridge Rd for a possible brush fire. On scene it was discovered to be another pile of mulch burning at 17 Griffin Rd. There is significant smoke coming from the pile and across Rt. 20. Incident command was established and the business owner was contacted and requested to the scene to operate his heavy machinery again to assist with extinguishment. C1 was also requested to the scene to speak with the business owner as this is the 3rd response to this address for the same complaint in 24 hours. The owner was able to use his excavator to remove the burning section again and the immediate hazard was mitigated. After the pile was turned over with the machine C1 instructed the owner to keep the pile extinguished and that he would check back later this afternoon to confirm compliance. Incident command was terminated and all units returned in service.</t>
  </si>
  <si>
    <t>FD25027419|26001900|1785878100</t>
  </si>
  <si>
    <t>26001900</t>
  </si>
  <si>
    <t>2026-08-04T21:15:00+00:00</t>
  </si>
  <si>
    <t>2026-09-11T01:50:28.171822+00:00</t>
  </si>
  <si>
    <t>Charlton Fire HQ received a call from a motorist reporting a column of smoke in the field between Trolley Crossing and Rt. 20. E1 responded to investigate and on scene found a pile of vines and brush burning attended by 2 adults. Incident command was established and crews approached the fire finding the responsible parties to have a small bucket of water near by but not sufficient means to extinguish the fire. A pressurized water can was deployed from E1 and the fire was completely extinguished as the open burning rules were explained to the parties. Incident command was terminated at that time and E1 cleared the scene in service.</t>
  </si>
  <si>
    <t>FD25027419|26001894|1785841860</t>
  </si>
  <si>
    <t>26001894</t>
  </si>
  <si>
    <t>2026-08-04T11:11:00+00:00</t>
  </si>
  <si>
    <t>2026-08-27T01:28:37.889353+00:00</t>
  </si>
  <si>
    <t>Engine 1 dispatched to the area of 53 Sturbridge Rd for a large column of smoke. On scene crews found a mulch pile at 17 Griffin Rd smoldering. Incident command was established and F1 was requested to the scene for hand tools. Crews deployed a 1.5&amp;quot; forestry line from E1 to wet down near by vegetation and to extinguish the active visible fire in the mulch pile. The business owner arrived on scene and used heavy equipment to dig out the burning area and finished extinguishment. Incident command was terminated at that time and all units cleared the scene returning in service.</t>
  </si>
  <si>
    <t>FD25027419|26001566|1782621120</t>
  </si>
  <si>
    <t>26001566</t>
  </si>
  <si>
    <t>2026-06-28T04:32:00+00:00</t>
  </si>
  <si>
    <t>2026-09-11T00:31:22.777346+00:00</t>
  </si>
  <si>
    <t>Dispatched to the above area for the report of a brush fire. Upon arrival CPD reported the fire was caused by a utility line down and had notified National Grid. C5 established command and monitored the small fire for extension into the wooded area. Forestry 1 was cleared by command. National grid arrived on scene and de-energized the power line and Engine 1 extinguished the fire. Engine 1 cleared the scene in service with no other hazards.</t>
  </si>
  <si>
    <t>FD25027419|26001475|1781716080</t>
  </si>
  <si>
    <t>26001475</t>
  </si>
  <si>
    <t>2026-06-17T17:08:00+00:00</t>
  </si>
  <si>
    <t>2026-09-11T00:02:48.998896+00:00</t>
  </si>
  <si>
    <t>E1 F1 responded to the above address for the report of a brush fire on the side of the highway. En route update provided by C9 of an approximately 30x40 ft area of brush burning off the breakdown lane, just prior to the Center Depot Rd overpass. E1 arrived to find significant smoke condition, with fire rapidly extending up the hill into the wooded area, two forestry lines of 1&amp;quot; and 1 1/8&amp;quot; diameter stretched over the guard rail and into the woods for extinguishment, approximately 400-500 feet total. Fire contained to an area of approximately 50x50 ft, overhauled using forestry rakes. Area wet down and in total approximately 1100 gallons of water were used to extinguish fully. E1 F1 returned in service with no incident or injury.6/17/2026 3:17 PM, Maldonado ****</t>
  </si>
  <si>
    <t>FD25027419|26001456|1781544780</t>
  </si>
  <si>
    <t>26001456</t>
  </si>
  <si>
    <t>2026-06-15T17:33:00+00:00</t>
  </si>
  <si>
    <t>2026-09-10T23:52:25.930383+00:00</t>
  </si>
  <si>
    <t>Received call for a reported pole on fire.  C-1 responded, requested mutual aid Engine to respond from Oxford do to personnel being tied up on an incident on T Hall Road.  On arrival found maintenance personnel from the Middle School on the driveway to the Heritage School/Cross driveway to Middle School.  Located a small grass fire at base of pole.  Fire does not appear to involve the fire at all, appears to have started from careless disposal of smoking material.   Maintenance personnel used a dry chemical extinguisher to extinguish the bulk of the fire already.  Updated Oxford engine as to our location, waited for them to arrive.  Requested Fire Alarm contact National Grid to have the pole inspected for any possible damage.  Oxford Fire E-2 arrived and wet down the area around the pole to fully extinguish the fire.  No further hazard, all units cleared in service.</t>
  </si>
  <si>
    <t>FD25027419|26001435|1781357460</t>
  </si>
  <si>
    <t>26001435</t>
  </si>
  <si>
    <t>2026-06-13T13:31:00+00:00</t>
  </si>
  <si>
    <t>2026-09-11T00:02:37.343220+00:00</t>
  </si>
  <si>
    <t>E1 dispatched to 3 Oxbow Road for reported mulch fire. Upon arrival, L-4 established command and investigated area. Upon investigation a 2 X 2 area of mulch on the D- side of convenient store parking lot was found to be smoldering. Area was overhauled and extinguished with water can. Hazard mitigated, L4 terminated command. E-1 clear and back in service. All times approximate. 6/13/2026 10:34 AM, Patient *****</t>
  </si>
  <si>
    <t>FD25027419|26001226|1779229800</t>
  </si>
  <si>
    <t>26001226</t>
  </si>
  <si>
    <t>2026-05-19T22:30:00+00:00</t>
  </si>
  <si>
    <t>2026-09-10T22:19:36.585377+00:00</t>
  </si>
  <si>
    <t>E3 dispatched to 14 E. Blood Rd for a report of a tree on fire. On arrival a lagre tree was found to be on fire along the right side of the driveway. It appeared to have been struck by lighting during the storm that had just gone through the area. There was a small area of brush burning around the area as well approx 3x3 so incident command was established and crews began assessing the area.. The tree was unstable and actively burning to the top so a chain saw was used to drop the tree and cut it into manageable size pieces for overhaul and removal from the area so we could thoroughly overhaul the ground beneath it. A length of forestry hose was deployed and the fire was extinguished. Incident command was terminated at that time and E3 cleared and returned in service.</t>
  </si>
  <si>
    <t>FD25027419|26001221|1779221220</t>
  </si>
  <si>
    <t>26001221</t>
  </si>
  <si>
    <t>2026-05-19T20:07:00+00:00</t>
  </si>
  <si>
    <t>2026-09-10T22:27:45.031930+00:00</t>
  </si>
  <si>
    <t>F1 dispatched to a small smoldering mulch fire at the above address. On scene incident command was established and crews extinguished the small fire with a booster real. The area was overhauled with a rake and no further hazard found. No obvious cause was found for the ignition source but it is beneath a few picnic table areas.Incident command was terminated and F1 cleared in service.</t>
  </si>
  <si>
    <t>FD25027419|26001102|1778003100</t>
  </si>
  <si>
    <t>26001102</t>
  </si>
  <si>
    <t>2026-05-05T17:45:00+00:00</t>
  </si>
  <si>
    <t>2026-09-10T21:36:27.904392+00:00</t>
  </si>
  <si>
    <t>E3 and F1 dispatched to the Mass Pike EB Service plaza for a reported small brush fire. On scene MSP report that they had already extinguished the small smoldering fire in the mulch outside the Mcdonalds entrance with a dry chem extinguisher and there is no active fire currently. Incident command was established and crews raked the area of mulch while applying water from F1 to ensure full extinguishment. There are several cigarette butts on the ground in the area and the fire is believed to be started from improper disposal of smoking materials. Incident command was terminated at that time and all units cleared the scene.</t>
  </si>
  <si>
    <t>FD25027419|26000930|1776187860</t>
  </si>
  <si>
    <t>26000930</t>
  </si>
  <si>
    <t>2026-04-14T17:31:00+00:00</t>
  </si>
  <si>
    <t>2026-09-10T20:22:44.038443+00:00</t>
  </si>
  <si>
    <t>Engine 3 dispatched to the above area for a reported lawn mower on fire. A3 arrived on scene first while returning from HMH and reported no active fire on the mower but there is an area of leaves burning along the edge of the roadway. On scene incident command was established and crews stretched a forestry line to suppress a smoldering fire in a windrow of leaves along the road side. The home owner reports that he was using his riding mower to blow the tall pile of leaves into a row when a passing motorist notified him of the fire and 911 was activated. The mower was evaluated on scene with several areas of melted plastic The homeowner was advised that continuing to operate the mower with compromised melted wiring near the fuel tank was not a good idea and to have the machine repaired before using it again. Crews overhauled the area of leaves and then incident command was terminated and all units cleared in service.</t>
  </si>
  <si>
    <t>FD25027419|26000910|1776022680</t>
  </si>
  <si>
    <t>26000910</t>
  </si>
  <si>
    <t>2026-04-12T19:38:00+00:00</t>
  </si>
  <si>
    <t>2026-09-10T20:41:09.177885+00:00</t>
  </si>
  <si>
    <t>Dispatched to the area of Hammond hill for a possible vehicle or brush fire called in by the fire tower. On arrival found a resident at the above address attempting to put out a brush fire with a garden hose. Cross lay pulled off of the responding engine and fire was extinguished. resident reported that they had been burning and the fire got away from him. He did not have a burn permit and was burning some 2x4s. He was advised of the rules and regulations of burning and advised him to call the fire dept if he has any further issues. All units cleared.</t>
  </si>
  <si>
    <t>FD25027419|26000805|1774912800</t>
  </si>
  <si>
    <t>26000805</t>
  </si>
  <si>
    <t>2026-03-30T23:20:00+00:00</t>
  </si>
  <si>
    <t>2026-09-10T19:56:53.588780+00:00</t>
  </si>
  <si>
    <t>HAZSIT||INVESTIGATION||SMOKE_INVESTIGATION</t>
  </si>
  <si>
    <t>A call was received on the business line from a resident in the area reporting that this address in the report was burning leaves. Engine 1 was enroute to investigate. On arrival, we could see smoke in the area and confirmed the fire to be in the back of # 31. We were met by the resident as we were proceeding to the back yard. We found a pile of leaves and yard debris raked near a small fire pit and leaves burning in the fire bit producing moderate smoke. The resident was advised on the rule and regulation of open air burning  and that leaves are not permitted. He was also advised on the rules/regulations on recreational fires and provided a pamphlet for guidance. The resident extinguished the fire and moved the pile of leaves away from the fire pit. 3/31/2026 7:04 AM, ***************</t>
  </si>
  <si>
    <t>FD25027419|26000794|1774815840</t>
  </si>
  <si>
    <t>26000794</t>
  </si>
  <si>
    <t>2026-03-29T20:24:00+00:00</t>
  </si>
  <si>
    <t>2026-09-10T19:57:00.617369+00:00</t>
  </si>
  <si>
    <t>Charlton Fire HQ received a call direct to the station from DCR 7-1 reporting an unattended outside fire at 52 Carroll Hill Rd. E1 responded and incident command was established on scene. Crews found 4 small piles of leaves and brush smoldering with DCR 7-1 on scene already overhauling the area with a rake. The garden hose from the home was used to extinguish the remaining hot spots and the homeowner came outside reporting that he had thought he had extinguished the fires completely before going in to shower. The homeowner was advised of the open burning rules and regulations and was provided a copy of MGL 48 from 7-1. Incident command was terminated at that time and E1 cleared the scene in service.</t>
  </si>
  <si>
    <t>FD25027451|26-0001466_639206192316209310|1785014718</t>
  </si>
  <si>
    <t>26-0001466_639206192316209310</t>
  </si>
  <si>
    <t>2026-07-25T21:25:18+00:00</t>
  </si>
  <si>
    <t>2026-07-25T23:33:56.653604+00:00</t>
  </si>
  <si>
    <t>Extinguished *****</t>
  </si>
  <si>
    <t>FD25027451|26-0001386_639197124018009001|1784113082</t>
  </si>
  <si>
    <t>26-0001386_639197124018009001</t>
  </si>
  <si>
    <t>2026-07-15T10:58:02+00:00</t>
  </si>
  <si>
    <t>2026-07-15T11:40:03.470725+00:00</t>
  </si>
  <si>
    <t>Box alarm transmitted for a brush fire, I290 WB between Solomon Pond &amp;amp; Church Sts.  Car 3/E3/Sq4 responded and covered the area from 495 &amp;gt; 140 and nothing was found.  C5</t>
  </si>
  <si>
    <t>FD25027451|26-0001178_639173790617060923|1781780520</t>
  </si>
  <si>
    <t>26-0001178_639173790617060923</t>
  </si>
  <si>
    <t>2026-06-18T11:02:00+00:00</t>
  </si>
  <si>
    <t>2026-09-10T23:52:08.867046+00:00</t>
  </si>
  <si>
    <t>Extinguish smoldering mulch fire.</t>
  </si>
  <si>
    <t>FD25027451|26-0001140_639169766689630526|1781377768</t>
  </si>
  <si>
    <t>26-0001140_639169766689630526</t>
  </si>
  <si>
    <t>2026-06-13T19:09:28+00:00</t>
  </si>
  <si>
    <t>2026-09-10T23:27:18.896393+00:00</t>
  </si>
  <si>
    <t>Resident came in to FHQ to report smoldering mulch around his pool area after burning away poison ivy yesterday. He stated the area was away from any structures.  Sq4 responded and wet down a small area of smoldering mulch with approx. 150 gallons of water. The resident was advised to put a sprinkler over the entire area for the next few hours to ensure deep penetration into the under soil.  *********** 17 Fay Lane ************  Sq4 cleared C5</t>
  </si>
  <si>
    <t>FD25027451|26-0000855_639135312320552651|1777922179</t>
  </si>
  <si>
    <t>26-0000855_639135312320552651</t>
  </si>
  <si>
    <t>2026-05-04T19:16:19+00:00</t>
  </si>
  <si>
    <t>2026-09-10T21:18:14.392098+00:00</t>
  </si>
  <si>
    <t>Dispatched back to area of mulch fire for reported larger brush fire.SQ4 arrived without incident to find small brush fire in woods below area from previous fire contents mostly grass and leaf clippings that were pile on hill.. Box alarm requested due to size and difficult location requiring additional resources.E3 responded . Area was wet down and fire extinguished and raked area and continued to wet down area. After overhaul all units cleared without incident.  027,012,059,015,and036 1 HR IOT</t>
  </si>
  <si>
    <t>FD25027451|26-0000854_639135229227591309|1777920532</t>
  </si>
  <si>
    <t>26-0000854_639135229227591309</t>
  </si>
  <si>
    <t>2026-05-04T18:48:52+00:00</t>
  </si>
  <si>
    <t>2026-09-10T21:11:02.343846+00:00</t>
  </si>
  <si>
    <t>Dispatched for a report of mulch fire in parking area at above location. Sq4 dispatched without incident. Arrived to find mulch bed on perimeter of parking lot approximately 2ft X 20 under wood rail smoldering and smoking. No visible fire at this time area was wet down and raked with hand tools. Area wet down a second time all smoldering embers and smoke have been extinguished. After quick inspection it was noted someone had attempted to put fire out prior with dry chem extinguisher. All units clear .</t>
  </si>
  <si>
    <t>FD25027451|26-0000688_639113629237290982|1775762166</t>
  </si>
  <si>
    <t>26-0000688_639113629237290982</t>
  </si>
  <si>
    <t>2026-04-09T19:16:06+00:00</t>
  </si>
  <si>
    <t>2026-09-10T20:12:58.469956+00:00</t>
  </si>
  <si>
    <t>Received call from dispatched for a reported mulch fire at above address.  Arrived w/o incident to find an mulch bed that was covered with dry chemical powder.  RP on scene stated that they had a small mulch fire from a cigarette and they used a dry chemical fire extinguisher to extinguish it.  Area was wet down using a booster line.  Found no extension to woodline behind mulch bed.  Cleared scene w/o incident.DSP  Responsible Party: **************</t>
  </si>
  <si>
    <t>FD25027517|26-1089|1781469605</t>
  </si>
  <si>
    <t>26-1089</t>
  </si>
  <si>
    <t>2026-06-14T20:40:05+00:00</t>
  </si>
  <si>
    <t>2026-07-04T19:55:21.078972+00:00</t>
  </si>
  <si>
    <t>FIre for a Foresty unit with man power to assist with a brush fire. F1 assisted on scene</t>
  </si>
  <si>
    <t>FD25027517|26-0959|1780231905</t>
  </si>
  <si>
    <t>26-0959</t>
  </si>
  <si>
    <t>2026-05-31T12:51:45+00:00</t>
  </si>
  <si>
    <t>2026-09-10T23:00:19.239907+00:00</t>
  </si>
  <si>
    <t>Small brush fire started by downed powerline, F1 remained on scene for National Grid, extinguished fire after power was cut</t>
  </si>
  <si>
    <t>FD25027517|26-0739|1777324414</t>
  </si>
  <si>
    <t>26-0739</t>
  </si>
  <si>
    <t>2026-04-27T21:13:34+00:00</t>
  </si>
  <si>
    <t>2026-09-10T21:01:34.339559+00:00</t>
  </si>
  <si>
    <t>Engine 1 crew assisted Phillipston Fire on their brush fire. Companies clear returning in service.</t>
  </si>
  <si>
    <t>FD25027517|26-0724|1777202838</t>
  </si>
  <si>
    <t>26-0724</t>
  </si>
  <si>
    <t>2026-04-26T11:27:18+00:00</t>
  </si>
  <si>
    <t>2026-09-10T21:04:42.517114+00:00</t>
  </si>
  <si>
    <t>Extinguished a smoldering 10x10 brush pile that was left unattended. This is the same location that had a brush fire on 04/24/2026/ The burn permit was revoked and the resident was advised that they would have to schedule a meeting with the Chief in order to get it reinstated. Companies clear.</t>
  </si>
  <si>
    <t>FD25027551|2601-926-IN|1788127620</t>
  </si>
  <si>
    <t>2601-926-IN</t>
  </si>
  <si>
    <t>2026-08-30T22:07:00+00:00</t>
  </si>
  <si>
    <t>2026-09-10T16:42:36.025205+00:00</t>
  </si>
  <si>
    <t>08/31/2026 06:39:15: Dispatched for the reported small brush fire outside of a pit in the woods at the end of Fessenden Street.  Forestry 2, Forestry 1, and Car 2 respond.  Access gained through ACoE gate with small trails to access the fire site.  Camp pit is approximately 800-feet from the area where vehicles needed to stop due to small road width.   Father with three children are on site who report children being down at the pit earlier and that they located &amp;quot;aerosol deodorant and cologne&amp;quot; in the fire pit which may have been the cause of ignition.  Another individual approaches C5 reporting that they saw a child on an e-bike in the area as well.    A campfire pit with a burned area at least 50-square-foot was found near the water&amp;#x27;s edge.  Area is smoldering and fire has reached down into the roots.  At least an excess of 500-gallons of water used to soak down the area until light became a factor.  C5 determined it to be too dark to continue and will return in the morning to assess the area and check for hot spots.    All apparatus returned to quarters and were placed back into service.</t>
  </si>
  <si>
    <t>FD25027551|2601-852-IN|1786392540</t>
  </si>
  <si>
    <t>2601-852-IN</t>
  </si>
  <si>
    <t>2026-08-10T20:09:00+00:00</t>
  </si>
  <si>
    <t>2026-08-20T15:57:43.377357+00:00</t>
  </si>
  <si>
    <t>08/10/2026 17:19:05: F2, E1 dispatched to route 2E in area of mile marker 85 for possible brush fire. Upon F2 arrival fire was extinguished by MSP PTA of F2. Found approximate 8 foot strip of grass that had burned. Area was wet down by F2 tank water approx. 5 gallons used. Caused by equipment failure of a passing truck. E1 cancelled as they arrived on scene. F2 cleared in service. END (D.D.)</t>
  </si>
  <si>
    <t>FD25027551|2601-722-IN|1783219020</t>
  </si>
  <si>
    <t>2601-722-IN</t>
  </si>
  <si>
    <t>2026-07-05T02:37:00+00:00</t>
  </si>
  <si>
    <t>2026-07-30T15:59:26.456645+00:00</t>
  </si>
  <si>
    <t>07/08/2026 08:29:40: Templeton Fire was dispatched for a reported grass fire. Dispatched stated that a passer by witnessed someone driving and lighting off fireworks. The fireworks caused a small grass fire roughly 2&amp;#x27; by 2&amp;#x27;. The fire was extinguished, but we were unable to get any info on the person who was lighting the fireworks.</t>
  </si>
  <si>
    <t>FD25027551|2601-655-IN|1781803140</t>
  </si>
  <si>
    <t>2601-655-IN</t>
  </si>
  <si>
    <t>2026-06-18T17:19:00+00:00</t>
  </si>
  <si>
    <t>2026-09-11T00:10:52.877090+00:00</t>
  </si>
  <si>
    <t>06/18/2026 14:39:02: Possible illegal burn called into fire alarm from off duty firefighter at Graves Concrete towards the back. Upon arrival found employees burning brush in sand area of the facility. Staff member stated he was shocked that we were not called this morning when the fire was started. Staff member was advised of the open burning laws and asked to extinguish the fire. Staff member stated the owner had just sent him a message to let the fire die down but he will extinguish it from the water tank on the cement mixer. Staff member extinguished the fire and E3 cleared in service. END (D.D.)</t>
  </si>
  <si>
    <t>FD25027551|2601-468-IN|1777476720</t>
  </si>
  <si>
    <t>2601-468-IN</t>
  </si>
  <si>
    <t>2026-04-29T15:32:00+00:00</t>
  </si>
  <si>
    <t>2026-09-10T21:25:15.820982+00:00</t>
  </si>
  <si>
    <t>04/29/2026 14:34:23: Mutual aid to Phillipston for the active brush fire. Provided water, assisted with suppression and salvage/overhaul.</t>
  </si>
  <si>
    <t>FD25027551|2601-458-IN|1777323960</t>
  </si>
  <si>
    <t>2601-458-IN</t>
  </si>
  <si>
    <t>2026-04-27T21:06:00+00:00</t>
  </si>
  <si>
    <t>2026-09-10T21:13:22.579042+00:00</t>
  </si>
  <si>
    <t>04/29/2026 07:55:24: Templeton Fire received a direct call in regards to smoke in the area of Baldwin Drive. Upon investigation it was found that a party at 48 Old Winchendon rd had an illegal contained brush fire. This address is behind Baldwin Drive. The property owner was burning brush in a fire pit. He was advised of the open burning laws and told to let the fire go out and not put any more material on it.</t>
  </si>
  <si>
    <t>FD25027551|2601-457-IN|1777323660</t>
  </si>
  <si>
    <t>2601-457-IN</t>
  </si>
  <si>
    <t>2026-04-27T21:01:00+00:00</t>
  </si>
  <si>
    <t>2026-09-10T21:17:35.510342+00:00</t>
  </si>
  <si>
    <t>04/30/2026 08:56:37: TFD dispatched mutual aid to 320 Baldwin Hill Rd for 2nd alarm brush fire. Tanker 1 and Forestry 1 responded. Tanker 1 used approx 1,500 gallons of water and Forestry 1 provided manpower. All units returned in service. END (D.D.)</t>
  </si>
  <si>
    <t>FD25027551|2601-397-IN|1776010740</t>
  </si>
  <si>
    <t>2601-397-IN</t>
  </si>
  <si>
    <t>2026-04-12T16:19:00+00:00</t>
  </si>
  <si>
    <t>2026-09-10T20:32:55.192714+00:00</t>
  </si>
  <si>
    <t>04/16/2026 09:54:41: While at the scene of a brush fire fire a possible illegal burn was noticed. When the primary scene was under control I went over to investigate the other fire. I found an illegal fire. The property owner was advised of the burning laws and was told to put his fire out, which he did do without incident.</t>
  </si>
  <si>
    <t>FD25027551|2601-396-IN|1776008940</t>
  </si>
  <si>
    <t>2601-396-IN</t>
  </si>
  <si>
    <t>2026-04-12T15:49:00+00:00</t>
  </si>
  <si>
    <t>2026-09-10T20:32:59.638002+00:00</t>
  </si>
  <si>
    <t>04/12/2026 16:55:43: TFD dispatched to 20 Turner St. for reported out of control permit fire. Upon arrival found approx. 1/2 acre of grass and vegetation on fire with the property owner attempting to put it out. F2 deployed both reel lines around the perimeter of the fire while Tanker 1 supplied water. Car 2 arrived providing manpower. Approx. 500gallons of water was used to extinguish the fire. All crew made up and returned to service. END (D.D.)</t>
  </si>
  <si>
    <t>FD25027551|2601-383-IN|1775770260</t>
  </si>
  <si>
    <t>2601-383-IN</t>
  </si>
  <si>
    <t>2026-04-09T21:31:00+00:00</t>
  </si>
  <si>
    <t>2026-09-10T20:28:14.086656+00:00</t>
  </si>
  <si>
    <t>04/10/2026 00:17:29: 29T1 responded mutual aid for brush fire. 29T1 provided 2,000 gallons of water to 39E1. 29T1 cleared in service. END (D.D.)</t>
  </si>
  <si>
    <t>FD25027551|2601-65-IN|1768485360</t>
  </si>
  <si>
    <t>2601-65-IN</t>
  </si>
  <si>
    <t>2026-01-15T13:56:00+00:00</t>
  </si>
  <si>
    <t>2026-09-10T15:57:43.067312+00:00</t>
  </si>
  <si>
    <t>01/15/2026 09:54:21: TFD received direct call of a large outside fire near Patriots Package Store. Upon arrival found large brush pile burning. Homeowner on scene and stated he had activated his permit. Homeowner advised of open burning laws and that fire could not be lit until 1000. Homeowner did not have a water source established so brush fire was extinguished using tank water from F2. Used approximately 1/4 tank of water used. F2 cleared in service. END (D.D.)</t>
  </si>
  <si>
    <t>FD25027605|26-10131_639200952640242569|1784286389</t>
  </si>
  <si>
    <t>26-10131_639200952640242569</t>
  </si>
  <si>
    <t>2026-07-17T11:06:29+00:00</t>
  </si>
  <si>
    <t>2026-07-19T22:01:10.124451+00:00</t>
  </si>
  <si>
    <t>2F4, 2B1, 2C1, Gardner Fire Responded to 150 Camp Collier Rd to extinguish hotspots from the night before where approximately 0.5 Acres or less of dry surface level vegetation burned. Companies Extinguished hotspots and deemed the fire under control. Companies cleared and returned in service. No injuries reported.</t>
  </si>
  <si>
    <t>FD25027605|26-10086_639199357829508728|1784239845</t>
  </si>
  <si>
    <t>26-10086_639199357829508728</t>
  </si>
  <si>
    <t>2026-07-16T22:10:45+00:00</t>
  </si>
  <si>
    <t>2026-07-18T01:43:06.039681+00:00</t>
  </si>
  <si>
    <t>2F4, Boat1, Medic 1, Requested by ******* to Assist on a Brush Fire on an island of Camp Collier. Companies responded, and made way to the island via a Civilian Boat where we determined the Fire to be in Ashburnham. The Fire was approximately 0.5 Acres or less of dry vegitation burning on the south side of the island. Companies were assisted by ******* FD and Westminster FD on fire suppression and overhaul. Once all suppression and overhaul activities were completed all companies were removed from the island by boat. Companies made up and returned in service to there respective towns. No injuries reported.</t>
  </si>
  <si>
    <t>FD25027605|26-5508_639128324973637066|1777202920</t>
  </si>
  <si>
    <t>26-5508_639128324973637066</t>
  </si>
  <si>
    <t>2026-04-26T11:28:40+00:00</t>
  </si>
  <si>
    <t>2026-09-10T20:58:30.039352+00:00</t>
  </si>
  <si>
    <t>FD requested to the above address for brush fire. Fire alarm updated with Railroad company called it in station approx. 1 acre burning off the side of railroad tracks between Overlook Middle School and Gardner Rd. No exact location was given. FD had no visible smoke showing from Overlook Middle School or end of Murray Rd. Railroad was shut down and UTV R3 was used to scout down railroad tracks. Crew found Brush fire and smoke conditions appox 4 miles down the tracks from Gardner Rd. GPS shows in the Town of Westminster. Westminster FD is notified and forestry 4 with manpower made it way down the tracks to the fire scene. Westminster FD crews came in from Whitmanville Rd side in their town. Approx 0.5 acres is smothering with mostly black ground conditions. Brush fire mostly self extinguished. Crews used tank water on UTV, 2F4, and 32F1 to hit hot spots and cut trees with chainsaws until the ground was completely overhauled. On scene approx 1.5 hours with overhaul. CSX rep met on the tracks and advised would call to have railroad back into service. Brush fire was in Town of Westminster and 32C1 DC Bean was in command of incident. All units packed up and cleared the scene. END MW</t>
  </si>
  <si>
    <t>FD25027605|26-4658_639115911810534811|1775938431</t>
  </si>
  <si>
    <t>26-4658_639115911810534811</t>
  </si>
  <si>
    <t>2026-04-11T20:13:51+00:00</t>
  </si>
  <si>
    <t>2026-09-10T20:19:03.825924+00:00</t>
  </si>
  <si>
    <t>2F4,2E3, 2C1, Responded. Fire determined to be a small fire along the railroad ties approximately 10 ties involved. The fire was extinguished. Companies returned</t>
  </si>
  <si>
    <t>FD25027605|26-4598_639113791194127048|1775770499</t>
  </si>
  <si>
    <t>26-4598_639113791194127048</t>
  </si>
  <si>
    <t>2026-04-09T21:34:59+00:00</t>
  </si>
  <si>
    <t>2026-09-10T20:13:45.232928+00:00</t>
  </si>
  <si>
    <t>FD requested to the Town of Winchendon for brush fire approx. 1 acre of burning brush and forest behind a single story dwelling. Engine 3 crew made way into woods and performed overhaul of the area. Engine 3 then provided tank water 3000 gallons to 39E3 and used front bumper line to wet down 1/2 acre of burned area. Area was overhauled and command cleared Engine 3 crew, Engine 3 returned out of service for water. END MW</t>
  </si>
  <si>
    <t>FD25027605|26-4588_639113638265208285|1775761080</t>
  </si>
  <si>
    <t>26-4588_639113638265208285</t>
  </si>
  <si>
    <t>2026-04-09T18:58:00+00:00</t>
  </si>
  <si>
    <t>2026-09-10T20:04:29.401904+00:00</t>
  </si>
  <si>
    <t>MEDICAL||ILLNESS||BREATHING_PROBLEMS</t>
  </si>
  <si>
    <t>FD requested to above address for Brush fire. OUA contained fire 5ftx5ft was taken by the wind and caught approx. an area 10ft x 10ft on fire into the woods, but was contained by the homeowner with a hose prior to FD arrival. FD overhauled briefly and extinguished all remained contained fire. 1 Homeowner was evaluated by paramedics for smoke inhalation and signed a PT refusal AMA. All units cleared and returned in service. END MW</t>
  </si>
  <si>
    <t>FD25027605|26-4045_639104954720774658|1774887443</t>
  </si>
  <si>
    <t>26-4045_639104954720774658</t>
  </si>
  <si>
    <t>2026-03-30T16:17:23+00:00</t>
  </si>
  <si>
    <t>2026-09-10T19:28:42.842973+00:00</t>
  </si>
  <si>
    <t>FD dispatched to the above address for reported brush fire. OUA 30ft x 30ft area of dry grass burning out of control. Home owners were burning a controlled burn when wind and dry conditions caused fire to jump to surrounding dry grass and became unattainable for the home owners to contain. 2F4 stretched a forestry line and used tank water approx. 275 gallons and was able to contain fire from all sides. Fire was overhauled with rakes and hot spots were extinguished with water. x2 home owners were treated medically by Ashburnham Rescue 2 (REF: 26-281) and Winchendon FD 39A1 (REF: 26-280). Two separate NERIS reports for those calls. Units picked up and all units cleared the scene in service. END MW</t>
  </si>
  <si>
    <t>FD25027606|26-12101_639178619425831765|1782246242</t>
  </si>
  <si>
    <t>26-12101_639178619425831765</t>
  </si>
  <si>
    <t>2026-06-23T20:24:02+00:00</t>
  </si>
  <si>
    <t>2026-09-11T00:06:49.672720+00:00</t>
  </si>
  <si>
    <t>Brush 2 responded to above address for tree resting on wires and smoking. The tree was located between poles 2 and 3. The tree was smoking for  several minutes, National grid was called to respond out to remove the tree from the line. The branch burned  through and was no longer making contact with the line. No longer smoking. No hazard national grid arrived and brush 2 cleared</t>
  </si>
  <si>
    <t>FD25027606|26-11335_639169783819334908|1781353965</t>
  </si>
  <si>
    <t>26-11335_639169783819334908</t>
  </si>
  <si>
    <t>2026-06-13T12:32:45+00:00</t>
  </si>
  <si>
    <t>2026-09-10T23:29:52.108601+00:00</t>
  </si>
  <si>
    <t>B2 dispatched by SFA lights/siren to the parking lot of 120 Charlton Rd for the reported mulch fire. No update en route. U/A small patch of mulch (9x6 feet) smoldering, no obvious cause, C7 has command stretching forestry line. Weather of day is dry sunny temps 73 degrees 58% relative humidity, class 3 fire weather. Area wet down and overhauled w/ 80 gallons water. No further hazards, B2 clear returning. End report JJB.</t>
  </si>
  <si>
    <t>FD25027606|26-9835_639154775415679695|1779820260</t>
  </si>
  <si>
    <t>26-9835_639154775415679695</t>
  </si>
  <si>
    <t>2026-05-26T18:31:00+00:00</t>
  </si>
  <si>
    <t>2026-09-10T22:35:55.916936+00:00</t>
  </si>
  <si>
    <t>FIRE||TRANSPORTATION_FIRE||VEHICLE_FIRE_PASSENGER</t>
  </si>
  <si>
    <t>R1, C1, E1, B2 dispatched by SFA lights/siren to I90 W at MM 77 for the reported car fire. Update en route fire spreading to brush on side of road. Requested Brimfield to send a tanker for assistance. R1 en route from I84 W, E1 and B2 responding from the station w/ call-back personnel.  U/A w/ MSP found single vehicle in the breakdown lane completely engulfed w/ exposure to the brush adjacent spreading up the hill as well as east and west of incident. C7 has command, stretching a 1 3/4 attack line from R1 for fire extinguishment. No victims, everyone had vacated the vehicle. Negative hazmat. Brimfield Car 1 arrived on scene. C1 arrived on scene. E1 arrived on scene and fed R1. B2 arrived on scene and began attacking brush fire. E1 fed B2.  Brimfield Tanker arrived on scene and staged. Car fire completely extinguished and overhauled, brush fire completely extinguished and overhauled.  Area of brush fire is less then 1 acre. No injuries reported, no further hazards. Control of scene turned over to MSP. All fire units clear returning. End report JJB.</t>
  </si>
  <si>
    <t>FD25027606|26-7939_639136785320057394|1778000233</t>
  </si>
  <si>
    <t>26-7939_639136785320057394</t>
  </si>
  <si>
    <t>2026-05-05T16:57:13+00:00</t>
  </si>
  <si>
    <t>2026-09-10T21:17:18.097934+00:00</t>
  </si>
  <si>
    <t>Dispatched emergency via still alarm, fire response requested to 110 Charlton Rd in the area of the Stop &amp;amp; Shop for a reported mulch bed fire. Brush-2 responded. Arrived on scene to find a small smoldering mulch fire in the flower bed next to the main road approximately 1&amp;#x27; x 3&amp;#x27; in size. The fire was extinguished W/ approximately 3 gallons of water and overhauled W/O incident. Brush-2 clear and returning. EOR --C8 M. Bonneau--</t>
  </si>
  <si>
    <t>FD25027606|26-7855_639135360924988866|1777904780</t>
  </si>
  <si>
    <t>26-7855_639135360924988866</t>
  </si>
  <si>
    <t>2026-05-04T14:26:20+00:00</t>
  </si>
  <si>
    <t>2026-09-10T21:18:20.073628+00:00</t>
  </si>
  <si>
    <t>3rd Alarm brush fire at 123 Brimfield Rd in Warren. Brush 1 responded with crew of 3. Assisted with pump cans and hand tools</t>
  </si>
  <si>
    <t>FD25027606|26-6269_639116752514375232|1776021480</t>
  </si>
  <si>
    <t>26-6269_639116752514375232</t>
  </si>
  <si>
    <t>2026-04-12T19:18:00+00:00</t>
  </si>
  <si>
    <t>2026-09-10T20:06:03.562995+00:00</t>
  </si>
  <si>
    <t>Dispatched for an extinguished deck fire. On arrival, nothing showing. Investigated to find that they had started the fire pit which had caused burning leaves and surface vegetation to travel outside the fire pit, causing a small grass fire that traveled under the deck which the homeowner extinguished. No structural involvement to the deck or the house. Tower canceled. FD wet down the area further and pulled the leaves and other combustible material from under the deck to ensure no spread. E2 clear.</t>
  </si>
  <si>
    <t>FD25027621|26RU-1208-IN|1786468712</t>
  </si>
  <si>
    <t>7fc9f188-0e26-4df3-85c4-14087229f852</t>
  </si>
  <si>
    <t>2026-08-11T17:18:32+00:00</t>
  </si>
  <si>
    <t>2026-09-11T01:41:55.324184+00:00</t>
  </si>
  <si>
    <t>Dispatched to the town of Oakham on the auto aid, for the brush fire.  Car1 responded and arrived on scene, to find a lawn mower fire that had been extinguished with a very small grass fire as well, Barre E4 finished extinguishing the Fire.  Units cleared and returned.   27W4</t>
  </si>
  <si>
    <t>FD25027621|26RU-662-IN|1777413173</t>
  </si>
  <si>
    <t>6b5a84ee-9284-4611-82ff-e01887b541cd</t>
  </si>
  <si>
    <t>2026-04-28T21:52:53+00:00</t>
  </si>
  <si>
    <t>2026-09-10T19:54:50.901519+00:00</t>
  </si>
  <si>
    <t>Dispatched for a vehicle off the road. On duty units and car 2 responding from training in Holden. While en route, advised from dispatch that there was now a small brush fire caused by the vehicle, a bystander had stopped and used a dry chem extinguisher on the fire. On arrival of Car 2, reported single vehicle off the road, occupants out and a small fire under the vehicle. A2 arrived on scene and assessed the pt and obtained one signed refusal. E2 arrived on scene and used a water can and fully extinguished the fire under the vehicle. Fire was caused by hot exhaust on dry leaves. No apparent fire damage to the vehicle. Car 2 transferred command to E2 and they remained on scene for the tow. OICC2</t>
  </si>
  <si>
    <t>FD25027621|26RU-591-IN|1776018075</t>
  </si>
  <si>
    <t>fa09e832-8e08-42cd-8dfc-41d4906c109f</t>
  </si>
  <si>
    <t>2026-04-12T18:21:15+00:00</t>
  </si>
  <si>
    <t>2026-09-10T20:18:22.532444+00:00</t>
  </si>
  <si>
    <t>Dispatched to Barre for a structure fire. Updated en route that it was a brush fire and shed that was on fire.  27 car 2 was operations for the incident. 27E1 was placed at neighbors house to stop the fire spread from reaching residence. Crews operated 2 hand lines on scene. Units released by command.  OICW3</t>
  </si>
  <si>
    <t>FD25027621|26RU-554-IN|1775501818</t>
  </si>
  <si>
    <t>af55f79d-83c1-49a8-8a9e-cfb2ab23a966</t>
  </si>
  <si>
    <t>2026-04-06T18:56:58+00:00</t>
  </si>
  <si>
    <t>2026-09-10T20:07:36.438884+00:00</t>
  </si>
  <si>
    <t>Dispatched auto aid to Barre for an out of control permit fire. Canceled prior to arrival by 5C  OICW3</t>
  </si>
  <si>
    <t>FD25027661|26-67950_639238809949035570|1787602265</t>
  </si>
  <si>
    <t>26-67950_639238809949035570</t>
  </si>
  <si>
    <t>2026-08-24T20:11:05+00:00</t>
  </si>
  <si>
    <t>2026-09-01T17:36:39.084999+00:00</t>
  </si>
  <si>
    <t>FD25027661|26-65522_639234573915551060|1786903396</t>
  </si>
  <si>
    <t>26-65522_639234573915551060</t>
  </si>
  <si>
    <t>2026-08-16T18:03:16+00:00</t>
  </si>
  <si>
    <t>2026-08-27T19:56:33.256625+00:00</t>
  </si>
  <si>
    <t>FD25027661|26-59311_639233710218677358|1785148808</t>
  </si>
  <si>
    <t>26-59311_639233710218677358</t>
  </si>
  <si>
    <t>2026-07-27T10:40:08+00:00</t>
  </si>
  <si>
    <t>2026-08-26T19:57:07.157067+00:00</t>
  </si>
  <si>
    <t>FD25027661|26-52923_639217356614144247|1783249866</t>
  </si>
  <si>
    <t>26-52923_639217356614144247</t>
  </si>
  <si>
    <t>2026-07-05T11:11:06+00:00</t>
  </si>
  <si>
    <t>2026-09-11T01:22:09.464510+00:00</t>
  </si>
  <si>
    <t>FD25027661|26-2633_639186184762293814|1778012013</t>
  </si>
  <si>
    <t>26-2633_639186184762293814</t>
  </si>
  <si>
    <t>2026-05-05T20:13:33+00:00</t>
  </si>
  <si>
    <t>2026-09-11T00:46:34.107284+00:00</t>
  </si>
  <si>
    <t>FD25027661|26-2554_639186202239205026|1777668782</t>
  </si>
  <si>
    <t>26-2554_639186202239205026</t>
  </si>
  <si>
    <t>2026-05-01T20:53:02+00:00</t>
  </si>
  <si>
    <t>2026-09-11T00:45:47.681725+00:00</t>
  </si>
  <si>
    <t>FD25027669|26-43946_639162146420449840|1780572965</t>
  </si>
  <si>
    <t>26-43946_639162146420449840</t>
  </si>
  <si>
    <t>2026-06-04T11:36:05+00:00</t>
  </si>
  <si>
    <t>2026-09-10T22:56:42.847726+00:00</t>
  </si>
  <si>
    <t>Engine 4 responded to 4 Ryans Way for a report of a mulch fire smoldering. Upon arrival E6 found a small 1ft by 1ft area smoldering at the base of a tree in the parking lot. Engine 4 extinguished and overhauled the area. Engine 6 returned to quarters, in service.</t>
  </si>
  <si>
    <t>FD25027669|26RCF-3_639110878230304860|1773586680</t>
  </si>
  <si>
    <t>26RCF-3_639110878230304860</t>
  </si>
  <si>
    <t>2026-03-15T14:58:00+00:00</t>
  </si>
  <si>
    <t>2026-09-10T19:58:09.209862+00:00</t>
  </si>
  <si>
    <t>While conducting small arms training several independent small fires were set by tracer fire. Fire was contained to the Dudded impact area of Range D. Range Control personnel respond and extinguish the fires. Fire was contained to 3 acres in size. All fires are out and extinguished by 11:45.</t>
  </si>
  <si>
    <t>FD25027671|26-47016_639173256011956626|1781453892</t>
  </si>
  <si>
    <t>26-47016_639173256011956626</t>
  </si>
  <si>
    <t>2026-06-14T16:18:12+00:00</t>
  </si>
  <si>
    <t>2026-09-10T23:45:56.976491+00:00</t>
  </si>
  <si>
    <t>FIRE||OUTSIDE_FIRE||WILDFIRE_URBAN_INTERFACE</t>
  </si>
  <si>
    <t>Berlin EMS was toned for a possible Brush fire at 11 Gates Pond Road. Berlin A2 was in the area already and was about to call it in. A2 was first on scene and found a 10x 30 foot area of leaves on fire. Crews used the homeowners garden hose to start attacking the fire. F1 responded with in minute of tones dropping from the station. On f1 arrival two hand lines were pulled from the truck. A tone for manpower was request and Hudson Engine was requested. Hudon Engine and forestry arrived on scene for manpower and feed F1 water. Area was wet down/ Over hauled and source was found to be left over ashes from a cooking fire the night before.  All units cleared in service</t>
  </si>
  <si>
    <t>FD25027671|26-42088_639189670513445766|1780002862</t>
  </si>
  <si>
    <t>26-42088_639189670513445766</t>
  </si>
  <si>
    <t>2026-05-28T21:14:22+00:00</t>
  </si>
  <si>
    <t>2026-07-06T20:37:37.354837+00:00</t>
  </si>
  <si>
    <t>Responded for a bark mulch fire. On arrival we found an area of mulch burring near the traffic circle by Qudoba Restaurant. Forestry 1 was order to stretch a line to extinguish. Tanker 1 was assigned to stage in the traffic circle and provide manpower.   Water was applied with crew creating a fire line to overturn the mulch and materials burning. A cigarette butt was noted in the material and the likely cause. A2 arrived and was assigned to assist with manpower. After flowing 100 gallons of water and overhauling the area, fire was determined to be out.   Companies returned to service and cleared the scene.</t>
  </si>
  <si>
    <t>FD25027671|26-39326_639149040311804952|1779227226</t>
  </si>
  <si>
    <t>26-39326_639149040311804952</t>
  </si>
  <si>
    <t>2026-05-19T21:47:06+00:00</t>
  </si>
  <si>
    <t>2026-09-10T22:03:00.860375+00:00</t>
  </si>
  <si>
    <t>Dispatched with Bolton for the reported brush fire. Bolton Fire arrived on scene first and canceled Berlin. Companies clear without incident.</t>
  </si>
  <si>
    <t>FD25027671|26-38613_639153303606365847|1779038992</t>
  </si>
  <si>
    <t>26-38613_639153303606365847</t>
  </si>
  <si>
    <t>2026-05-17T17:29:52+00:00</t>
  </si>
  <si>
    <t>2026-09-10T22:18:02.838898+00:00</t>
  </si>
  <si>
    <t>Berlin F1 dispatched to 44 highland commands Berlin Ma for reports of a mulch fire. Upon arrival mulch was smoldering with light smoke, F1 extinguished fire and dampened surrounding mulch. F1 cleared.</t>
  </si>
  <si>
    <t>FD25027671|26-37021_639144501027165016|1778586381</t>
  </si>
  <si>
    <t>26-37021_639144501027165016</t>
  </si>
  <si>
    <t>2026-05-12T11:46:21+00:00</t>
  </si>
  <si>
    <t>2026-09-10T21:57:53.158911+00:00</t>
  </si>
  <si>
    <t>Berlin Fire Dispatched to the area of 154 River Rd W Berlin Ma for reports of a small brush fire off the embankment of the side of the road. Multiple fire apparatuses investigated River Rd W and was unable to find smoke/fire. All apparatus cleared back to quarters.</t>
  </si>
  <si>
    <t>FD25027671|26-35161_639136922112894762|1778007508</t>
  </si>
  <si>
    <t>26-35161_639136922112894762</t>
  </si>
  <si>
    <t>2026-05-05T18:58:28+00:00</t>
  </si>
  <si>
    <t>2026-09-10T21:31:52.147936+00:00</t>
  </si>
  <si>
    <t>Responded for a mutual aid request for a brush fire in the town of Lancaster. Engine 3 responded as a tanker to the scene because Tanker 1 was out of service. Command requested that Engine 3 pick up class A foam at Lancaster Fire Headquarters on the way to the scene. 6C arrived and checked in with command. Command was requesting that manpower relieve crews that had been working since the start of the fire. 6C directed firefighters into the woods and had crews relieved and sent to rehab.  Engine 3 arrived in the operations area and was split into two (2) two (2) man teams to man hose lines and hit stumps and snags that were burning. Crews working for 1.5 hours wetting the area down, and using rakes and sholes to overturn hot spots, open stumps and logs to complete extinguishment. All hose picked up and carried out upon leaving the woods. 6C and Engine 3 in service.</t>
  </si>
  <si>
    <t>FD25027671|26-34851_639136934412381041|1777915563</t>
  </si>
  <si>
    <t>26-34851_639136934412381041</t>
  </si>
  <si>
    <t>2026-05-04T17:26:03+00:00</t>
  </si>
  <si>
    <t>2026-09-10T21:18:27.979037+00:00</t>
  </si>
  <si>
    <t>Arrived to find a bark mulch fire against the building and spreading toward the dumpster and the parking area. Engine 3 was instructed to pull an attack line from the roadway and Forestry 1 was instructed to take the drive thru for Citizens Bank. Engine 3 flowed water and began wetting the area down stop the spread of the fire. Engine 3 utilized hand tools ot overturn the bark mulch. Forestry 1 used a 1&amp;#x27; forestry line and began applying water and using hand tools to extinguish the fire. Engine 3 made entry to Citizens Bank to use a thermal imaging camera to ensure that no extension into the building had occurred. No extension or heat signatures noted. Engine 1 held at the hydrant to stand by while their crew assisted in extinguishment.   Command was terminated with fire out, 900 gallons of water utilized for extinguishment. All units in service. Several cigarette butts were found in the bark mulch that started the fire.</t>
  </si>
  <si>
    <t>FD25027696|26-248|1783884181</t>
  </si>
  <si>
    <t>26-248</t>
  </si>
  <si>
    <t>2026-07-12T19:23:01+00:00</t>
  </si>
  <si>
    <t>2026-07-31T08:04:08.070337+00:00</t>
  </si>
  <si>
    <t>: Dispatched to the area of the above address for a brush fire on the side of the road. F1 responded and was updated that a passing motorist put the fire out. F1 arrived in the area and investigated. F1 found a 3&amp;#x27; by 3&amp;#x27; burnt area still smoldering. F1 completely extinguished the fire with take water. Fire caused by unknown origin. F1 cleared.</t>
  </si>
  <si>
    <t>FD25027696|26-138|1775756948</t>
  </si>
  <si>
    <t>26-138</t>
  </si>
  <si>
    <t>2026-04-09T17:49:08+00:00</t>
  </si>
  <si>
    <t>2026-09-11T00:23:32.189030+00:00</t>
  </si>
  <si>
    <t>: Dispatched to the above address for a brush fire on the side of the road. F1, E2 responded. F1 arrived to a fully extinguished fire. A resident at the nearest house extinguished the fire with a hose prior to our arrival. F1 cleared.</t>
  </si>
  <si>
    <t>FD25027743|2026001367|1779046440</t>
  </si>
  <si>
    <t>2026001367</t>
  </si>
  <si>
    <t>2026-05-17T19:34:00+00:00</t>
  </si>
  <si>
    <t>2026-09-10T22:13:31.363845+00:00</t>
  </si>
  <si>
    <t>On 05/17/2026 at 15:34:00 a response was needed for Vegetation / Grass Fire at CHURCH ST.    The following actions were taken at the scene: Salvage And Overhaul  Suppression: Outside Fire Suppression, Fire Control / Extinguishment  Plummers landing for approximately 50&amp;#x27;x15&amp;#x27; of woods brush burning. fully extinguished and overhauled.</t>
  </si>
  <si>
    <t>FD25027743|2026001304|1778450460</t>
  </si>
  <si>
    <t>2026001304</t>
  </si>
  <si>
    <t>2026-05-10T22:01:00+00:00</t>
  </si>
  <si>
    <t>2026-09-10T21:41:01.635143+00:00</t>
  </si>
  <si>
    <t>Call was for a reported building fire. E3 arrived on scene to find a contained outside fire in the rear of the residence with no hose near the fire. Homeowner was advised to extinguish the fire with a garden hose. Homeowner was advised of the rules regarding open burning. E3 clear.     *************.</t>
  </si>
  <si>
    <t>FD25027743|2026001212|1777487820</t>
  </si>
  <si>
    <t>2026001212</t>
  </si>
  <si>
    <t>2026-04-29T18:37:00+00:00</t>
  </si>
  <si>
    <t>2026-09-10T20:41:27.879222+00:00</t>
  </si>
  <si>
    <t>On 04/29/2026 at 14:37:00 a response was needed for Vegetation / Grass Fire at 92 COOPER RD.    The following actions were taken at the scene: Suppression: Outside Fire Suppression, Fire Control / Extinguishment. Dispatched to 92 Cooper Road for a brush fire. Crews on scene found an out of control brush fire approx. 0.5 acres origin from non-permitted fire. Fire extnguished from combined tank water of Engine 8 and Engine 3.    Owner: **************** ************</t>
  </si>
  <si>
    <t>FD25027743|2026001199|1777394160</t>
  </si>
  <si>
    <t>2026001199</t>
  </si>
  <si>
    <t>2026-04-28T16:36:00+00:00</t>
  </si>
  <si>
    <t>2026-09-10T20:58:46.425176+00:00</t>
  </si>
  <si>
    <t>E1 responded for a reported mulch fire at Access TCA. E1 arrived on scene to find a very small area of mulch smoldering. E1 used a water can to extinguish and wet down. E1 clear.</t>
  </si>
  <si>
    <t>FD25027743|2026001177|1777227420</t>
  </si>
  <si>
    <t>2026001177</t>
  </si>
  <si>
    <t>2026-04-26T18:17:00+00:00</t>
  </si>
  <si>
    <t>2026-09-10T21:15:31.909507+00:00</t>
  </si>
  <si>
    <t>On 04/26/2026 at 14:17:00 a response was needed for Vegetation / Grass Fire at MAIN ST.    The following actions were taken at the scene: Suppression: Outside Fire Suppression, Fire Control / Extinguishment</t>
  </si>
  <si>
    <t>FD25027751|26-0073|1777395120</t>
  </si>
  <si>
    <t>26-0073</t>
  </si>
  <si>
    <t>2026-04-28T16:52:00+00:00</t>
  </si>
  <si>
    <t>2026-09-10T21:21:17.398586+00:00</t>
  </si>
  <si>
    <t>On April 28, 2026 at</t>
  </si>
  <si>
    <t>FD25027761|26-00799|1782079699</t>
  </si>
  <si>
    <t>26-00799</t>
  </si>
  <si>
    <t>2026-06-21T22:08:19+00:00</t>
  </si>
  <si>
    <t>2026-09-11T00:05:03.391325+00:00</t>
  </si>
  <si>
    <t>06/21/2026 21:16:45: Webster Fire was dispatched to 48 Hartley Street for an outside fire, reporting party reporting a lot of smoke from an outside fire. Engine 4 was already on a call and requested a first alarm assignment to respond to Hartley St. Webster Police was also requested to get eyes on the fire. Webster Police was the first ones on scene and reported a small outside fire. The fire was extinguished and Webster PD advised Webster Fire will swing by. Webster Engine 4 cleared the call on Cooper Road and responded with traffic to Hartley St. Crew investigated and found the small outside fire extinguished. Engine 4 cleared and returned to quarters.</t>
  </si>
  <si>
    <t>FD25027761|26-00798|1782079606</t>
  </si>
  <si>
    <t>26-00798</t>
  </si>
  <si>
    <t>2026-06-21T22:06:46+00:00</t>
  </si>
  <si>
    <t>2026-09-10T23:58:21.610401+00:00</t>
  </si>
  <si>
    <t>06/21/2026 20:21:01: Webster Fire was dispatched to 8 Cooper Road for an outside fire, reporting party stating that the fire was getting out of control. Engine 4 responded from East Main Street. Engine 4 arrived on scene and found a large brush pile on fire. Two civilians were using a garden hose to put out the fire. Crew stretched the booster line and began putting water on the fire. Due to the size of the fire and inch and 3/4 line was also used to extinguish the fire. Crew used a hydrant on Cooper Road and used approximately 1500 gallons of water. The size of the fire was approximately 50 ft x 20 ft. A swing set did catch on fire and was extinguished next to the pile. The son of the homeowner was the one who started the fire to burn all of the brush. They were told the burning regulations. The fire was extinguished and overhauled. Crew used thermal imaging cameras and checked exposures for any fire, none was found. Engine 4 cleared and returned to quarters.   ******** ************</t>
  </si>
  <si>
    <t>FD25027761|26-00289|1777749324</t>
  </si>
  <si>
    <t>26-00289</t>
  </si>
  <si>
    <t>2026-05-02T19:15:24+00:00</t>
  </si>
  <si>
    <t>2026-09-10T21:26:18.039268+00:00</t>
  </si>
  <si>
    <t>05/02/2026 15:53:54: Webster Engine 4 responded to 136 Thompson Road, Webster Five Bank for the outside fire. On arrival, crew talked to the caller and found a small area of mulch smoldering. Crew used a water can and the booster reel to extinguish the fire. An end of a cigarette was found in the smoldering area. An area 3 feet by 2 feet burned. The fire was extinguished and overhauled. No other hazards were found, Engine 4 cleared and returned to quarters.</t>
  </si>
  <si>
    <t>FD25027761|26-00272|1776972943</t>
  </si>
  <si>
    <t>26-00272</t>
  </si>
  <si>
    <t>2026-04-23T19:35:43+00:00</t>
  </si>
  <si>
    <t>2026-09-10T20:47:23.855992+00:00</t>
  </si>
  <si>
    <t>04/23/2026 16:26:28: Engine 4 responded for the report of an outside fire.  On arrival fire personnel found a small pile of yard trimmings smoldering in the back yard.  No occupants were outside with the fire.  While trying to make contact with the occupant, the occupant (*************) arrived from a trip to the convenience store.  Mr. ****** was informed on the proper methods and procedures of outdoor burning.  Fire personnel extinguished the fire.  No hazards present once fire was extinguished.  Engine 4 cleared the scene and returned to quarters.</t>
  </si>
  <si>
    <t>FD25027770|26-0100|1776361140</t>
  </si>
  <si>
    <t>26-0100</t>
  </si>
  <si>
    <t>2026-04-16T17:39:00+00:00</t>
  </si>
  <si>
    <t>2026-09-10T22:57:01.301864+00:00</t>
  </si>
  <si>
    <t>At 13:39 NBFD was dispatched to the area of 99 Bigelow St for smoke in the woods. Brush 1 and Engine 1 en route. On arrival we found 2 smoldering Pile that homeowner had from burn permit today. Car 3 took command E1 crew pulled forestry line and wet down area at both piles. Engine 1 and Brush 1 cleared after wetting down piles. Command terminated. Units filled up at church parking lot we used about 300 gallons from the hydrant.</t>
  </si>
  <si>
    <t>FD25027786|26-68950_639235167306229147|1787858558</t>
  </si>
  <si>
    <t>26-68950_639235167306229147</t>
  </si>
  <si>
    <t>2026-08-27T19:22:38+00:00</t>
  </si>
  <si>
    <t>2026-08-28T12:25:32.336940+00:00</t>
  </si>
  <si>
    <t>Bolton Fire was dispatched to the listed location for the reported illegal burn. E74 arrived on scene to investigate. An illegal open burn was located with the homeowner present. The homeowner was advised of the open burning regulations and the fire extinguished. E74 cleared to quarters.</t>
  </si>
  <si>
    <t>FD25027786|26-58490_639204869816345699|1784887117</t>
  </si>
  <si>
    <t>26-58490_639204869816345699</t>
  </si>
  <si>
    <t>2026-07-24T09:58:37+00:00</t>
  </si>
  <si>
    <t>2026-07-24T10:49:48.227443+00:00</t>
  </si>
  <si>
    <t>Bolton Fire was dispatched to Main Street @ East End Road for the reported mulch fire. Squad 75 arrived on scene without incident. A small unattended fire was located at the residence and extinguished. Fire and PD attempted to make contact with the homeowner, but were unsuccessful. All unit cleared to quarters.</t>
  </si>
  <si>
    <t>FD25027786|26-57045_639201451864139845|1784478273</t>
  </si>
  <si>
    <t>26-57045_639201451864139845</t>
  </si>
  <si>
    <t>2026-07-19T16:24:33+00:00</t>
  </si>
  <si>
    <t>2026-07-20T11:53:10.524016+00:00</t>
  </si>
  <si>
    <t>Bolton Fire was dispatched to the listed location for the reported smoke in the area. E74 arrived on scene without incident and confirmed an illegal burn at the residence. The homeowner extinguished the fire and was advised. E74 cleared to quarters.</t>
  </si>
  <si>
    <t>FD25027786|26-56590_639199213216531909|1784317137</t>
  </si>
  <si>
    <t>26-56590_639199213216531909</t>
  </si>
  <si>
    <t>2026-07-17T19:38:57+00:00</t>
  </si>
  <si>
    <t>2026-07-17T21:42:04.139640+00:00</t>
  </si>
  <si>
    <t>FIRE||OUTSIDE_FIRE||UTILITY_INFRASTRUCTURE_FIRE</t>
  </si>
  <si>
    <t>Arrived to 300&amp;#x27; running fire 50 yards in woods. Approaching 1 dwelling. Live wire from tree fall located, safe zone established. Controlled and wires deenergized. Overhauled and checked, turned over to grid.</t>
  </si>
  <si>
    <t>FD25027786|26-53258_639190201270674832|1783359362</t>
  </si>
  <si>
    <t>26-53258_639190201270674832</t>
  </si>
  <si>
    <t>2026-07-07T11:22:12.989704+00:00</t>
  </si>
  <si>
    <t>Bolton Fire was dispatched to the listed location to assist Lancaster with their brush fire. 7C arrived on scene and assisted command with operations. 7C held Bolton apparatus in quartets. 7C cleared upon extinguishment and controll.</t>
  </si>
  <si>
    <t>FD25027786|260605-213832-27034_639163070599088136|1780689449</t>
  </si>
  <si>
    <t>260605-213832-27034_639163070599088136</t>
  </si>
  <si>
    <t>2026-06-05T19:57:29+00:00</t>
  </si>
  <si>
    <t>2026-09-10T23:16:20.227866+00:00</t>
  </si>
  <si>
    <t>5&amp;#x27;x5&amp;#x27; fire pf unknown origin at base of utility pole. Extinguished by PD, wet down by FD.</t>
  </si>
  <si>
    <t>FD25027786|26-39326_639148830909185297|1779227226</t>
  </si>
  <si>
    <t>26-39326_639148830909185297</t>
  </si>
  <si>
    <t>2026-09-10T22:08:47.997587+00:00</t>
  </si>
  <si>
    <t>Bolton Fire was dispatched to 495 South for the reported brush fire. E74 and T72 arrived on scene without incident. Command confirmed 10x10 brush fire resulting from lighting strike as reported by patron on scene. The fire was extinguished and overhauled. All units cleared to quarters.</t>
  </si>
  <si>
    <t>FD25027786|26-35161_639136182513754037|1778007508</t>
  </si>
  <si>
    <t>26-35161_639136182513754037</t>
  </si>
  <si>
    <t>2026-09-10T21:22:58.086219+00:00</t>
  </si>
  <si>
    <t>Bolton Fire was dispatched to Lancaster via mutual aid for the brush fire. Units arrived on scene and provided support with water supply, suppression operations and drone operations. Units remained on scene until cleared by command.</t>
  </si>
  <si>
    <t>FD25027786|26-32359_639127509910708453|1777152860</t>
  </si>
  <si>
    <t>26-32359_639127509910708453</t>
  </si>
  <si>
    <t>2026-04-25T21:34:20+00:00</t>
  </si>
  <si>
    <t>2026-09-10T20:47:47.689098+00:00</t>
  </si>
  <si>
    <t>Bolton Fire was dispatched to the listed location for the illegal burn. C4 arrived on scene to investigate. Confirmed two piles burning. The homeowner was advised of the rules and to extinguish.</t>
  </si>
  <si>
    <t>FD25027786|26-31738_639125742944469838|1776972842</t>
  </si>
  <si>
    <t>26-31738_639125742944469838</t>
  </si>
  <si>
    <t>2026-04-23T19:34:02+00:00</t>
  </si>
  <si>
    <t>2026-09-10T20:50:32.292087+00:00</t>
  </si>
  <si>
    <t>Bolton Fire was dispatched to 164 Bare Hill Road for a brush fire. Upon arrival C-6 found a wind driven fire approximately 1/4 acre in size running quickly. C-6 requested the tanker and the engine. Crews stretched three lines and extinguished the fire.</t>
  </si>
  <si>
    <t>FD25027786|26-28256_639116804409507788|1776009131</t>
  </si>
  <si>
    <t>26-28256_639116804409507788</t>
  </si>
  <si>
    <t>2026-09-10T20:13:44.217293+00:00</t>
  </si>
  <si>
    <t>Bolton Tanker 72 was dispatched to Lancaster for the brush fire. Tanker 72 arrived on scene without incident. Tanker 72 provided water supply and assisted with suppression. Tanker 72 was cleared by command and returned to quarters.</t>
  </si>
  <si>
    <t>FD25027786|26-28032_639115400965893035|1775931431</t>
  </si>
  <si>
    <t>26-28032_639115400965893035</t>
  </si>
  <si>
    <t>2026-04-11T18:17:11+00:00</t>
  </si>
  <si>
    <t>2026-09-10T20:02:30.397030+00:00</t>
  </si>
  <si>
    <t>Bolton Fire was dispatched to Boylston mutual aid for the brush fire. Tanker 72 was requested. Tanker 72 arrived on scene without incident. Tanker 72 assisted with water supply for the brush fire until cleared by command. Tanker 72 cleared to quarters.</t>
  </si>
  <si>
    <t>FD25027795|26-0564|1780949158</t>
  </si>
  <si>
    <t>26-0564</t>
  </si>
  <si>
    <t>2026-06-08T20:05:58+00:00</t>
  </si>
  <si>
    <t>2026-09-10T22:41:20.046677+00:00</t>
  </si>
  <si>
    <t>06/08/2026 16:50:00: Dispatched to the area of 131 Pleasant St for the reported side of the road brush fire.  Dispatch advised received 2 calls reporting it&amp;#x27;s between Maple Ave and Glen Ave.  approx 1x2&amp;#x27;.   PD in the area not able to locate any smoke or fire.  E-3 responded and noticed on the side of the road disrupted pine needles and leaves.  E-3 drove to the Northbridge Town line with nothing found.  E-3 stopped by the area of the side of the road with the disrupted pine needles and found burnt leaves and a small tree bransh smoldering.  E-3 crew pulled the booster line and wet down the area.  On investigation L-3 found a discarted cigarette butt.   E-3 cleared without incident.</t>
  </si>
  <si>
    <t>FD25027795|26-0428|1777229848</t>
  </si>
  <si>
    <t>26-0428</t>
  </si>
  <si>
    <t>2026-04-26T18:57:28+00:00</t>
  </si>
  <si>
    <t>2026-09-10T21:01:28.243304+00:00</t>
  </si>
  <si>
    <t>04/26/2026 16:12:18: All-call for 96 Taft St for Box 4, reported brush fire near stone wall. Engine 3 responded from HQ with duty crew. Dispatch reported homeowner believes fire is extinguished with garden hose. Continued response. On scene a 10x10 foot area was burned next to property line near wall, no structures involved. Fire was contained by homeowner efforts. Brush 2 responded with 1 from HQ and Car 1 arrived on scene. Engine 3 deployed booster hose to assist overhaul of area. Advised Brush 2 that they could return to HQ. Fire extinguished and overhauled. Homeowner reported he had disposed of ashes from his fire pit approximately 1 hour earlier where fire began and pile of ash was seen by L4 in middle of burned area prior to overhaul. Engine 3 placed back in service and returned to HQ.</t>
  </si>
  <si>
    <t>FD25027809|26-51244_639192213814609469|1782772844</t>
  </si>
  <si>
    <t>26-51244_639192213814609469</t>
  </si>
  <si>
    <t>2026-06-29T22:40:44+00:00</t>
  </si>
  <si>
    <t>2026-07-09T19:16:23.435975+00:00</t>
  </si>
  <si>
    <t>Disp to location for a possible brush fire. E5 responded. I responded direct from home. O/a with 19C4 initial access was delayed due to security fence. Once access was gained to the site, found several small areas of brush burning and one larger area, the larger area spreading uphill slowly. All burning areas were impinging if not in direct contact with the solar panels. A working fire assignment was requested. E2 &amp;amp; E4 responded. Due to limited personnel a 2nd alarm was requested, responding apparatus were 18E3, 10E1, 35E4, 18E8, and 35E5. Crews stretched several handlines and had the majority of the fire knocked down in approx 10 minutes. 30E4 redirected to station coverage with 36E2. A hydrant on Electric Ave was used, water department contacted.  Crews had difficulty accessing the fire areas due to extensive brush growth caused by lack of maintenance of the area. A responsible party was requested to respond. Crews continued to overhaul for approx 30 minutes, then began breaking down. A contractor for the responsible party responded. Advised the contractor that they need to have the brush cut back as required by fire code. The contractor will also be taking the system offline until their reps can inspect the area in the morning. All units clear.</t>
  </si>
  <si>
    <t>FD25027809|26-27340_639113618427965207|1775752529</t>
  </si>
  <si>
    <t>26-27340_639113618427965207</t>
  </si>
  <si>
    <t>2026-04-09T16:35:29+00:00</t>
  </si>
  <si>
    <t>2026-09-10T20:13:33.112547+00:00</t>
  </si>
  <si>
    <t>We received a call reporting a brush fire in the area of 711 Page St.  We responded with Engine 5, Engine 2 and Engine 4.  While enroute a 2nd call reported the fire was approaching a home.  On arrival, initial sizeup found a signficant area of brush, leaves and grass burning in a wooded area bewtween several homes.  fire was within 20 feet of one home.  A second alarm Brush Assignment was requested, bringing Engine 1, ******* Forestry 1, ******* Engine 4 to the fire and Leominster 18E3 to cover.  Companies were assigned as follows:  Engine 5- 2- 1&amp;quot; lines deployed along left flank towards foot and head Engine 2- Booster line and 1&amp;quot; line along right flank towards foot and head Engine 4- Supply Engine 5; Crew operated hoselines and hand tools; Additional line stetched from E5 on Right Flank. Engine 1- Supplied Engine 2. Shirley Companies- Assisted on handlines and with hand tools; Shirley Forestry eventually supplied Engine 2 as well.  Lines were around the fire and it was contained at 1305 and extinguished and overhauled by 1407.  Companies were released.  Area burnt was slightly under 1 acre. Two trees were cut down due to fire extending inside rotted areas of the trunks.  CAUSE AND ORIGIN:  Occupant of 711 Page St reported that they were conducting an Easter related ceremony with a candle outside when it was accidentally dropped.  The candle ignited leaves and yard waste that quickly spead.  Party went inside to get water but the fire had grown substantially when she came back out.  She then called ***.  Some fire damage to a fence, shrubs and septic tank vent were noted.  The fence belonged to the occupant of 711 Page.  The other items were apparently connected to 713 Page St.  OCCUPANT:  Maisonneuve, Myrline  ************                         711 Page St.   EQUIPMENT USED:    4- 1&amp;quot; Forestry lines (800&amp;#x27; total), 1 Booster line, approximately 3500 gallons water and 20 Gallons Class A Foam, chain saw, hand tools Chief *******************</t>
  </si>
  <si>
    <t>FD25027809|26-22745_639109005907238064|1774383577</t>
  </si>
  <si>
    <t>26-22745_639109005907238064</t>
  </si>
  <si>
    <t>2026-03-24T20:19:37+00:00</t>
  </si>
  <si>
    <t>2026-09-10T19:56:41.183852+00:00</t>
  </si>
  <si>
    <t>Disp mutual aid to Fitchburg, ladder company requested for station coverage. L1 responded, covered for approx 1 hour before being released. Clear to quarters.</t>
  </si>
  <si>
    <t>FD25027809|26-19808_639113711109503634|1773610368</t>
  </si>
  <si>
    <t>26-19808_639113711109503634</t>
  </si>
  <si>
    <t>2026-03-15T21:32:48+00:00</t>
  </si>
  <si>
    <t>2026-09-10T19:54:16.270342+00:00</t>
  </si>
  <si>
    <t>Lunenburg Fire, EMS, Police dispatched to the intersection of Massachusetts Ave and Chase Road for the two-car MVA. Reports from fire alarm all vehicles evacuated, one vehicle has as slight flame. On arrival, 19C8 assumed command. Observed two vehicles involved. Gathered information reporting that the operator of the Subaru Impreza struck the Toyota Prius on its drivers side in the intersection. The Toyota remained in the roadway and the Subaru drove up into the grass. A small grass fire under the vehicle&amp;#x27;s engine compartment was present prior to FD arrival, extinguished by a passerby with a personal extinguisher. Batteries were disconnected. No further hazards on scene, Lunenburg PD controlled traffic. 19S3 stood by on scene for the removal of the vehicles. (1) signed refusal was obtained and (1) transport from the scene in Rescue 1. Vehicles were removed and roadway cleaned up. All units cleared. Command terminated.  2015 Subaru Impreza. Plate: ******. The Commerce Insurance Co 2012 Toyota Prius. Plate: ******. The Commerce Insurance Co  Lt. ***************</t>
  </si>
  <si>
    <t>FD25027935|26-1938|1784343606</t>
  </si>
  <si>
    <t>26-1938</t>
  </si>
  <si>
    <t>2026-07-18T03:00:06+00:00</t>
  </si>
  <si>
    <t>2026-09-11T01:05:58.159668+00:00</t>
  </si>
  <si>
    <t>E2, A3 DISPATCHED FOR AN MVA WITH FIRE. EN ROUTE CREWS UPDATED THAT THERE WAS NO MVA BUT A BRUSH FIRE ON THE SIDE OF THE ROAD. CREWS ARRIVED AND EXTINGUISHED AND APPROX 30&amp;#x27;X30&amp;#x27; AREA ON THE SIDE OF THE ROAD. AREA AND SURROUNDING WET DOWN WITH FULL TANK OF WATER. ALL UNITS CLEARED. CAUSE BELIEVED TO BE FROM A FIREWORK LIT BY A PASSING VEHICLE. A3: ********, MCGRATH E2: ********************** SCENE: ******************</t>
  </si>
  <si>
    <t>FD25027935|26-1800|1783216737</t>
  </si>
  <si>
    <t>26-1800</t>
  </si>
  <si>
    <t>2026-07-05T01:58:57+00:00</t>
  </si>
  <si>
    <t>2026-07-06T17:44:48.058657+00:00</t>
  </si>
  <si>
    <t>ATHOL FIRE DEPARTMENT WAS DISPATCHED FOR A POSSIBLE BRUSH FIRE. ENGINE 2 INVESTIGTED THE AREA AND LOCATED  A SMALL AREA OF SMOLDERING MATERIAL. ENGINE 2 EXTINGUISHED THE SMOLDERING MATERIAL USING THE BUMPER LINE OF E2. E2 THEN CLEARED THE SCENE BACK IN SERVICE.</t>
  </si>
  <si>
    <t>FD25027935|26-1790|1783165277</t>
  </si>
  <si>
    <t>26-1790</t>
  </si>
  <si>
    <t>2026-07-04T11:41:17+00:00</t>
  </si>
  <si>
    <t>2026-07-16T18:04:56.302553+00:00</t>
  </si>
  <si>
    <t>BRUSH 1 TO ORANGE FOR BRUSH FIRE. BR1: *******, LORDAN</t>
  </si>
  <si>
    <t>FD25027935|26-1115|1777409500</t>
  </si>
  <si>
    <t>26-1115</t>
  </si>
  <si>
    <t>2026-04-28T20:51:40+00:00</t>
  </si>
  <si>
    <t>2026-09-10T21:20:52.338853+00:00</t>
  </si>
  <si>
    <t>UTILITY 1 AND BOTH ATVS DISPATCHED MUTUAL AID TO NEW SALEM FOR THE REPORT OF A BRUSH FIRE. UTILITY 1 RESPONDED AND REMAINED ON STANDBY WHILE ON SCENE. UTILITY 1 AND ATVS CLEARED AND RETURNED TO SERVICE. UTILITY 1- BOND, MURPHY</t>
  </si>
  <si>
    <t>FD25027935|26-1089|1777134297</t>
  </si>
  <si>
    <t>2026-04-25T16:24:57+00:00</t>
  </si>
  <si>
    <t>2026-09-10T21:12:58.982922+00:00</t>
  </si>
  <si>
    <t>1226- E2/Brush 1/Car 1 dispatched to chestnut hill ave for brush fire 1230- Car 1 arrived on scene. reported 20x20 brush fire 50 ft away from house.  1235- E2/Brush 1 arrived on scene. extinguished brush fire.  origin of fire was from 3022 chestnut hill ave (homeowner- ****************) burning brush. ambers jumped to 3064 chesnut hill ave(homeowner- ***********) 1310- All units clear, return to service crew- Chief Parker/******/****/*******/*****/******/******/*********</t>
  </si>
  <si>
    <t>department_neris_id</t>
  </si>
  <si>
    <t>neris_id</t>
  </si>
  <si>
    <t>incident_status_status</t>
  </si>
  <si>
    <t>location_source</t>
  </si>
  <si>
    <t>location_street_number</t>
  </si>
  <si>
    <t>location_street_prefix</t>
  </si>
  <si>
    <t>location_street_name</t>
  </si>
  <si>
    <t>location_street_type</t>
  </si>
  <si>
    <t>location_street_suffix</t>
  </si>
  <si>
    <t>location_apartment</t>
  </si>
  <si>
    <t>location_city</t>
  </si>
  <si>
    <t>location_state</t>
  </si>
  <si>
    <t>location_zip_code</t>
  </si>
  <si>
    <t>location_county</t>
  </si>
  <si>
    <t>location_latitude</t>
  </si>
  <si>
    <t>location_longitude</t>
  </si>
  <si>
    <t>location_gis_point</t>
  </si>
  <si>
    <t>submitter_account_type</t>
  </si>
  <si>
    <t>incident_number</t>
  </si>
  <si>
    <t>primary_incident_types</t>
  </si>
  <si>
    <t>other_incident_types</t>
  </si>
  <si>
    <t>aid_types</t>
  </si>
  <si>
    <t>aid_directions</t>
  </si>
  <si>
    <t>aid_department_ids</t>
  </si>
  <si>
    <t>nonfd_aid_types</t>
  </si>
  <si>
    <t>unit_ids</t>
  </si>
  <si>
    <t>unit_neris_ids</t>
  </si>
  <si>
    <t>total_units</t>
  </si>
  <si>
    <t>total_staffing</t>
  </si>
  <si>
    <t>unit_response_modes</t>
  </si>
  <si>
    <t>parcel_primary_year_built</t>
  </si>
  <si>
    <t>parcel_primary_zoning</t>
  </si>
  <si>
    <t>parcel_primary_use</t>
  </si>
  <si>
    <t>parcel_primary_owner_occupied</t>
  </si>
  <si>
    <t>parcel_primary_assessment_land</t>
  </si>
  <si>
    <t>exposure_count</t>
  </si>
  <si>
    <t>exposure_damage_types</t>
  </si>
  <si>
    <t>casualty_count</t>
  </si>
  <si>
    <t>casualty_types</t>
  </si>
  <si>
    <t>casualty_genders</t>
  </si>
  <si>
    <t>med_report_ids</t>
  </si>
  <si>
    <t>med_evaluations</t>
  </si>
  <si>
    <t>med_patient_statuses</t>
  </si>
  <si>
    <t>med_transport_dispositions</t>
  </si>
  <si>
    <t>base_people_present</t>
  </si>
  <si>
    <t>base_animals_rescued</t>
  </si>
  <si>
    <t>base_displacement_count</t>
  </si>
  <si>
    <t>base_incident_number</t>
  </si>
  <si>
    <t>base_impediment_narrative</t>
  </si>
  <si>
    <t>base_outcome_narrative</t>
  </si>
  <si>
    <t>base_location_use_in_use_in_use</t>
  </si>
  <si>
    <t>base_location_use_in_use_intended</t>
  </si>
  <si>
    <t>base_location_use_use_type</t>
  </si>
  <si>
    <t>base_location_use_vacancy_cause</t>
  </si>
  <si>
    <t>base_location_use_secondary_use</t>
  </si>
  <si>
    <t>base_point</t>
  </si>
  <si>
    <t>base_polygon</t>
  </si>
  <si>
    <t>actions_tactics_action_noaction_type</t>
  </si>
  <si>
    <t>actions_tactics_action_noaction_actions</t>
  </si>
  <si>
    <t>dispatch_center_id</t>
  </si>
  <si>
    <t>dispatch_incident_number</t>
  </si>
  <si>
    <t>dispatch_determinant_code</t>
  </si>
  <si>
    <t>dispatch_automatic_alarm</t>
  </si>
  <si>
    <t>dispatch_incident_clear</t>
  </si>
  <si>
    <t>dispatch_call_arrival</t>
  </si>
  <si>
    <t>dispatch_call_answered</t>
  </si>
  <si>
    <t>dispatch_call_create</t>
  </si>
  <si>
    <t>dispatch_point</t>
  </si>
  <si>
    <t>dispatch_disp_unit_ids</t>
  </si>
  <si>
    <t>dispatch_disp_total_units</t>
  </si>
  <si>
    <t>dispatch_disp_total_staffing</t>
  </si>
  <si>
    <t>dispatch_comments_text</t>
  </si>
  <si>
    <t>fire_detail_location_detail_type</t>
  </si>
  <si>
    <t>fire_detail_location_detail_acres_burned</t>
  </si>
  <si>
    <t>fire_detail_location_detail_cause</t>
  </si>
  <si>
    <t>fire_detail_water_supply</t>
  </si>
  <si>
    <t>fire_detail_investigation_needed</t>
  </si>
  <si>
    <t>fire_detail_investigation_types</t>
  </si>
  <si>
    <t>fire_detail_suppression_appliances</t>
  </si>
  <si>
    <t>weather_timestamp</t>
  </si>
  <si>
    <t>weather_main</t>
  </si>
  <si>
    <t>weather_description</t>
  </si>
  <si>
    <t>weather_temp</t>
  </si>
  <si>
    <t>weather_dew_point</t>
  </si>
  <si>
    <t>weather_feels_like</t>
  </si>
  <si>
    <t>weather_pressure</t>
  </si>
  <si>
    <t>weather_humidity</t>
  </si>
  <si>
    <t>weather_temp_min</t>
  </si>
  <si>
    <t>weather_temp_max</t>
  </si>
  <si>
    <t>weather_heat_index</t>
  </si>
  <si>
    <t>weather_windchill</t>
  </si>
  <si>
    <t>weather_visibility</t>
  </si>
  <si>
    <t>weather_wind_speed</t>
  </si>
  <si>
    <t>weather_wind_deg</t>
  </si>
  <si>
    <t>weather_cloud_percent</t>
  </si>
  <si>
    <t>weather_rain_accum_1h</t>
  </si>
  <si>
    <t>weather_snow_vol_1h</t>
  </si>
  <si>
    <t>weather_day_part</t>
  </si>
  <si>
    <t>weather_air_quality_co</t>
  </si>
  <si>
    <t>weather_air_quality_o3</t>
  </si>
  <si>
    <t>weather_air_quality_no2</t>
  </si>
  <si>
    <t>weather_air_quality_so2</t>
  </si>
  <si>
    <t>weather_air_quality_pm2_5</t>
  </si>
  <si>
    <t>weather_air_quality_pm10</t>
  </si>
  <si>
    <t>weather_air_quality_us_epa_index</t>
  </si>
  <si>
    <t>weather_air_quality_gb_defra_index</t>
  </si>
  <si>
    <t>weather_pollen_hazel</t>
  </si>
  <si>
    <t>weather_pollen_alder</t>
  </si>
  <si>
    <t>weather_pollen_birch</t>
  </si>
  <si>
    <t>weather_pollen_oak</t>
  </si>
  <si>
    <t>weather_pollen_grass</t>
  </si>
  <si>
    <t>weather_pollen_mugwort</t>
  </si>
  <si>
    <t>weather_pollen_ragweed</t>
  </si>
  <si>
    <t>census_tract_fips_code</t>
  </si>
  <si>
    <t>census_tract_tract_id</t>
  </si>
  <si>
    <t>census_tract_block_id</t>
  </si>
  <si>
    <t>census_tract_area</t>
  </si>
  <si>
    <t>census_tract_population_density</t>
  </si>
  <si>
    <t>actions_tactics_action_noaction_noaction_type</t>
  </si>
  <si>
    <t>hazsit_detail_evacuated</t>
  </si>
  <si>
    <t>hazsit_detail_disposition</t>
  </si>
  <si>
    <t>smoke_alarm_presence_type</t>
  </si>
  <si>
    <t>smoke_alarm_presence_neris_uid</t>
  </si>
  <si>
    <t>smoke_alarm_presence_last_modified</t>
  </si>
  <si>
    <t>fire_alarm_presence_type</t>
  </si>
  <si>
    <t>other_alarm_presence_type</t>
  </si>
  <si>
    <t>fire_suppression_presence_type</t>
  </si>
  <si>
    <t>cooking_fire_suppression_presence_type</t>
  </si>
  <si>
    <t>csst_hazard_ignition_source</t>
  </si>
  <si>
    <t>csst_hazard_lightning_suspected</t>
  </si>
  <si>
    <t>medical_oxygen_hazard_neris_uid</t>
  </si>
  <si>
    <t>medical_oxygen_hazard_last_modified</t>
  </si>
  <si>
    <t>medical_oxygen_hazard_presence_neris_uid</t>
  </si>
  <si>
    <t>medical_oxygen_hazard_presence_last_modified</t>
  </si>
  <si>
    <t>medical_oxygen_hazard_presence_type</t>
  </si>
  <si>
    <t>fire_detail_location_detail_progression_evident</t>
  </si>
  <si>
    <t>fire_detail_location_detail_floor_of_origin</t>
  </si>
  <si>
    <t>fire_detail_location_detail_arrival_condition</t>
  </si>
  <si>
    <t>fire_detail_location_detail_damage_type</t>
  </si>
  <si>
    <t>fire_detail_location_detail_room_of_origin_type</t>
  </si>
  <si>
    <t>dispatch_tactic_timestamps_fire_knocked_down</t>
  </si>
  <si>
    <t>powergen_hazard_count</t>
  </si>
  <si>
    <t>last_modified</t>
  </si>
  <si>
    <t>Main</t>
  </si>
  <si>
    <t>STREET</t>
  </si>
  <si>
    <t>MA</t>
  </si>
  <si>
    <t>01562</t>
  </si>
  <si>
    <t>Worcester County</t>
  </si>
  <si>
    <t>Forestry 2||Station</t>
  </si>
  <si>
    <t>FD25027007S001U014||FD25027007S001U006</t>
  </si>
  <si>
    <t>EMERGENT||NON_EMERGENT</t>
  </si>
  <si>
    <t>COMMERCIAL GREENHOUSE</t>
  </si>
  <si>
    <t>N</t>
  </si>
  <si>
    <t>ROADWAY_ACCESS||PARKING_LOT_GARAGE</t>
  </si>
  <si>
    <t>https://api.neris.fsri.org/v1/pygeoapi/collections/points/items/41407676</t>
  </si>
  <si>
    <t>ACTION</t>
  </si>
  <si>
    <t>SUPPRESSION||OUTSIDE_FIRE_SUPPRESSION||FIRE_CONTROL_EXTINGUISHMENT</t>
  </si>
  <si>
    <t>OUTSIDE</t>
  </si>
  <si>
    <t>SMOKING_MATERIALS_ILLICIT_DRUGS</t>
  </si>
  <si>
    <t>NONE</t>
  </si>
  <si>
    <t>NO</t>
  </si>
  <si>
    <t>2026-07-04T16:00:00+00:00</t>
  </si>
  <si>
    <t>1063</t>
  </si>
  <si>
    <t>Patchy rain possible</t>
  </si>
  <si>
    <t>day</t>
  </si>
  <si>
    <t>25027726100</t>
  </si>
  <si>
    <t>726100</t>
  </si>
  <si>
    <t>1028</t>
  </si>
  <si>
    <t>Brimfield</t>
  </si>
  <si>
    <t>ROAD</t>
  </si>
  <si>
    <t>01083</t>
  </si>
  <si>
    <t>IN_LIEU_AID</t>
  </si>
  <si>
    <t>GIVEN</t>
  </si>
  <si>
    <t>Forestry 1||UTV||Engine 3||Station</t>
  </si>
  <si>
    <t>FD25027007S001U022||FD25027007S001U001||FD25027007S001U013||FD25027007S001U006</t>
  </si>
  <si>
    <t>EMERGENT||EMERGENT||EMERGENT</t>
  </si>
  <si>
    <t>RUR</t>
  </si>
  <si>
    <t>1-FAMILY RESIDENCE</t>
  </si>
  <si>
    <t>Y</t>
  </si>
  <si>
    <t>Terrain</t>
  </si>
  <si>
    <t>OUTDOOR||FOREST_GRASSLANDS_WOODLAND_WILDLAND_AREAS</t>
  </si>
  <si>
    <t>https://api.neris.fsri.org/v1/pygeoapi/collections/points/items/32575019</t>
  </si>
  <si>
    <t>SUPPRESSION||OUTSIDE_FIRE_SUPPRESSION||ESTABLISH_FIRE_LINES||SUPPRESSION||OUTSIDE_FIRE_SUPPRESSION||FIRE_CONTROL_EXTINGUISHMENT</t>
  </si>
  <si>
    <t>UNABLE_TO_BE_DETERMINED</t>
  </si>
  <si>
    <t>FOAM_ADDITIVE</t>
  </si>
  <si>
    <t>BOOSTER_FIRE_HOSE||SMALL_DIAMETER_FIRE_HOSE</t>
  </si>
  <si>
    <t>2026-05-04T14:00:00+00:00</t>
  </si>
  <si>
    <t>1006</t>
  </si>
  <si>
    <t>Cloudy</t>
  </si>
  <si>
    <t>25027761100</t>
  </si>
  <si>
    <t>APT 1</t>
  </si>
  <si>
    <t>Forestry 1||Car 1||Engine 3||Station</t>
  </si>
  <si>
    <t>FD25027007S001U022||FD25027007S001U011||FD25027007S001U013||FD25027007S001U006</t>
  </si>
  <si>
    <t>EMERGENT||EMERGENT||NON_EMERGENT</t>
  </si>
  <si>
    <t>2-FAMILY RESIDENCE</t>
  </si>
  <si>
    <t>RESIDENTIAL||MULTI_FAMILY_LOWRISE_DWELLING</t>
  </si>
  <si>
    <t>https://api.neris.fsri.org/v1/pygeoapi/collections/points/items/32571435</t>
  </si>
  <si>
    <t>DEBRIS_OPEN_BURNING</t>
  </si>
  <si>
    <t>TANK_WATER</t>
  </si>
  <si>
    <t>BOOSTER_FIRE_HOSE</t>
  </si>
  <si>
    <t>Browning Pond</t>
  </si>
  <si>
    <t>Forestry 2||Forestry 1||Forestry 3||Tanker 1||Car 2</t>
  </si>
  <si>
    <t>FD25027007S001U014||FD25027007S001U022||FD25027007S001U021||FD25027007S001U004||FD25027007S001U002</t>
  </si>
  <si>
    <t>EMERGENT||EMERGENT||EMERGENT||EMERGENT||EMERGENT</t>
  </si>
  <si>
    <t>None</t>
  </si>
  <si>
    <t>RESIDENTIAL||ATTACHED_SINGLE_FAMILY_DWELLING</t>
  </si>
  <si>
    <t>https://api.neris.fsri.org/v1/pygeoapi/collections/points/items/32500726</t>
  </si>
  <si>
    <t>INVESTIGATION||SUPPRESSION||OUTSIDE_FIRE_SUPPRESSION||FIRE_CONTROL_EXTINGUISHMENT||INFORMATION_ENFORCEMENT||PROVIDE_PUBLIC_INFORMATION</t>
  </si>
  <si>
    <t>OTHER</t>
  </si>
  <si>
    <t>2026-04-26T16:00:00+00:00</t>
  </si>
  <si>
    <t>1003</t>
  </si>
  <si>
    <t>Partly cloudy</t>
  </si>
  <si>
    <t>Chickering</t>
  </si>
  <si>
    <t>Forestry 2</t>
  </si>
  <si>
    <t>FD25027007S001U014</t>
  </si>
  <si>
    <t>EMERGENT</t>
  </si>
  <si>
    <t>MIXED USE - PRIM RES &amp; AGRICUL</t>
  </si>
  <si>
    <t>****</t>
  </si>
  <si>
    <t>https://api.neris.fsri.org/v1/pygeoapi/collections/points/items/32340762</t>
  </si>
  <si>
    <t>NO_CAUSE_OBVIOUS</t>
  </si>
  <si>
    <t>2026-04-12T22:00:00+00:00</t>
  </si>
  <si>
    <t>1009</t>
  </si>
  <si>
    <t>Overcast</t>
  </si>
  <si>
    <t>Princeton</t>
  </si>
  <si>
    <t>01541</t>
  </si>
  <si>
    <t>25E2</t>
  </si>
  <si>
    <t>RESIDENTIAL||DETATCHED_SINGLE_FAMILY_DWELLING</t>
  </si>
  <si>
    <t>2026-03-29T15:00:00+00:00</t>
  </si>
  <si>
    <t>25027720100</t>
  </si>
  <si>
    <t>Bragg</t>
  </si>
  <si>
    <t>Warren</t>
  </si>
  <si>
    <t>SUPPORT_AID||SUPPORT_AID||SUPPORT_AID||SUPPORT_AID||SUPPORT_AID</t>
  </si>
  <si>
    <t>RECEIVED||RECEIVED||RECEIVED||RECEIVED||RECEIVED</t>
  </si>
  <si>
    <t>FD25015575||FD25013531||FD25027254||FD25027751||FD25013995</t>
  </si>
  <si>
    <t>LAW_ENFORCEMENT||UTILITIES_PUBLIC_WORKS</t>
  </si>
  <si>
    <t>MIXED USE - PRIM RESD &amp; COMM</t>
  </si>
  <si>
    <t>OUTDOOR||ORCHARD_CROPS_FARMLAND</t>
  </si>
  <si>
    <t>https://api.neris.fsri.org/v1/pygeoapi/collections/points/items/27073923</t>
  </si>
  <si>
    <t>SUPPRESSION||OUTSIDE_FIRE_SUPPRESSION||CONFINEMENT</t>
  </si>
  <si>
    <t>26WN-522-IN</t>
  </si>
  <si>
    <t>26-27778</t>
  </si>
  <si>
    <t>2026-05-05T21:40:00+00:00</t>
  </si>
  <si>
    <t>RECREATION_CEREMONY</t>
  </si>
  <si>
    <t>WATER_TENDER_SHUTTLE</t>
  </si>
  <si>
    <t>INVESTIGATED_ON_SCENE_RESOURCE</t>
  </si>
  <si>
    <t>1000</t>
  </si>
  <si>
    <t>Sunny</t>
  </si>
  <si>
    <t>SUPPORT_AID||SUPPORT_AID||SUPPORT_AID||SUPPORT_AID||SUPPORT_AID||SUPPORT_AID||SUPPORT_AID||SUPPORT_AID</t>
  </si>
  <si>
    <t>RECEIVED||RECEIVED||RECEIVED||RECEIVED||RECEIVED||RECEIVED||RECEIVED||RECEIVED</t>
  </si>
  <si>
    <t>FD25015575||FD25027751||FD25027770||FD25027254||FD25013985||FD25027606||FD25013337||FD25027007</t>
  </si>
  <si>
    <t>UTILITIES_PUBLIC_WORKS||LAW_ENFORCEMENT||EMS</t>
  </si>
  <si>
    <t>NONFF</t>
  </si>
  <si>
    <t>MALE</t>
  </si>
  <si>
    <t>Ground terrain was extremely steep and difficult to climb.</t>
  </si>
  <si>
    <t>COMMAND_AND_CONTROL||ESTABLISH_INCIDENT_COMMAND||COMMAND_AND_CONTROL||NOTIFY_OTHER_AGENCIES||COMMAND_AND_CONTROL||ACCOUNTABILITY_OFFICER_ASSIGNED||SUPPRESSION||OUTSIDE_FIRE_SUPPRESSION||CONFINEMENT||SUPPRESSION||OUTSIDE_FIRE_SUPPRESSION||FIRE_CONTROL_EXTINGUISHMENT</t>
  </si>
  <si>
    <t>26WN-517-IN</t>
  </si>
  <si>
    <t>26-27438</t>
  </si>
  <si>
    <t>2026-05-04T17:25:00+00:00</t>
  </si>
  <si>
    <t>2026-05-04T13:00:00+00:00</t>
  </si>
  <si>
    <t>Babcock Tavern</t>
  </si>
  <si>
    <t>Ware</t>
  </si>
  <si>
    <t>01082</t>
  </si>
  <si>
    <t>Hampshire County</t>
  </si>
  <si>
    <t>SUPPORT_AID</t>
  </si>
  <si>
    <t>FD25015575</t>
  </si>
  <si>
    <t>NOACTION</t>
  </si>
  <si>
    <t>26WN-429-IN</t>
  </si>
  <si>
    <t>26-22214</t>
  </si>
  <si>
    <t>2026-04-12T16:52:00+00:00</t>
  </si>
  <si>
    <t>2026-04-12T16:00:00+00:00</t>
  </si>
  <si>
    <t>25015820101</t>
  </si>
  <si>
    <t>820101</t>
  </si>
  <si>
    <t>1057</t>
  </si>
  <si>
    <t>CANCELLED</t>
  </si>
  <si>
    <t>Town Farm</t>
  </si>
  <si>
    <t>FIRE||OUTSIDE_FIRE||VEGETATION_GRASS_FIRE||HAZSIT||HAZARD_NONCHEM||ELEC_POWER_LINE_DOWN_ARCHING_MALFUNC</t>
  </si>
  <si>
    <t>UTILITIES_PUBLIC_WORKS||LAW_ENFORCEMENT</t>
  </si>
  <si>
    <t>COMMAND_AND_CONTROL||ESTABLISH_INCIDENT_COMMAND||COMMAND_AND_CONTROL||INCIDENT_ASSESSMENT_COMPLETED||SUPPRESSION||OUTSIDE_FIRE_SUPPRESSION||FIRE_CONTROL_EXTINGUISHMENT||PROVIDE_SERVICES||PROVIDE_APPARATUS_WATER</t>
  </si>
  <si>
    <t>26WN-422-IN</t>
  </si>
  <si>
    <t>26-21980</t>
  </si>
  <si>
    <t>2026-04-11T16:55:00+00:00</t>
  </si>
  <si>
    <t>POWER_GEN_TRANS_DIST</t>
  </si>
  <si>
    <t>YES</t>
  </si>
  <si>
    <t>BOOSTER_FIRE_HOSE||OTHER</t>
  </si>
  <si>
    <t>2026-04-11T15:00:00+00:00</t>
  </si>
  <si>
    <t>761100</t>
  </si>
  <si>
    <t>1011</t>
  </si>
  <si>
    <t>COMPLETED_FIRE_SERVICE_ONLY</t>
  </si>
  <si>
    <t>NOT_APPLICABLE</t>
  </si>
  <si>
    <t>2026-07-22T13:51:10.005370+00:00</t>
  </si>
  <si>
    <t>UNKNOWN</t>
  </si>
  <si>
    <t>Sunset</t>
  </si>
  <si>
    <t>Douglas</t>
  </si>
  <si>
    <t>01516</t>
  </si>
  <si>
    <t>E3||BR1||C2||E2||Station</t>
  </si>
  <si>
    <t>FD25027116S001U013||FD25027116S001U007||FD25027116S001U003||FD25027116S001U014||FD25027116S001U012</t>
  </si>
  <si>
    <t>Lack of staffing required recalling off-duty personnel to staff more than 1 apparatus.</t>
  </si>
  <si>
    <t>COMMAND_AND_CONTROL||ESTABLISH_INCIDENT_COMMAND||SUPPRESSION||OUTSIDE_FIRE_SUPPRESSION||FIRE_CONTROL_EXTINGUISHMENT||PROVIDE_SERVICES||PROVIDE_APPARATUS_WATER</t>
  </si>
  <si>
    <t>2026-04-12T21:00:00+00:00</t>
  </si>
  <si>
    <t>25027752101</t>
  </si>
  <si>
    <t>Wallis</t>
  </si>
  <si>
    <t>BR1</t>
  </si>
  <si>
    <t>FD25027116S001U007</t>
  </si>
  <si>
    <t>2026-04-07T13:58:00+00:00</t>
  </si>
  <si>
    <t>MEDIUM_DIAMETER_FIRE_HOSE</t>
  </si>
  <si>
    <t>2026-04-07T13:00:00+00:00</t>
  </si>
  <si>
    <t>25027752102</t>
  </si>
  <si>
    <t>Clinton</t>
  </si>
  <si>
    <t>01510</t>
  </si>
  <si>
    <t>F9</t>
  </si>
  <si>
    <t>FD25027157S001U007</t>
  </si>
  <si>
    <t>OUTDOOR||GROUND_VACANT_LAND</t>
  </si>
  <si>
    <t>7710</t>
  </si>
  <si>
    <t>2026-08-31T18:05:17+00:00</t>
  </si>
  <si>
    <t>[08/31/2026 13:59:55]THERE ARE 26 PAST INCIDENTS AT 493 MAIN ST, [08/31/2026 14:04:40]ADMIN CALLER ADV SAW A WOMAN THROW A CIGARETTE OUT HER WINDOW AND LAND IN A, [08/31/2026 14:04:40]MULCH PILE BY THE SPEAKER OF THE DUNKIN DONUTS DRIVE THROUGH. STILL SMOKING AT, [08/31/2026 14:04:40]THIS TIME, [08/31/2026 14:05:51]CHECKED ALL THE MULCH NO PILES SMOKING. COMPANY CLEAR.</t>
  </si>
  <si>
    <t>2026-08-31T17:00:00+00:00</t>
  </si>
  <si>
    <t>25027716300</t>
  </si>
  <si>
    <t>716300</t>
  </si>
  <si>
    <t>3011</t>
  </si>
  <si>
    <t>NO_INCIDENT_FOUND</t>
  </si>
  <si>
    <t>Randall</t>
  </si>
  <si>
    <t>Bolton</t>
  </si>
  <si>
    <t>01740</t>
  </si>
  <si>
    <t>CONTAINMENT||OUTSIDE_FIRE_SUPPRESSION||HAND_CREW_FUEL_BREAK</t>
  </si>
  <si>
    <t>2026-07-17T20:53:47+00:00</t>
  </si>
  <si>
    <t>[07/17/2026 16:08:05]MUTUAL AID REQ FOR CLINTON FORESTRY TO 55 RANDALL RD IN BOLTON.</t>
  </si>
  <si>
    <t>2026-07-17T19:00:00+00:00</t>
  </si>
  <si>
    <t>25027715100</t>
  </si>
  <si>
    <t>715100</t>
  </si>
  <si>
    <t>2013</t>
  </si>
  <si>
    <t>High</t>
  </si>
  <si>
    <t>2026-06-15T13:52:07+00:00</t>
  </si>
  <si>
    <t>[06/15/2026 09:32:05]THERE ARE 7 PAST INCIDENTS AT 220 HIGH ST, [06/15/2026 09:33:19]MALE PARTY VIA ADMIN LINE REPORTING SMOKING MULCH IN THE ALLEYWAY BEHIND, [06/15/2026 09:33:19]********&amp;#x27;S NEAR THE BODEGA. RP ADV NO ACTIVE FLAMES, JUST SMOKE, [06/15/2026 09:41:28]F9 ADV A 15 X 5 FT STRETCH OF MULCH SMOLERING AND HAVE A LINE RUNNING</t>
  </si>
  <si>
    <t>HYDRANT_LESS_500</t>
  </si>
  <si>
    <t>2026-06-15T13:00:00+00:00</t>
  </si>
  <si>
    <t>3002</t>
  </si>
  <si>
    <t>Pond View</t>
  </si>
  <si>
    <t>E6||F9</t>
  </si>
  <si>
    <t>FD25027157S001U004||FD25027157S001U007</t>
  </si>
  <si>
    <t>SUPPRESSION||OUTSIDE_FIRE_SUPPRESSION||CONFINEMENT||SUPPRESSION||OUTSIDE_FIRE_SUPPRESSION||FIRE_CONTROL_EXTINGUISHMENT</t>
  </si>
  <si>
    <t>2026-04-26T23:10:19+00:00</t>
  </si>
  <si>
    <t>[04/26/2026 18:06:28]CALLER AT THE END OF ROGERS FIELD WAY REPORTS THAT SHE COULD SEE A LARGE FIRE, [04/26/2026 18:06:28]IN A BACKYARD PRODUCING LARGE AMOUNTS OF SMOKE, [04/26/2026 18:07:38]LANCASTER C1 REPORTS A LARGE AMOUNT OF SMOKE BEING PRODUCED FROM BEHIND A HOUSE, [04/26/2026 18:07:38]AT 44 POND VIEW DRIVE., [04/26/2026 18:08:51]FROM: (1) ROGERS FIELD WAY TO (1) 44 POND VIEW DR, [04/26/2026 18:08:52]THERE ARE 2 PAST INCIDENTS AT 44 POND VIEW DR, [04/26/2026 18:10:42]REQUEST FOR FIRE/RESCUE: ENGINE VOIDED, [04/26/2026 18:20:06]C5 REQ A RECALL FOR THREE MEMBERS FOR STATION COVERAGE AND MAN A3, [04/26/2026 18:20:13]FF BAKER IN ON THE RECALL, [04/26/2026 18:22:05]C5 ADV THE FIRE IS KNOCKED DOWN. WILL BE BUSY WITH THE OVERHAUL. ADV IT WAS AN, [04/26/2026 18:22:05]OUTDOOR FIRE THAT GOT AWAY FROM THE HOMEOWNER</t>
  </si>
  <si>
    <t>SPREAD_FROM_CONTROLLED_BURN</t>
  </si>
  <si>
    <t>HYDRANT_GREATER_500</t>
  </si>
  <si>
    <t>2026-04-26T22:00:00+00:00</t>
  </si>
  <si>
    <t>25027716102</t>
  </si>
  <si>
    <t>Lancaster</t>
  </si>
  <si>
    <t>01523</t>
  </si>
  <si>
    <t>2026-04-12T16:48:33+00:00</t>
  </si>
  <si>
    <t>[04/12/2026 12:04:51]LANCASTER REQ MUTUAL AID BRUSH TRUCK FOR THEIR BRUSH FIRE;, [04/12/2026 12:04:51], [04/12/2026 12:04:51]C1 REQ RECALL 3 MEMBERS STATION COVERAGE, [04/12/2026 12:10:27]F9 ADV LANCASTER BY RADIO THEY ARE OUT ON SCENE, [04/12/2026 12:48:19]FORESTRY 9 CLR LANCASTER, ALMOST BACK IN TOWN; OUT OF SERVICE FOR WATER, [04/12/2026 12:48:19]REPLENISHMENT</t>
  </si>
  <si>
    <t>25027713100</t>
  </si>
  <si>
    <t>Podunk</t>
  </si>
  <si>
    <t>East Brookfield</t>
  </si>
  <si>
    <t>01515</t>
  </si>
  <si>
    <t>26-039</t>
  </si>
  <si>
    <t>2026-03-20T16:45:00+00:00</t>
  </si>
  <si>
    <t>25027759100</t>
  </si>
  <si>
    <t>2026-04-01T21:39:09.558488+00:00</t>
  </si>
  <si>
    <t>Birch</t>
  </si>
  <si>
    <t>Milford</t>
  </si>
  <si>
    <t>01757</t>
  </si>
  <si>
    <t>ENG4</t>
  </si>
  <si>
    <t>2026-08-27T18:50:00+00:00</t>
  </si>
  <si>
    <t>INCENDIARY</t>
  </si>
  <si>
    <t>2026-08-27T18:00:00+00:00</t>
  </si>
  <si>
    <t>25027744202</t>
  </si>
  <si>
    <t>744202</t>
  </si>
  <si>
    <t>4004</t>
  </si>
  <si>
    <t>Emmons</t>
  </si>
  <si>
    <t>ENG5</t>
  </si>
  <si>
    <t>2026-08-14T18:18:00+00:00</t>
  </si>
  <si>
    <t>2026-08-14T17:00:00+00:00</t>
  </si>
  <si>
    <t>25027744400</t>
  </si>
  <si>
    <t>744400</t>
  </si>
  <si>
    <t>E</t>
  </si>
  <si>
    <t>COMMERCIAL||RESTAURANT_CAFE</t>
  </si>
  <si>
    <t>2026-07-27T19:16:00+00:00</t>
  </si>
  <si>
    <t>NATURAL</t>
  </si>
  <si>
    <t>FIRE_EXTINGUISHER</t>
  </si>
  <si>
    <t>2026-07-27T19:00:00+00:00</t>
  </si>
  <si>
    <t>3009</t>
  </si>
  <si>
    <t>2026-07-27T21:08:53.246066+00:00</t>
  </si>
  <si>
    <t>I-495</t>
  </si>
  <si>
    <t>RECEIVED</t>
  </si>
  <si>
    <t>FD25021128</t>
  </si>
  <si>
    <t>LAW_ENFORCEMENT</t>
  </si>
  <si>
    <t>ROADWAY_ACCESS||HIGHWAY_INTERSTATE</t>
  </si>
  <si>
    <t>2026-06-12T22:00:00+00:00</t>
  </si>
  <si>
    <t>FIRE_EXTINGUISHER||SMALL_DIAMETER_FIRE_HOSE</t>
  </si>
  <si>
    <t>2026-06-12T21:00:00+00:00</t>
  </si>
  <si>
    <t>1087</t>
  </si>
  <si>
    <t>Thundery outbreaks possible</t>
  </si>
  <si>
    <t>Prospect</t>
  </si>
  <si>
    <t>ENG5||RES1</t>
  </si>
  <si>
    <t>UNCLASSIFIED||UNCLASSIFIED</t>
  </si>
  <si>
    <t>2026-06-04T19:18:00+00:00</t>
  </si>
  <si>
    <t>SMALL_DIAMETER_FIRE_HOSE</t>
  </si>
  <si>
    <t>2026-06-04T19:00:00+00:00</t>
  </si>
  <si>
    <t>S</t>
  </si>
  <si>
    <t>Bellingham</t>
  </si>
  <si>
    <t>02019</t>
  </si>
  <si>
    <t>Norfolk County</t>
  </si>
  <si>
    <t>T1||RES3</t>
  </si>
  <si>
    <t>Bellingham fire department requesting tanker 1 for assistance, outside mulch fire, tanker shuttle.   Rescue 3 and Tanker 1 responded.  Engine 4, Ladder 1 OOS   3/1 recall performed with 1 firefighter responding to station 1. (Firefighter *****)</t>
  </si>
  <si>
    <t>OUTDOOR_INDUSTRIAL||INDUSTRIAL_YARD</t>
  </si>
  <si>
    <t>2026-06-01T19:51:00+00:00</t>
  </si>
  <si>
    <t>NOT_EVALUATED</t>
  </si>
  <si>
    <t>2026-06-01T16:00:00+00:00</t>
  </si>
  <si>
    <t>1183</t>
  </si>
  <si>
    <t>Light rain</t>
  </si>
  <si>
    <t>25021443103</t>
  </si>
  <si>
    <t>Central</t>
  </si>
  <si>
    <t>ENG5||LAD1||ENG4||LAD1</t>
  </si>
  <si>
    <t>ROADWAY_ACCESS||STREET</t>
  </si>
  <si>
    <t>2026-05-19T22:25:00+00:00</t>
  </si>
  <si>
    <t>2026-05-19T21:00:00+00:00</t>
  </si>
  <si>
    <t>LAD1||ENG5</t>
  </si>
  <si>
    <t>NON_EMERGENT||EMERGENT</t>
  </si>
  <si>
    <t>2026-05-18T18:33:00+00:00</t>
  </si>
  <si>
    <t>2026-05-18T18:00:00+00:00</t>
  </si>
  <si>
    <t>25027744300</t>
  </si>
  <si>
    <t>2026-05-20T12:14:18.585733+00:00</t>
  </si>
  <si>
    <t>West</t>
  </si>
  <si>
    <t>RES1||ENG5</t>
  </si>
  <si>
    <t>2026-05-12T20:18:00+00:00</t>
  </si>
  <si>
    <t>2026-05-12T19:00:00+00:00</t>
  </si>
  <si>
    <t>25027744102</t>
  </si>
  <si>
    <t>Howard</t>
  </si>
  <si>
    <t>FD25017868</t>
  </si>
  <si>
    <t>RES1||C1||B1||ENG5||RES1||C2||T1||T2||HT1||P1</t>
  </si>
  <si>
    <t>RC</t>
  </si>
  <si>
    <t>MINOR_DAMAGE</t>
  </si>
  <si>
    <t>COMMAND_AND_CONTROL||ESTABLISH_INCIDENT_COMMAND||SUPPRESSION||OUTSIDE_FIRE_SUPPRESSION||FIRE_CONTROL_EXTINGUISHMENT</t>
  </si>
  <si>
    <t>2026-04-27T19:30:00+00:00</t>
  </si>
  <si>
    <t>SMALL_DIAMETER_FIRE_HOSE||BOOSTER_FIRE_HOSE</t>
  </si>
  <si>
    <t>2026-04-27T16:00:00+00:00</t>
  </si>
  <si>
    <t>25027744201</t>
  </si>
  <si>
    <t>Courtland</t>
  </si>
  <si>
    <t>ENG5||B1||ENG5</t>
  </si>
  <si>
    <t>2026-04-12T19:21:00+00:00</t>
  </si>
  <si>
    <t>2026-04-12T17:00:00+00:00</t>
  </si>
  <si>
    <t>Medway</t>
  </si>
  <si>
    <t>ENG1||LAD1||ENG4</t>
  </si>
  <si>
    <t>2026-03-29T14:00:00+00:00</t>
  </si>
  <si>
    <t>West Boylston</t>
  </si>
  <si>
    <t>01583</t>
  </si>
  <si>
    <t>SUPPORT_AID||SUPPORT_AID</t>
  </si>
  <si>
    <t>GIVEN||RECEIVED</t>
  </si>
  <si>
    <t>FD25027399||FD25027661</t>
  </si>
  <si>
    <t>31E3||31POV||31F1</t>
  </si>
  <si>
    <t>2026-06-21T17:31:55+00:00</t>
  </si>
  <si>
    <t>BRUSH FIRE 31C2 REQUEST STERLING BRUSH. MULTIPLE CALLERS. NOTIFIED. 31C2 ADV MULTIPLE FIRES - HOLDEN FIRE ALSO STARTED 26-28747 31C2 REQUEST BOYLSTON ENGINE FOR SOME WATER NEEDED. NOTIFIED . 28E7 ENROUTE. 28E7 ON ARRIVAL COMMAND RETURNING BOYLSTON ENGINE 8W6 CLEAR AND RETURNING. COMMAND REPORTING ALL FIRES HAS BEEN KNOCKED DOWN AND WET DOWN. UNITS PICKING UP. 28E7 CLEAR BY COMMAND. 31E3 CLEAR NEEDS TO REFILL WITH WATER OOS. 31E3 ADV GETTING WATER AT RAIL TRAIL HYDRANT. OOS FOR 10 MINUTES COMMAND TERMINATED ALL UNITS CLEAR.</t>
  </si>
  <si>
    <t>2026-06-21T17:00:00+00:00</t>
  </si>
  <si>
    <t>25027729200</t>
  </si>
  <si>
    <t>Jasmine</t>
  </si>
  <si>
    <t>RECEIVED||RECEIVED</t>
  </si>
  <si>
    <t>FD25027967||FD25027661</t>
  </si>
  <si>
    <t>31POV||31E3||31F1</t>
  </si>
  <si>
    <t>COMMAND_AND_CONTROL||ESTABLISH_INCIDENT_COMMAND||INVESTIGATION||SUPPRESSION||OUTSIDE_FIRE_SUPPRESSION||FIRE_CONTROL_EXTINGUISHMENT||CONTAINMENT||OUTSIDE_FIRE_SUPPRESSION||HAND_CREW_FUEL_BREAK</t>
  </si>
  <si>
    <t>2026-06-15T18:51:40+00:00</t>
  </si>
  <si>
    <t>POSS BRUSH FIRE - HEAVY SMOKE BEHIND THE HOME 31C1 STATES BRUSH FIRE APPROX 1/2 AN ACRE, REQUESTING BRUSH FIRE RESPONSE. REQUESTING TO START BOYLSTON AND STERLING BRUSH TRUCKS. STERLING &amp;amp; BOYLSTON NOTIFIED SECOND TONE COMPLETE BOYLSTON CAR1 ON ARRIVAL COMMAND ADV HOSE LINES ARE DEPLOYED AROUND THE FIRE, HOLD TO UNITS ON SCENE, WILL BE TIRED UP ON SUPPRESSION AND OVER HAUL. BOYLSTON FORESTRY ENROUTE. BOYLSTON FORESTRY ON SCENE. COMMAND ADV FIRE HAS BEEN OVERHAUL HAS BEEN COMPLETE, PICKING UP HOSE LINES, UNITS CLEARING UP SHORTLY.</t>
  </si>
  <si>
    <t>2026-06-15T18:00:00+00:00</t>
  </si>
  <si>
    <t>25027729100</t>
  </si>
  <si>
    <t>729100</t>
  </si>
  <si>
    <t>1015</t>
  </si>
  <si>
    <t>Paul X Tivnan</t>
  </si>
  <si>
    <t>Boylston</t>
  </si>
  <si>
    <t>01505</t>
  </si>
  <si>
    <t>FD25027967</t>
  </si>
  <si>
    <t>31Car1||31F1||31A1||31E3</t>
  </si>
  <si>
    <t>EMERGENT||EMERGENT</t>
  </si>
  <si>
    <t>Fires were many to over 100 feet apart from each other with a very minor breeze perpendicular to fires and not in direction to support spot fires. Cause is suspicious.</t>
  </si>
  <si>
    <t>2026-05-27T14:01:10+00:00</t>
  </si>
  <si>
    <t>2026-05-27T14:00:00+00:00</t>
  </si>
  <si>
    <t>25027718100</t>
  </si>
  <si>
    <t>W</t>
  </si>
  <si>
    <t>31A1||31F1</t>
  </si>
  <si>
    <t>INVESTIGATION||SUPPRESSION||OUTSIDE_FIRE_SUPPRESSION||FIRE_CONTROL_EXTINGUISHMENT||SALVAGE_AND_OVERHAUL</t>
  </si>
  <si>
    <t>2026-05-05T17:00:00+00:00</t>
  </si>
  <si>
    <t>Maple</t>
  </si>
  <si>
    <t>FIRE||OUTSIDE_FIRE||VEGETATION_GRASS_FIRE||PUBSERV||OTHER||STANDBY</t>
  </si>
  <si>
    <t>31Car1</t>
  </si>
  <si>
    <t>NON_EMERGENT</t>
  </si>
  <si>
    <t>COUNTY/MUNICIPAL PROPERTY</t>
  </si>
  <si>
    <t>INVESTIGATION</t>
  </si>
  <si>
    <t>31C ADV PUBLIC HOUSING REPORTED DIRECT AN OUTSIDE FIRE THAT HAS NOW BEEN EXTINGUISHED. WILL BE INVESTIGATING. 31C ADV SPOKE WITH SOME RESIDENTS AND GAVE CARD FOR OTHER RESIDENTS TO CALL WHEN THEY RETURN</t>
  </si>
  <si>
    <t>2026-04-13T14:00:00+00:00</t>
  </si>
  <si>
    <t>Linden</t>
  </si>
  <si>
    <t>31F1</t>
  </si>
  <si>
    <t>2026-04-11T18:14:23+00:00</t>
  </si>
  <si>
    <t>2026-04-11T18:00:00+00:00</t>
  </si>
  <si>
    <t>Bunkerhill</t>
  </si>
  <si>
    <t>PARKWAY</t>
  </si>
  <si>
    <t>https://api.neris.fsri.org/v1/pygeoapi/collections/points/items/5365286</t>
  </si>
  <si>
    <t>UNATTENDED BRUSH PILE WILL BE EXTINGUISHING. NO ONE HOME. CALLED IN BY NEIGHBOR
31F1 REPORTS FIRE HAS BEEN EXTINGUISHED AND OVERAHULED. WILL BE GETTING IN CONTACT WITH HOMEOWNER.</t>
  </si>
  <si>
    <t>2026-01-16T20:00:00+00:00</t>
  </si>
  <si>
    <t>Craftsman</t>
  </si>
  <si>
    <t>East Windsor</t>
  </si>
  <si>
    <t>CT</t>
  </si>
  <si>
    <t>06088</t>
  </si>
  <si>
    <t>Capitol Planning Region</t>
  </si>
  <si>
    <t>E3||F3</t>
  </si>
  <si>
    <t>2026-06-18T01:34:00+00:00</t>
  </si>
  <si>
    <t>2026-06-19T00:00:00+00:00</t>
  </si>
  <si>
    <t>09003484100</t>
  </si>
  <si>
    <t>2026-06-18T01:41:12.055824+00:00</t>
  </si>
  <si>
    <t>NOT_PRESENT</t>
  </si>
  <si>
    <t>Ferry</t>
  </si>
  <si>
    <t>South Grafton</t>
  </si>
  <si>
    <t>01560</t>
  </si>
  <si>
    <t>C2||E3||F3</t>
  </si>
  <si>
    <t>SUPPRESSION||OUTSIDE_FIRE_SUPPRESSION||CONFINEMENT||COMMAND_AND_CONTROL||ESTABLISH_INCIDENT_COMMAND||SUPPRESSION||OUTSIDE_FIRE_SUPPRESSION||FIRE_CONTROL_EXTINGUISHMENT||COMMAND_AND_CONTROL||INCIDENT_ASSESSMENT_COMPLETED</t>
  </si>
  <si>
    <t>2026-04-29T02:20:00+00:00</t>
  </si>
  <si>
    <t>2026-04-29T12:05:35.294053+00:00</t>
  </si>
  <si>
    <t>Main St</t>
  </si>
  <si>
    <t>01560 1128</t>
  </si>
  <si>
    <t>2026-04-24T11:07:00+00:00</t>
  </si>
  <si>
    <t>2026-04-28T12:05:54.522034+00:00</t>
  </si>
  <si>
    <t>Stonegate</t>
  </si>
  <si>
    <t>Grafton</t>
  </si>
  <si>
    <t>01519</t>
  </si>
  <si>
    <t>B1||C2||E1||POV</t>
  </si>
  <si>
    <t>EMERGENT||EMERGENT||EMERGENT||EMERGENT</t>
  </si>
  <si>
    <t>SUPPRESSION||OUTSIDE_FIRE_SUPPRESSION||CONFINEMENT||COMMAND_AND_CONTROL||ESTABLISH_INCIDENT_COMMAND||INVESTIGATION||SUPPRESSION||STRUCTURAL_FIRE_SUPPRESSION||EXTERIOR||SALVAGE_AND_OVERHAUL</t>
  </si>
  <si>
    <t>2026-04-23T18:30:00+00:00</t>
  </si>
  <si>
    <t>STRUCTURE</t>
  </si>
  <si>
    <t>OTHER_HEAT_SOURCE</t>
  </si>
  <si>
    <t>25027738202</t>
  </si>
  <si>
    <t>2026-04-27T14:17:47.374156+00:00</t>
  </si>
  <si>
    <t>SMOKE_SHOWING</t>
  </si>
  <si>
    <t>Fay Mountain  Rd</t>
  </si>
  <si>
    <t>01519 1418</t>
  </si>
  <si>
    <t>B1||C2||E1</t>
  </si>
  <si>
    <t>SUPPRESSION||OUTSIDE_FIRE_SUPPRESSION||CONFINEMENT||COMMAND_AND_CONTROL||ESTABLISH_INCIDENT_COMMAND||INVESTIGATION</t>
  </si>
  <si>
    <t>2026-04-04T23:00:00+00:00</t>
  </si>
  <si>
    <t>2026-04-04T22:00:00+00:00</t>
  </si>
  <si>
    <t>2026-04-06T14:20:36.749004+00:00</t>
  </si>
  <si>
    <t>Duval</t>
  </si>
  <si>
    <t>Dudley</t>
  </si>
  <si>
    <t>01571</t>
  </si>
  <si>
    <t>Dudley Forestry 1</t>
  </si>
  <si>
    <t>FD25027249S001U053</t>
  </si>
  <si>
    <t>SUPPRESSION||OUTSIDE_FIRE_SUPPRESSION||ESTABLISH_FIRE_LINES||SUPPRESSION||OUTSIDE_FIRE_SUPPRESSION||FIRE_CONTROL_EXTINGUISHMENT||SUPPRESSION||OUTSIDE_FIRE_SUPPRESSION||CONFINEMENT</t>
  </si>
  <si>
    <t>2026-06-20T17:44:02+00:00</t>
  </si>
  <si>
    <t>EQUIPMENT_VEHICLE_USE</t>
  </si>
  <si>
    <t>2026-06-20T17:00:00+00:00</t>
  </si>
  <si>
    <t>25027755202</t>
  </si>
  <si>
    <t>Quinebaug</t>
  </si>
  <si>
    <t>2026-05-23T01:27:53+00:00</t>
  </si>
  <si>
    <t>2026-05-24T00:00:00+00:00</t>
  </si>
  <si>
    <t>INFORMATION_ENFORCEMENT||ENFORCE_CODE_OR_LAW||INVESTIGATION</t>
  </si>
  <si>
    <t>2026-05-08T19:58:14+00:00</t>
  </si>
  <si>
    <t>2026-05-08T18:00:00+00:00</t>
  </si>
  <si>
    <t>Healy</t>
  </si>
  <si>
    <t>Dudley Engine 2||Dudley Safety 1</t>
  </si>
  <si>
    <t>FD25027249S001U051||FD25027249S001U066</t>
  </si>
  <si>
    <t>03/29/2026 08:52:13: Dudley E2, Safety 1 dispatched to above address for the tree on fire. U/A found a local resident who was walking her dog when she noticed power lines that were swaying into a tree and the tree was smoldering. Upon further investigation, E2 noticed another tree deeper in the woods was on fire/ smoldering. E2 was able to extinguish the second tree with tank water from the deck gun but was unable to attempt to extinguish the first tree due to it being so close to the power lines. E2 contacted fire alarm and requested National Grid emergency response. Poles 21 and ** were affected. Fire alarm gave a 16:30 ETA for NG, E2 staged. When NG arrived they related they will take control of the scene and fire personnel were no longer needed. E2 was clear and in service.</t>
  </si>
  <si>
    <t>COMMAND_AND_CONTROL||NOTIFY_OTHER_AGENCIES||INVESTIGATION||SUPPRESSION||OUTSIDE_FIRE_SUPPRESSION||FIRE_CONTROL_EXTINGUISHMENT</t>
  </si>
  <si>
    <t>2026-03-29T20:25:59+00:00</t>
  </si>
  <si>
    <t>2026-03-29T19:00:00+00:00</t>
  </si>
  <si>
    <t>01506</t>
  </si>
  <si>
    <t>OUTDOOR||PLAYGROUND_PARK_RECREATIONAL_AREA</t>
  </si>
  <si>
    <t>https://api.neris.fsri.org/v1/pygeoapi/collections/points/items/55614941</t>
  </si>
  <si>
    <t>2026-08-30T16:18:00+00:00</t>
  </si>
  <si>
    <t>2026-08-30T15:54:00+00:00</t>
  </si>
  <si>
    <t>https://api.neris.fsri.org/v1/pygeoapi/collections/points/items/55614942</t>
  </si>
  <si>
    <t>C-2||Brookfield Forestry 2||POV</t>
  </si>
  <si>
    <t>2026-08-30T15:00:00+00:00</t>
  </si>
  <si>
    <t>25027760100</t>
  </si>
  <si>
    <t>760100</t>
  </si>
  <si>
    <t>1027</t>
  </si>
  <si>
    <t>01585</t>
  </si>
  <si>
    <t>https://api.neris.fsri.org/v1/pygeoapi/collections/points/items/35064142</t>
  </si>
  <si>
    <t>2026-05-05T21:07:00+00:00</t>
  </si>
  <si>
    <t>https://api.neris.fsri.org/v1/pygeoapi/collections/points/items/35064141</t>
  </si>
  <si>
    <t>Brookfield Tanker 2</t>
  </si>
  <si>
    <t>https://api.neris.fsri.org/v1/pygeoapi/collections/points/items/35064136</t>
  </si>
  <si>
    <t>COMMAND_AND_CONTROL||ESTABLISH_INCIDENT_COMMAND||COMMAND_AND_CONTROL||NOTIFY_OTHER_AGENCIES||SUPPRESSION||OUTSIDE_FIRE_SUPPRESSION||FIRE_CONTROL_EXTINGUISHMENT</t>
  </si>
  <si>
    <t>2026-05-05T20:10:00+00:00</t>
  </si>
  <si>
    <t>2026-05-05T18:43:00+00:00</t>
  </si>
  <si>
    <t>https://api.neris.fsri.org/v1/pygeoapi/collections/points/items/35064135</t>
  </si>
  <si>
    <t>C-1||Brookfield Forestry 2||Brookfield Tanker 2||Brookfield Tanker 1</t>
  </si>
  <si>
    <t>2026-05-05T18:00:00+00:00</t>
  </si>
  <si>
    <t>TOWN FARM ROAD</t>
  </si>
  <si>
    <t>https://api.neris.fsri.org/v1/pygeoapi/collections/points/items/35064134</t>
  </si>
  <si>
    <t>https://api.neris.fsri.org/v1/pygeoapi/collections/points/items/35064133</t>
  </si>
  <si>
    <t>C-3||Brookfield Forestry 2||Brookfield Tanker 2</t>
  </si>
  <si>
    <t>GIVEN||GIVEN</t>
  </si>
  <si>
    <t>FD25027106||FD25015575</t>
  </si>
  <si>
    <t>https://api.neris.fsri.org/v1/pygeoapi/collections/points/items/32881023</t>
  </si>
  <si>
    <t>26-29058</t>
  </si>
  <si>
    <t>2026-04-28T17:38:00+00:00</t>
  </si>
  <si>
    <t>https://api.neris.fsri.org/v1/pygeoapi/collections/points/items/32881024</t>
  </si>
  <si>
    <t>Brookfield Forestry 2||C-2</t>
  </si>
  <si>
    <t>2026-04-28T17:00:00+00:00</t>
  </si>
  <si>
    <t>25027725100</t>
  </si>
  <si>
    <t>LAKE</t>
  </si>
  <si>
    <t>RR</t>
  </si>
  <si>
    <t>https://api.neris.fsri.org/v1/pygeoapi/collections/points/items/30830756</t>
  </si>
  <si>
    <t>2026-04-14T19:18:00+00:00</t>
  </si>
  <si>
    <t>2026-04-14T18:38:00+00:00</t>
  </si>
  <si>
    <t>https://api.neris.fsri.org/v1/pygeoapi/collections/points/items/30830757</t>
  </si>
  <si>
    <t>Brookfield Forestry 2||Brookfield Forestry 1||Brookfield Tanker 2</t>
  </si>
  <si>
    <t>2026-04-14T18:00:00+00:00</t>
  </si>
  <si>
    <t>1243</t>
  </si>
  <si>
    <t>Moderate or heavy rain shower</t>
  </si>
  <si>
    <t>LAKE ROAD</t>
  </si>
  <si>
    <t>https://api.neris.fsri.org/v1/pygeoapi/collections/points/items/30830752</t>
  </si>
  <si>
    <t>26-24871</t>
  </si>
  <si>
    <t>2026-04-12T20:42:00+00:00</t>
  </si>
  <si>
    <t>2026-04-12T19:26:00+00:00</t>
  </si>
  <si>
    <t>https://api.neris.fsri.org/v1/pygeoapi/collections/points/items/30830753</t>
  </si>
  <si>
    <t>C-3||Brookfield Forestry 1||Brookfield Forestry 2||Brookfield Engine 3</t>
  </si>
  <si>
    <t>2026-04-12T19:00:00+00:00</t>
  </si>
  <si>
    <t>SOUTHBRIDGE</t>
  </si>
  <si>
    <t>01501</t>
  </si>
  <si>
    <t>Engine 4</t>
  </si>
  <si>
    <t>FD25027262S002U011</t>
  </si>
  <si>
    <t>RESTAURANT/BAR</t>
  </si>
  <si>
    <t>https://api.neris.fsri.org/v1/pygeoapi/collections/points/items/47986081</t>
  </si>
  <si>
    <t>2026-07-24T13:03:49+00:00</t>
  </si>
  <si>
    <t>https://api.neris.fsri.org/v1/pygeoapi/collections/points/items/47986080</t>
  </si>
  <si>
    <t>2026-07-24T12:00:00+00:00</t>
  </si>
  <si>
    <t>25027736300</t>
  </si>
  <si>
    <t>736300</t>
  </si>
  <si>
    <t>2051</t>
  </si>
  <si>
    <t>SWORD</t>
  </si>
  <si>
    <t>INDUSTRIAL WAREHOUSE</t>
  </si>
  <si>
    <t>https://api.neris.fsri.org/v1/pygeoapi/collections/points/items/44928517</t>
  </si>
  <si>
    <t>2026-07-17T21:23:45+00:00</t>
  </si>
  <si>
    <t>https://api.neris.fsri.org/v1/pygeoapi/collections/points/items/44928518</t>
  </si>
  <si>
    <t>2026-07-17T21:00:00+00:00</t>
  </si>
  <si>
    <t>2004</t>
  </si>
  <si>
    <t>WASHINGTON</t>
  </si>
  <si>
    <t>RETAIL - DEPARTMENT STORE</t>
  </si>
  <si>
    <t>https://api.neris.fsri.org/v1/pygeoapi/collections/points/items/43170034</t>
  </si>
  <si>
    <t>2026-07-10T18:28:09+00:00</t>
  </si>
  <si>
    <t>https://api.neris.fsri.org/v1/pygeoapi/collections/points/items/43170035</t>
  </si>
  <si>
    <t>2026-07-10T18:00:00+00:00</t>
  </si>
  <si>
    <t>25027736100</t>
  </si>
  <si>
    <t>736100</t>
  </si>
  <si>
    <t>2025</t>
  </si>
  <si>
    <t>https://api.neris.fsri.org/v1/pygeoapi/collections/points/items/34287033</t>
  </si>
  <si>
    <t>2026-06-04T19:25:36+00:00</t>
  </si>
  <si>
    <t>https://api.neris.fsri.org/v1/pygeoapi/collections/points/items/34287034</t>
  </si>
  <si>
    <t>MILLBURY</t>
  </si>
  <si>
    <t>Tanker 1||Ambulance 1||Car 3||Engine 1</t>
  </si>
  <si>
    <t>FD25027262S002U009||FD25027262S003U005||FD25027262S002U010||FD25027262S003U000</t>
  </si>
  <si>
    <t>TRUCKING TERMINAL</t>
  </si>
  <si>
    <t>https://api.neris.fsri.org/v1/pygeoapi/collections/points/items/26196754</t>
  </si>
  <si>
    <t>2026-05-01T19:33:03+00:00</t>
  </si>
  <si>
    <t>https://api.neris.fsri.org/v1/pygeoapi/collections/points/items/26196755</t>
  </si>
  <si>
    <t>Ambulance 1||Car 3||Engine 1||Tanker 1</t>
  </si>
  <si>
    <t>RAILROAD_OPS_MAINTENANCE</t>
  </si>
  <si>
    <t>2026-05-01T18:00:00+00:00</t>
  </si>
  <si>
    <t>25027736500</t>
  </si>
  <si>
    <t>SOUTH</t>
  </si>
  <si>
    <t>Ambulance 1||Engine 1</t>
  </si>
  <si>
    <t>FD25027262S003U005||FD25027262S003U000</t>
  </si>
  <si>
    <t>https://api.neris.fsri.org/v1/pygeoapi/collections/points/items/24486257</t>
  </si>
  <si>
    <t>2026-04-27T00:40:46+00:00</t>
  </si>
  <si>
    <t>https://api.neris.fsri.org/v1/pygeoapi/collections/points/items/24486256</t>
  </si>
  <si>
    <t>2026-04-28T00:00:00+00:00</t>
  </si>
  <si>
    <t>Clear</t>
  </si>
  <si>
    <t>night</t>
  </si>
  <si>
    <t>Washington</t>
  </si>
  <si>
    <t>Auburn</t>
  </si>
  <si>
    <t>Car 3||Engine 3||Forestry 1</t>
  </si>
  <si>
    <t>FD25027262S002U010||FD25027262S002U014||FD25027262S003U003</t>
  </si>
  <si>
    <t>2026-04-26T20:28:19+00:00</t>
  </si>
  <si>
    <t>2026-04-26T19:00:00+00:00</t>
  </si>
  <si>
    <t>113 WASHINGTON ST</t>
  </si>
  <si>
    <t>8A</t>
  </si>
  <si>
    <t>Ambulance 1||Ambulance 3||Car 2||Car 3||Engine 1||Engine 4</t>
  </si>
  <si>
    <t>FD25027262S003U005||FD25027262S002U003||FD25027262S002U002||FD25027262S002U010||FD25027262S003U000||FD25027262S002U011</t>
  </si>
  <si>
    <t>MIXED USE - COMM &amp; OTHER</t>
  </si>
  <si>
    <t>https://api.neris.fsri.org/v1/pygeoapi/collections/points/items/21715080</t>
  </si>
  <si>
    <t>2026-04-10T17:28:38+00:00</t>
  </si>
  <si>
    <t>https://api.neris.fsri.org/v1/pygeoapi/collections/points/items/21715081</t>
  </si>
  <si>
    <t>2026-04-10T17:00:00+00:00</t>
  </si>
  <si>
    <t>AUBURN</t>
  </si>
  <si>
    <t>Ambulance 3||Car 3||Engine 1||Engine 4</t>
  </si>
  <si>
    <t>FD25027262S002U003||FD25027262S002U010||FD25027262S003U000||FD25027262S002U011</t>
  </si>
  <si>
    <t>https://api.neris.fsri.org/v1/pygeoapi/collections/points/items/19716251</t>
  </si>
  <si>
    <t>EMERGENCY_MEDICAL_CARE||PROVIDE_TRANSPORT||INFORMATION_ENFORCEMENT||REFER_TO_PROPER_AHJ||SUPPRESSION||OUTSIDE_FIRE_SUPPRESSION||FIRE_CONTROL_EXTINGUISHMENT</t>
  </si>
  <si>
    <t>2026-03-31T18:48:41+00:00</t>
  </si>
  <si>
    <t>https://api.neris.fsri.org/v1/pygeoapi/collections/points/items/19716250</t>
  </si>
  <si>
    <t>2026-03-31T17:00:00+00:00</t>
  </si>
  <si>
    <t>Adams</t>
  </si>
  <si>
    <t>Leominster</t>
  </si>
  <si>
    <t>01453</t>
  </si>
  <si>
    <t>ENGINE4</t>
  </si>
  <si>
    <t>2026-07-16T19:00:00+00:00</t>
  </si>
  <si>
    <t>2026-07-16T18:00:00+00:00</t>
  </si>
  <si>
    <t>25027709100</t>
  </si>
  <si>
    <t>709100</t>
  </si>
  <si>
    <t>3001</t>
  </si>
  <si>
    <t>Nashua</t>
  </si>
  <si>
    <t>ENGINE3||LADDER1||18DC||ENGINE4||RESCUE3||RESCUE6||E8BRUSH</t>
  </si>
  <si>
    <t>COMMERCIAL||VEHICLE_REPAIR_SERVICES</t>
  </si>
  <si>
    <t>2026-04-28T20:42:00+00:00</t>
  </si>
  <si>
    <t>2026-04-28T20:00:00+00:00</t>
  </si>
  <si>
    <t>25027709501</t>
  </si>
  <si>
    <t>LADDER1</t>
  </si>
  <si>
    <t>SALVAGE_AND_OVERHAUL</t>
  </si>
  <si>
    <t>2026-04-21T20:33:00+00:00</t>
  </si>
  <si>
    <t>2026-04-21T20:00:00+00:00</t>
  </si>
  <si>
    <t>25027709204</t>
  </si>
  <si>
    <t>ENGINE3</t>
  </si>
  <si>
    <t>2026-04-13T16:23:00+00:00</t>
  </si>
  <si>
    <t>2026-04-13T16:00:00+00:00</t>
  </si>
  <si>
    <t>25027709600</t>
  </si>
  <si>
    <t>4th</t>
  </si>
  <si>
    <t>ENGINE3||ENGINE4||FM1||18DC||LADDER1</t>
  </si>
  <si>
    <t>2026-04-12T22:31:00+00:00</t>
  </si>
  <si>
    <t>25027709400</t>
  </si>
  <si>
    <t>2026-03-30T17:00:00+00:00</t>
  </si>
  <si>
    <t>25027709701</t>
  </si>
  <si>
    <t>Old Boston</t>
  </si>
  <si>
    <t>Hubbardston</t>
  </si>
  <si>
    <t>01452</t>
  </si>
  <si>
    <t>COMMAND_AND_CONTROL||ESTABLISH_INCIDENT_COMMAND||SUPPRESSION||OUTSIDE_FIRE_SUPPRESSION||CONFINEMENT</t>
  </si>
  <si>
    <t>26HU-572</t>
  </si>
  <si>
    <t>2026-08-12T18:50:23+00:00</t>
  </si>
  <si>
    <t>2026-08-12T18:00:00+00:00</t>
  </si>
  <si>
    <t>720100</t>
  </si>
  <si>
    <t>2040</t>
  </si>
  <si>
    <t>2026-08-17T15:48:11.222990+00:00</t>
  </si>
  <si>
    <t>Sunrise</t>
  </si>
  <si>
    <t>Barre</t>
  </si>
  <si>
    <t>01005</t>
  </si>
  <si>
    <t>FD25027426</t>
  </si>
  <si>
    <t>26HU-333</t>
  </si>
  <si>
    <t>2026-05-05T21:49:49+00:00</t>
  </si>
  <si>
    <t>25027722100</t>
  </si>
  <si>
    <t>Underwood</t>
  </si>
  <si>
    <t>26HU-322</t>
  </si>
  <si>
    <t>2026-04-29T18:55:51+00:00</t>
  </si>
  <si>
    <t>2026-04-29T18:00:00+00:00</t>
  </si>
  <si>
    <t>25027706100</t>
  </si>
  <si>
    <t>Williamsville</t>
  </si>
  <si>
    <t>ELECTRIC PLANT</t>
  </si>
  <si>
    <t>UTILITY_MISC||ENERGY_FACILITY_INFRASTRUCTURE</t>
  </si>
  <si>
    <t>26HU-316</t>
  </si>
  <si>
    <t>2026-04-26T19:53:05+00:00</t>
  </si>
  <si>
    <t>2026-04-26T18:00:00+00:00</t>
  </si>
  <si>
    <t>Morgan</t>
  </si>
  <si>
    <t>COMMAND_AND_CONTROL||ESTABLISH_INCIDENT_COMMAND||SUPPRESSION||OUTSIDE_FIRE_SUPPRESSION||CONFINEMENT||SUPPRESSION||OUTSIDE_FIRE_SUPPRESSION||FIRE_CONTROL_EXTINGUISHMENT</t>
  </si>
  <si>
    <t>26HU-315</t>
  </si>
  <si>
    <t>2026-04-24T18:04:49+00:00</t>
  </si>
  <si>
    <t>2026-04-24T17:00:00+00:00</t>
  </si>
  <si>
    <t>SUPPORT_AID||SUPPORT_AID||SUPPORT_AID||SUPPORT_AID</t>
  </si>
  <si>
    <t>RECEIVED||RECEIVED||RECEIVED||RECEIVED</t>
  </si>
  <si>
    <t>FD25027426||FD25027621||FD25027104||FD25027087</t>
  </si>
  <si>
    <t>https://api.neris.fsri.org/v1/pygeoapi/collections/polygons/items/95660</t>
  </si>
  <si>
    <t>COMMAND_AND_CONTROL||ESTABLISH_INCIDENT_COMMAND||COMMAND_AND_CONTROL||NOTIFY_OTHER_AGENCIES||COMMAND_AND_CONTROL||INCIDENT_ASSESSMENT_COMPLETED||SUPPRESSION||OUTSIDE_FIRE_SUPPRESSION||CONFINEMENT||SUPPRESSION||OUTSIDE_FIRE_SUPPRESSION||FIRE_CONTROL_EXTINGUISHMENT</t>
  </si>
  <si>
    <t>26HU-279</t>
  </si>
  <si>
    <t>2026-04-11T22:05:21+00:00</t>
  </si>
  <si>
    <t>River</t>
  </si>
  <si>
    <t>Rutland</t>
  </si>
  <si>
    <t>01543</t>
  </si>
  <si>
    <t>SUPPRESSION||OUTSIDE_FIRE_SUPPRESSION||CONFINEMENT||SUPPRESSION||OUTSIDE_FIRE_SUPPRESSION||FIRE_CONTROL_EXTINGUISHMENT||PROVIDE_SERVICES||PROVIDE_APPARATUS_WATER</t>
  </si>
  <si>
    <t>26HU-275</t>
  </si>
  <si>
    <t>2026-04-10T19:09:42+00:00</t>
  </si>
  <si>
    <t>25027721103</t>
  </si>
  <si>
    <t>Pine Hill</t>
  </si>
  <si>
    <t>17C2||17CAR2</t>
  </si>
  <si>
    <t>MIXED USE - AGRICULT &amp; RESID</t>
  </si>
  <si>
    <t>COMMAND_AND_CONTROL||ESTABLISH_INCIDENT_COMMAND||COMMAND_AND_CONTROL||NOTIFY_OTHER_AGENCIES||COMMAND_AND_CONTROL||INCIDENT_ASSESSMENT_COMPLETED||SUPPRESSION||OUTSIDE_FIRE_SUPPRESSION||CONFINEMENT||SUPPRESSION||OUTSIDE_FIRE_SUPPRESSION||FIRE_CONTROL_EXTINGUISHMENT||SALVAGE_AND_OVERHAUL||PROVIDE_SERVICES||PROVIDE_APPARATUS_WATER</t>
  </si>
  <si>
    <t>7/6/2026 1:37:02 PM 3rd party call to Devens FD for a report of smoke/fire in the area with was verified with Range Control.   07/06/2026 1343 17C2 and 533 area in the area Checking. 07/06/2026 1347 17C2 confirms a brush fire in the area. 07/06/2026 1348 Bolton Tanker toned per command. 07/06/2026 1349 Notified Clinton FD for their Foresty truck per command; Command advises of a 50x75 area. 07/06/2026 1351 Second tone for Bolton Tanker. 1 on IAR. 07/06/2026 1355 Toned for Devens Tanker per command. 07/06/2026 1359 Clinton FD Foresty 9 responding. 07/06/2026 1404 Devens committed to the scene, requested a recall for two FF&amp;#x27;s. 07/06/2026 1406 FF Pena signed on. 07/06/2026 1407 Clinton Foresty 9 on scene. 07/06/2026 1409 Second page sent. 07/06/2026 1415 33T on scene and will now be committed, requested the recall be changed to four ff and an officer. New page sent. 07/06/2026 1420 Second updated page sent. 07/06/2026 1421 Command advises that they are overhauling at this time, advising that a bulk of the fire has been knocked down. 07/06/2026 1427 Third and final page sent. 07/06/2026 1503 All units clear and available. Command advises that this was approx. 6000 to 7000 square feet that burned. 07/06/2026 1505 CSX can be notified that all emergency personnel have cleared the fire scene.</t>
  </si>
  <si>
    <t>2026-07-06T17:00:00+00:00</t>
  </si>
  <si>
    <t>713100</t>
  </si>
  <si>
    <t>1001</t>
  </si>
  <si>
    <t>Mill</t>
  </si>
  <si>
    <t>17E2</t>
  </si>
  <si>
    <t>6/3/2026 1:54:42 AM 06/03/2026 0154</t>
  </si>
  <si>
    <t>2026-06-03T05:00:00+00:00</t>
  </si>
  <si>
    <t>17E1||17C2||17E2</t>
  </si>
  <si>
    <t>COMMAND_AND_CONTROL||ESTABLISH_INCIDENT_COMMAND||COMMAND_AND_CONTROL||NOTIFY_OTHER_AGENCIES||COMMAND_AND_CONTROL||INCIDENT_ASSESSMENT_COMPLETED||INVESTIGATION||SUPPRESSION||OUTSIDE_FIRE_SUPPRESSION||CONFINEMENT||SUPPRESSION||OUTSIDE_FIRE_SUPPRESSION||FIRE_CONTROL_EXTINGUISHMENT||SALVAGE_AND_OVERHAUL||PROVIDE_SERVICES||PROVIDE_APPARATUS_WATER</t>
  </si>
  <si>
    <t>NURSE_OTHER_APPARATUS</t>
  </si>
  <si>
    <t>2026-04-12T15:00:00+00:00</t>
  </si>
  <si>
    <t>17C1||17E2</t>
  </si>
  <si>
    <t>https://api.neris.fsri.org/v1/pygeoapi/collections/points/items/19094608</t>
  </si>
  <si>
    <t>2026-03-31T13:00:00+00:00</t>
  </si>
  <si>
    <t>1135</t>
  </si>
  <si>
    <t>Fog</t>
  </si>
  <si>
    <t>2026-03-31T15:05:33.117335+00:00</t>
  </si>
  <si>
    <t>Sterling</t>
  </si>
  <si>
    <t>17C1||17E1||17E2</t>
  </si>
  <si>
    <t>FD dispatched to said location for the report of smoke coming from the woods behind the residence , possible brush fire. Upon investigation, a resident from 53 Bradbury Lane had an unauthorized pile of brush burning in the middle of the woods. Crews overhauled pile down to coals and extinguished all flames with a couple of water cans. Responsible party advised of the burning laws and regulations. and was going to stay with pile to use predicted rain to completely wet down area.</t>
  </si>
  <si>
    <t>https://api.neris.fsri.org/v1/pygeoapi/collections/points/items/10262690</t>
  </si>
  <si>
    <t>2026-01-10T18:00:00+00:00</t>
  </si>
  <si>
    <t>LOCUST</t>
  </si>
  <si>
    <t>01604-1129</t>
  </si>
  <si>
    <t>Engine 7</t>
  </si>
  <si>
    <t>FD25027312S014U000</t>
  </si>
  <si>
    <t>RL-7</t>
  </si>
  <si>
    <t>https://api.neris.fsri.org/v1/pygeoapi/collections/points/items/54565961</t>
  </si>
  <si>
    <t>2026-08-30T21:20:48+00:00</t>
  </si>
  <si>
    <t>https://api.neris.fsri.org/v1/pygeoapi/collections/points/items/54565960</t>
  </si>
  <si>
    <t>2026-08-30T20:00:00+00:00</t>
  </si>
  <si>
    <t>25027732201</t>
  </si>
  <si>
    <t>732201</t>
  </si>
  <si>
    <t>2006</t>
  </si>
  <si>
    <t>24</t>
  </si>
  <si>
    <t>Worcester</t>
  </si>
  <si>
    <t>01608</t>
  </si>
  <si>
    <t>Engine 6</t>
  </si>
  <si>
    <t>FD25027312S017U000</t>
  </si>
  <si>
    <t>2026-08-15T20:38:54+00:00</t>
  </si>
  <si>
    <t>2026-08-15T20:00:00+00:00</t>
  </si>
  <si>
    <t>25027731802</t>
  </si>
  <si>
    <t>731802</t>
  </si>
  <si>
    <t>2003</t>
  </si>
  <si>
    <t>SW</t>
  </si>
  <si>
    <t>CUTOFF</t>
  </si>
  <si>
    <t>01604</t>
  </si>
  <si>
    <t>ML-.5</t>
  </si>
  <si>
    <t>https://api.neris.fsri.org/v1/pygeoapi/collections/points/items/50837203</t>
  </si>
  <si>
    <t>https://api.neris.fsri.org/v1/pygeoapi/collections/points/items/50837202</t>
  </si>
  <si>
    <t>2026-08-14T18:00:00+00:00</t>
  </si>
  <si>
    <t>25027732801</t>
  </si>
  <si>
    <t>732801</t>
  </si>
  <si>
    <t>https://api.neris.fsri.org/v1/pygeoapi/collections/points/items/50832569</t>
  </si>
  <si>
    <t>2026-08-14T18:25:38+00:00</t>
  </si>
  <si>
    <t>https://api.neris.fsri.org/v1/pygeoapi/collections/points/items/50832570</t>
  </si>
  <si>
    <t>PARK</t>
  </si>
  <si>
    <t>01610</t>
  </si>
  <si>
    <t>FD25027312S021U001</t>
  </si>
  <si>
    <t>BG-3</t>
  </si>
  <si>
    <t>https://api.neris.fsri.org/v1/pygeoapi/collections/points/items/50259571</t>
  </si>
  <si>
    <t>2026-08-12T17:13:46+00:00</t>
  </si>
  <si>
    <t>https://api.neris.fsri.org/v1/pygeoapi/collections/points/items/50259572</t>
  </si>
  <si>
    <t>2026-08-12T17:00:00+00:00</t>
  </si>
  <si>
    <t>25027731101</t>
  </si>
  <si>
    <t>731101</t>
  </si>
  <si>
    <t>MADISON</t>
  </si>
  <si>
    <t>Engine 13</t>
  </si>
  <si>
    <t>FD25027312S013U000</t>
  </si>
  <si>
    <t>MG-2</t>
  </si>
  <si>
    <t>https://api.neris.fsri.org/v1/pygeoapi/collections/points/items/49052878</t>
  </si>
  <si>
    <t>2026-08-07T20:19:23+00:00</t>
  </si>
  <si>
    <t>https://api.neris.fsri.org/v1/pygeoapi/collections/points/items/49052877</t>
  </si>
  <si>
    <t>2026-08-07T19:00:00+00:00</t>
  </si>
  <si>
    <t>25027732500</t>
  </si>
  <si>
    <t>732500</t>
  </si>
  <si>
    <t>1025</t>
  </si>
  <si>
    <t>1 GREEN ST</t>
  </si>
  <si>
    <t>Engine 6||Engine 2</t>
  </si>
  <si>
    <t>FD25027312S017U000||FD25027312S013U010</t>
  </si>
  <si>
    <t>https://api.neris.fsri.org/v1/pygeoapi/collections/points/items/49135706</t>
  </si>
  <si>
    <t>2026-08-07T18:33:57+00:00</t>
  </si>
  <si>
    <t>https://api.neris.fsri.org/v1/pygeoapi/collections/points/items/49135707</t>
  </si>
  <si>
    <t>2026-08-07T18:00:00+00:00</t>
  </si>
  <si>
    <t>25027731700</t>
  </si>
  <si>
    <t>731700</t>
  </si>
  <si>
    <t>1004</t>
  </si>
  <si>
    <t>200 FOSTER ST</t>
  </si>
  <si>
    <t>https://api.neris.fsri.org/v1/pygeoapi/collections/points/items/48995179</t>
  </si>
  <si>
    <t>2026-08-07T15:41:08+00:00</t>
  </si>
  <si>
    <t>https://api.neris.fsri.org/v1/pygeoapi/collections/points/items/48995178</t>
  </si>
  <si>
    <t>2026-08-07T15:00:00+00:00</t>
  </si>
  <si>
    <t>2039</t>
  </si>
  <si>
    <t>8 LAUREL ST</t>
  </si>
  <si>
    <t>https://api.neris.fsri.org/v1/pygeoapi/collections/points/items/46377078</t>
  </si>
  <si>
    <t>2026-07-28T16:38:55+00:00</t>
  </si>
  <si>
    <t>https://api.neris.fsri.org/v1/pygeoapi/collections/points/items/46377079</t>
  </si>
  <si>
    <t>2026-07-28T16:00:00+00:00</t>
  </si>
  <si>
    <t>125 FRANKLIN ST</t>
  </si>
  <si>
    <t>https://api.neris.fsri.org/v1/pygeoapi/collections/points/items/46271732</t>
  </si>
  <si>
    <t>2026-07-27T23:01:20+00:00</t>
  </si>
  <si>
    <t>https://api.neris.fsri.org/v1/pygeoapi/collections/points/items/46271731</t>
  </si>
  <si>
    <t>2026-07-27T22:00:00+00:00</t>
  </si>
  <si>
    <t>2042</t>
  </si>
  <si>
    <t>https://api.neris.fsri.org/v1/pygeoapi/collections/points/items/46272237</t>
  </si>
  <si>
    <t>2026-07-27T22:20:38+00:00</t>
  </si>
  <si>
    <t>https://api.neris.fsri.org/v1/pygeoapi/collections/points/items/46272238</t>
  </si>
  <si>
    <t>CAMBRIDGE</t>
  </si>
  <si>
    <t>01603</t>
  </si>
  <si>
    <t>ML20</t>
  </si>
  <si>
    <t>SUPERMARKET</t>
  </si>
  <si>
    <t>https://api.neris.fsri.org/v1/pygeoapi/collections/points/items/45774667</t>
  </si>
  <si>
    <t>2026-07-25T22:51:41+00:00</t>
  </si>
  <si>
    <t>https://api.neris.fsri.org/v1/pygeoapi/collections/points/items/45774666</t>
  </si>
  <si>
    <t>2026-07-25T22:00:00+00:00</t>
  </si>
  <si>
    <t>25027731204</t>
  </si>
  <si>
    <t>731204</t>
  </si>
  <si>
    <t>1008</t>
  </si>
  <si>
    <t>CONGER</t>
  </si>
  <si>
    <t>01602-2215</t>
  </si>
  <si>
    <t>RS-7</t>
  </si>
  <si>
    <t>https://api.neris.fsri.org/v1/pygeoapi/collections/points/items/45734578</t>
  </si>
  <si>
    <t>INFORMATION_ENFORCEMENT||ENFORCE_CODE_OR_LAW</t>
  </si>
  <si>
    <t>2026-07-25T18:16:23+00:00</t>
  </si>
  <si>
    <t>https://api.neris.fsri.org/v1/pygeoapi/collections/points/items/45734577</t>
  </si>
  <si>
    <t>2026-07-25T17:00:00+00:00</t>
  </si>
  <si>
    <t>25027730700</t>
  </si>
  <si>
    <t>730700</t>
  </si>
  <si>
    <t>3014</t>
  </si>
  <si>
    <t>MILL</t>
  </si>
  <si>
    <t>Engine 5</t>
  </si>
  <si>
    <t>FD25027312S016U002</t>
  </si>
  <si>
    <t>ML10</t>
  </si>
  <si>
    <t>https://api.neris.fsri.org/v1/pygeoapi/collections/points/items/45358671</t>
  </si>
  <si>
    <t>2026-07-24T00:37:57+00:00</t>
  </si>
  <si>
    <t>https://api.neris.fsri.org/v1/pygeoapi/collections/points/items/45358672</t>
  </si>
  <si>
    <t>2026-07-25T00:00:00+00:00</t>
  </si>
  <si>
    <t>25027731002</t>
  </si>
  <si>
    <t>731002</t>
  </si>
  <si>
    <t>2008</t>
  </si>
  <si>
    <t>NEWTON</t>
  </si>
  <si>
    <t>01609</t>
  </si>
  <si>
    <t>Engine 3</t>
  </si>
  <si>
    <t>FD25027312S015U000</t>
  </si>
  <si>
    <t>RS-10</t>
  </si>
  <si>
    <t>https://api.neris.fsri.org/v1/pygeoapi/collections/points/items/44843950</t>
  </si>
  <si>
    <t>INFORMATION_ENFORCEMENT||PROVIDE_PUBLIC_INFORMATION</t>
  </si>
  <si>
    <t>2026-07-21T16:09:48+00:00</t>
  </si>
  <si>
    <t>https://api.neris.fsri.org/v1/pygeoapi/collections/points/items/44843949</t>
  </si>
  <si>
    <t>2026-07-21T16:00:00+00:00</t>
  </si>
  <si>
    <t>25027730801</t>
  </si>
  <si>
    <t>730801</t>
  </si>
  <si>
    <t>MERCANTILE</t>
  </si>
  <si>
    <t>BG-6</t>
  </si>
  <si>
    <t>https://api.neris.fsri.org/v1/pygeoapi/collections/points/items/46900656</t>
  </si>
  <si>
    <t>2026-07-17T21:07:44+00:00</t>
  </si>
  <si>
    <t>https://api.neris.fsri.org/v1/pygeoapi/collections/points/items/46900657</t>
  </si>
  <si>
    <t>2026-07-17T20:00:00+00:00</t>
  </si>
  <si>
    <t>541 LINCOLN ST</t>
  </si>
  <si>
    <t>01605</t>
  </si>
  <si>
    <t>Engine 8</t>
  </si>
  <si>
    <t>FD25027312S012U000</t>
  </si>
  <si>
    <t>BL-1</t>
  </si>
  <si>
    <t>https://api.neris.fsri.org/v1/pygeoapi/collections/points/items/43871650</t>
  </si>
  <si>
    <t>2026-07-17T16:08:23+00:00</t>
  </si>
  <si>
    <t>https://api.neris.fsri.org/v1/pygeoapi/collections/points/items/43871651</t>
  </si>
  <si>
    <t>2026-07-17T15:00:00+00:00</t>
  </si>
  <si>
    <t>25027732002</t>
  </si>
  <si>
    <t>732002</t>
  </si>
  <si>
    <t>1018</t>
  </si>
  <si>
    <t>LINCOLN</t>
  </si>
  <si>
    <t>Engine 3||Car 3</t>
  </si>
  <si>
    <t>FD25027312S015U000||FD25027312S015U008</t>
  </si>
  <si>
    <t>EDUCATIONAL</t>
  </si>
  <si>
    <t>https://api.neris.fsri.org/v1/pygeoapi/collections/points/items/43884945</t>
  </si>
  <si>
    <t>2026-07-17T15:44:22+00:00</t>
  </si>
  <si>
    <t>https://api.neris.fsri.org/v1/pygeoapi/collections/points/items/43884946</t>
  </si>
  <si>
    <t>545 LINCOLN ST</t>
  </si>
  <si>
    <t>Engine 16||Engine 3</t>
  </si>
  <si>
    <t>FD25027312S015U004||FD25027312S015U000</t>
  </si>
  <si>
    <t>https://api.neris.fsri.org/v1/pygeoapi/collections/points/items/43722581</t>
  </si>
  <si>
    <t>INVESTIGATION||SUPPRESSION||OUTSIDE_FIRE_SUPPRESSION||FIRE_CONTROL_EXTINGUISHMENT</t>
  </si>
  <si>
    <t>2026-07-16T21:50:17+00:00</t>
  </si>
  <si>
    <t>https://api.neris.fsri.org/v1/pygeoapi/collections/points/items/43722580</t>
  </si>
  <si>
    <t>2026-07-16T21:00:00+00:00</t>
  </si>
  <si>
    <t>MAIN</t>
  </si>
  <si>
    <t>BG-2</t>
  </si>
  <si>
    <t>https://api.neris.fsri.org/v1/pygeoapi/collections/points/items/43699538</t>
  </si>
  <si>
    <t>2026-07-16T20:58:28+00:00</t>
  </si>
  <si>
    <t>https://api.neris.fsri.org/v1/pygeoapi/collections/points/items/43699539</t>
  </si>
  <si>
    <t>2026-07-16T20:00:00+00:00</t>
  </si>
  <si>
    <t>220 MOUNTAIN ST E</t>
  </si>
  <si>
    <t>310</t>
  </si>
  <si>
    <t>01606</t>
  </si>
  <si>
    <t>Engine 11||Engine 16||Engine 6||Ladder 2||Engine 8||Ladder 6||Car 3||Ladder 3||Rescue 1</t>
  </si>
  <si>
    <t>FD25027312S018U001||FD25027312S015U004||FD25027312S017U000||FD25027312S013U009||FD25027312S012U000||FD25027312S018U000||FD25027312S015U008||FD25027312S013U003||FD25027312S017U001</t>
  </si>
  <si>
    <t>APARTMENT BUILDING</t>
  </si>
  <si>
    <t>https://api.neris.fsri.org/v1/pygeoapi/collections/points/items/43711068</t>
  </si>
  <si>
    <t>INVESTIGATION||PROVIDE_SERVICES||PROVIDE_APPARATUS_WATER||SUPPRESSION||OUTSIDE_FIRE_SUPPRESSION||FIRE_CONTROL_EXTINGUISHMENT</t>
  </si>
  <si>
    <t>2026-07-16T17:37:14+00:00</t>
  </si>
  <si>
    <t>https://api.neris.fsri.org/v1/pygeoapi/collections/points/items/43711067</t>
  </si>
  <si>
    <t>INVESTIGATED_BY_ARSON_FIRE_INVESTIGATOR</t>
  </si>
  <si>
    <t>2026-07-16T16:00:00+00:00</t>
  </si>
  <si>
    <t>25027730200</t>
  </si>
  <si>
    <t>730200</t>
  </si>
  <si>
    <t>2002</t>
  </si>
  <si>
    <t>BOYLSTON</t>
  </si>
  <si>
    <t>Engine 11</t>
  </si>
  <si>
    <t>FD25027312S018U001</t>
  </si>
  <si>
    <t>GAS/SERVICE STATION</t>
  </si>
  <si>
    <t>https://api.neris.fsri.org/v1/pygeoapi/collections/points/items/42747458</t>
  </si>
  <si>
    <t>2026-07-12T23:49:49+00:00</t>
  </si>
  <si>
    <t>https://api.neris.fsri.org/v1/pygeoapi/collections/points/items/42747457</t>
  </si>
  <si>
    <t>2026-07-12T23:00:00+00:00</t>
  </si>
  <si>
    <t>25027730300</t>
  </si>
  <si>
    <t>730300</t>
  </si>
  <si>
    <t>WYMAN</t>
  </si>
  <si>
    <t>01610-1618</t>
  </si>
  <si>
    <t>RG-5</t>
  </si>
  <si>
    <t>APARTMENT BLDG - 4-8 UNITS</t>
  </si>
  <si>
    <t>https://api.neris.fsri.org/v1/pygeoapi/collections/points/items/41024581</t>
  </si>
  <si>
    <t>2026-07-05T19:06:01+00:00</t>
  </si>
  <si>
    <t>https://api.neris.fsri.org/v1/pygeoapi/collections/points/items/41024582</t>
  </si>
  <si>
    <t>2026-07-05T18:00:00+00:00</t>
  </si>
  <si>
    <t>25027731300</t>
  </si>
  <si>
    <t>731300</t>
  </si>
  <si>
    <t>EATON</t>
  </si>
  <si>
    <t>PARKING GARAGE</t>
  </si>
  <si>
    <t>https://api.neris.fsri.org/v1/pygeoapi/collections/points/items/40764701</t>
  </si>
  <si>
    <t>2026-07-04T19:46:58+00:00</t>
  </si>
  <si>
    <t>https://api.neris.fsri.org/v1/pygeoapi/collections/points/items/40764702</t>
  </si>
  <si>
    <t>2026-07-04T19:00:00+00:00</t>
  </si>
  <si>
    <t>FRONT</t>
  </si>
  <si>
    <t>COMMERCIAL DEVLPBLE LAND</t>
  </si>
  <si>
    <t>https://api.neris.fsri.org/v1/pygeoapi/collections/points/items/40764181</t>
  </si>
  <si>
    <t>2026-07-04T18:14:00+00:00</t>
  </si>
  <si>
    <t>https://api.neris.fsri.org/v1/pygeoapi/collections/points/items/40764182</t>
  </si>
  <si>
    <t>2026-07-04T18:00:00+00:00</t>
  </si>
  <si>
    <t>2049</t>
  </si>
  <si>
    <t>TOBIAS BOLAND</t>
  </si>
  <si>
    <t>01607</t>
  </si>
  <si>
    <t>Engine 15</t>
  </si>
  <si>
    <t>FD25027312S019U002</t>
  </si>
  <si>
    <t>MG-1</t>
  </si>
  <si>
    <t>https://api.neris.fsri.org/v1/pygeoapi/collections/points/items/40870774</t>
  </si>
  <si>
    <t>2026-07-04T17:18:36+00:00</t>
  </si>
  <si>
    <t>https://api.neris.fsri.org/v1/pygeoapi/collections/points/items/40870775</t>
  </si>
  <si>
    <t>2026-07-04T17:00:00+00:00</t>
  </si>
  <si>
    <t>25027732901</t>
  </si>
  <si>
    <t>732901</t>
  </si>
  <si>
    <t>SUMMERHILL</t>
  </si>
  <si>
    <t>01606-3211</t>
  </si>
  <si>
    <t>3-FAMILY RESIDENCE</t>
  </si>
  <si>
    <t>https://api.neris.fsri.org/v1/pygeoapi/collections/points/items/40731382</t>
  </si>
  <si>
    <t>2026-07-04T15:16:12+00:00</t>
  </si>
  <si>
    <t>https://api.neris.fsri.org/v1/pygeoapi/collections/points/items/40731383</t>
  </si>
  <si>
    <t>2026-07-04T15:00:00+00:00</t>
  </si>
  <si>
    <t>147 CANTERBURY ST</t>
  </si>
  <si>
    <t>Engine 5||FIU 1</t>
  </si>
  <si>
    <t>FD25027312S016U002||FD25027312S022U003</t>
  </si>
  <si>
    <t>https://api.neris.fsri.org/v1/pygeoapi/collections/points/items/40639113</t>
  </si>
  <si>
    <t>2026-07-03T18:57:15+00:00</t>
  </si>
  <si>
    <t>https://api.neris.fsri.org/v1/pygeoapi/collections/points/items/40639114</t>
  </si>
  <si>
    <t>2026-07-03T18:00:00+00:00</t>
  </si>
  <si>
    <t>25027733000</t>
  </si>
  <si>
    <t>733000</t>
  </si>
  <si>
    <t>3013</t>
  </si>
  <si>
    <t>https://api.neris.fsri.org/v1/pygeoapi/collections/points/items/40473538</t>
  </si>
  <si>
    <t>2026-07-03T10:19:31+00:00</t>
  </si>
  <si>
    <t>https://api.neris.fsri.org/v1/pygeoapi/collections/points/items/40473539</t>
  </si>
  <si>
    <t>2026-07-03T10:00:00+00:00</t>
  </si>
  <si>
    <t>123 MAJOR TAYLOR BLVD</t>
  </si>
  <si>
    <t>Engine 16</t>
  </si>
  <si>
    <t>FD25027312S015U004</t>
  </si>
  <si>
    <t>https://api.neris.fsri.org/v1/pygeoapi/collections/points/items/40345965</t>
  </si>
  <si>
    <t>2026-07-02T18:01:40+00:00</t>
  </si>
  <si>
    <t>https://api.neris.fsri.org/v1/pygeoapi/collections/points/items/40345966</t>
  </si>
  <si>
    <t>2026-07-02T17:00:00+00:00</t>
  </si>
  <si>
    <t>2030</t>
  </si>
  <si>
    <t>https://api.neris.fsri.org/v1/pygeoapi/collections/points/items/40150066</t>
  </si>
  <si>
    <t>SUPPRESSION||OUTSIDE_FIRE_SUPPRESSION||FIRE_CONTROL_EXTINGUISHMENT||SALVAGE_AND_OVERHAUL</t>
  </si>
  <si>
    <t>2026-07-02T02:38:10+00:00</t>
  </si>
  <si>
    <t>https://api.neris.fsri.org/v1/pygeoapi/collections/points/items/40150067</t>
  </si>
  <si>
    <t>2026-07-03T02:00:00+00:00</t>
  </si>
  <si>
    <t>25027730500</t>
  </si>
  <si>
    <t>730500</t>
  </si>
  <si>
    <t>3027</t>
  </si>
  <si>
    <t>2026-07-02T02:38:00+00:00</t>
  </si>
  <si>
    <t>2 WASHINGTON SQ</t>
  </si>
  <si>
    <t>Engine 13||Engine 6</t>
  </si>
  <si>
    <t>FD25027312S013U000||FD25027312S017U000</t>
  </si>
  <si>
    <t>https://api.neris.fsri.org/v1/pygeoapi/collections/points/items/37857952</t>
  </si>
  <si>
    <t>2026-06-22T07:45:26+00:00</t>
  </si>
  <si>
    <t>https://api.neris.fsri.org/v1/pygeoapi/collections/points/items/37857953</t>
  </si>
  <si>
    <t>2026-06-22T07:00:00+00:00</t>
  </si>
  <si>
    <t>ARARAT</t>
  </si>
  <si>
    <t>01606-3442</t>
  </si>
  <si>
    <t>https://api.neris.fsri.org/v1/pygeoapi/collections/points/items/39949371</t>
  </si>
  <si>
    <t>2026-06-21T20:44:13+00:00</t>
  </si>
  <si>
    <t>https://api.neris.fsri.org/v1/pygeoapi/collections/points/items/39949370</t>
  </si>
  <si>
    <t>2026-06-21T20:00:00+00:00</t>
  </si>
  <si>
    <t>25027730100</t>
  </si>
  <si>
    <t>730100</t>
  </si>
  <si>
    <t>3022</t>
  </si>
  <si>
    <t>WASHBURN</t>
  </si>
  <si>
    <t>FIU 4||Engine 2</t>
  </si>
  <si>
    <t>FD25027312S022U006||FD25027312S013U010</t>
  </si>
  <si>
    <t>https://api.neris.fsri.org/v1/pygeoapi/collections/points/items/37807295</t>
  </si>
  <si>
    <t>2026-06-21T20:52:36+00:00</t>
  </si>
  <si>
    <t>https://api.neris.fsri.org/v1/pygeoapi/collections/points/items/37807296</t>
  </si>
  <si>
    <t>GRAND</t>
  </si>
  <si>
    <t>01610-1633</t>
  </si>
  <si>
    <t>https://api.neris.fsri.org/v1/pygeoapi/collections/points/items/37796272</t>
  </si>
  <si>
    <t>2026-06-21T18:00:40+00:00</t>
  </si>
  <si>
    <t>https://api.neris.fsri.org/v1/pygeoapi/collections/points/items/37796273</t>
  </si>
  <si>
    <t>Engine 2||Engine 5</t>
  </si>
  <si>
    <t>FD25027312S013U010||FD25027312S016U002</t>
  </si>
  <si>
    <t>https://api.neris.fsri.org/v1/pygeoapi/collections/points/items/37770893</t>
  </si>
  <si>
    <t>2026-06-21T17:15:30+00:00</t>
  </si>
  <si>
    <t>https://api.neris.fsri.org/v1/pygeoapi/collections/points/items/37770892</t>
  </si>
  <si>
    <t>RUSSELL</t>
  </si>
  <si>
    <t>RELIGIOUS PROPERTY</t>
  </si>
  <si>
    <t>https://api.neris.fsri.org/v1/pygeoapi/collections/points/items/37062559</t>
  </si>
  <si>
    <t>2026-06-18T20:39:49+00:00</t>
  </si>
  <si>
    <t>https://api.neris.fsri.org/v1/pygeoapi/collections/points/items/37062558</t>
  </si>
  <si>
    <t>2026-06-18T20:00:00+00:00</t>
  </si>
  <si>
    <t>CIRCUIT</t>
  </si>
  <si>
    <t>CHARITABLE  PROPERTY</t>
  </si>
  <si>
    <t>https://api.neris.fsri.org/v1/pygeoapi/collections/points/items/36783220</t>
  </si>
  <si>
    <t>2026-06-17T16:21:06+00:00</t>
  </si>
  <si>
    <t>https://api.neris.fsri.org/v1/pygeoapi/collections/points/items/36783219</t>
  </si>
  <si>
    <t>2026-06-17T16:00:00+00:00</t>
  </si>
  <si>
    <t>Engine 5||Ladder 3</t>
  </si>
  <si>
    <t>FD25027312S016U002||FD25027312S013U003</t>
  </si>
  <si>
    <t>https://api.neris.fsri.org/v1/pygeoapi/collections/points/items/36782216</t>
  </si>
  <si>
    <t>2026-06-17T14:46:05+00:00</t>
  </si>
  <si>
    <t>https://api.neris.fsri.org/v1/pygeoapi/collections/points/items/36782217</t>
  </si>
  <si>
    <t>2026-06-17T14:00:00+00:00</t>
  </si>
  <si>
    <t>FOSTER</t>
  </si>
  <si>
    <t>Engine 12||Engine 6</t>
  </si>
  <si>
    <t>FD25027312S017U002||FD25027312S017U000</t>
  </si>
  <si>
    <t>https://api.neris.fsri.org/v1/pygeoapi/collections/points/items/36640411</t>
  </si>
  <si>
    <t>2026-06-16T22:35:45+00:00</t>
  </si>
  <si>
    <t>https://api.neris.fsri.org/v1/pygeoapi/collections/points/items/36640412</t>
  </si>
  <si>
    <t>2026-06-16T22:00:00+00:00</t>
  </si>
  <si>
    <t>SHOPPING CTR/MALL</t>
  </si>
  <si>
    <t>https://api.neris.fsri.org/v1/pygeoapi/collections/points/items/36712929</t>
  </si>
  <si>
    <t>2026-06-16T18:56:49+00:00</t>
  </si>
  <si>
    <t>https://api.neris.fsri.org/v1/pygeoapi/collections/points/items/36712930</t>
  </si>
  <si>
    <t>2026-06-16T18:00:00+00:00</t>
  </si>
  <si>
    <t>25027730401</t>
  </si>
  <si>
    <t>533 LINCOLN ST</t>
  </si>
  <si>
    <t>https://api.neris.fsri.org/v1/pygeoapi/collections/points/items/36562462</t>
  </si>
  <si>
    <t>https://api.neris.fsri.org/v1/pygeoapi/collections/points/items/36562461</t>
  </si>
  <si>
    <t>2026-06-16T16:00:00+00:00</t>
  </si>
  <si>
    <t>529 LINCOLN ST</t>
  </si>
  <si>
    <t>https://api.neris.fsri.org/v1/pygeoapi/collections/points/items/36545676</t>
  </si>
  <si>
    <t>INVESTIGATION||SUPPRESSION||OUTSIDE_FIRE_SUPPRESSION||CONFINEMENT</t>
  </si>
  <si>
    <t>2026-06-16T17:06:35+00:00</t>
  </si>
  <si>
    <t>https://api.neris.fsri.org/v1/pygeoapi/collections/points/items/36545677</t>
  </si>
  <si>
    <t>189 MADISON ST</t>
  </si>
  <si>
    <t>https://api.neris.fsri.org/v1/pygeoapi/collections/points/items/36001331</t>
  </si>
  <si>
    <t>2026-06-15T03:29:49+00:00</t>
  </si>
  <si>
    <t>https://api.neris.fsri.org/v1/pygeoapi/collections/points/items/36001330</t>
  </si>
  <si>
    <t>2026-06-16T03:00:00+00:00</t>
  </si>
  <si>
    <t>Engine 4||Engine 5</t>
  </si>
  <si>
    <t>FD25027312S021U001||FD25027312S016U002</t>
  </si>
  <si>
    <t>https://api.neris.fsri.org/v1/pygeoapi/collections/points/items/35865233</t>
  </si>
  <si>
    <t>2026-06-14T14:25:16+00:00</t>
  </si>
  <si>
    <t>https://api.neris.fsri.org/v1/pygeoapi/collections/points/items/35865232</t>
  </si>
  <si>
    <t>2026-06-14T14:00:00+00:00</t>
  </si>
  <si>
    <t>https://api.neris.fsri.org/v1/pygeoapi/collections/points/items/35727636</t>
  </si>
  <si>
    <t>2026-06-13T19:19:48+00:00</t>
  </si>
  <si>
    <t>https://api.neris.fsri.org/v1/pygeoapi/collections/points/items/35727635</t>
  </si>
  <si>
    <t>2026-06-13T19:00:00+00:00</t>
  </si>
  <si>
    <t>BURNCOAT</t>
  </si>
  <si>
    <t>MIXED USE - PRIM COMM &amp; RESD</t>
  </si>
  <si>
    <t>https://api.neris.fsri.org/v1/pygeoapi/collections/points/items/35319440</t>
  </si>
  <si>
    <t>https://api.neris.fsri.org/v1/pygeoapi/collections/points/items/35319439</t>
  </si>
  <si>
    <t>2026-06-11T18:00:00+00:00</t>
  </si>
  <si>
    <t>BEVERLY</t>
  </si>
  <si>
    <t>https://api.neris.fsri.org/v1/pygeoapi/collections/points/items/35339749</t>
  </si>
  <si>
    <t>2026-06-11T12:30:50+00:00</t>
  </si>
  <si>
    <t>https://api.neris.fsri.org/v1/pygeoapi/collections/points/items/35339750</t>
  </si>
  <si>
    <t>2026-06-11T12:00:00+00:00</t>
  </si>
  <si>
    <t>1030</t>
  </si>
  <si>
    <t>Mist</t>
  </si>
  <si>
    <t>https://api.neris.fsri.org/v1/pygeoapi/collections/points/items/35112839</t>
  </si>
  <si>
    <t>2026-06-10T16:47:44+00:00</t>
  </si>
  <si>
    <t>https://api.neris.fsri.org/v1/pygeoapi/collections/points/items/35112840</t>
  </si>
  <si>
    <t>2026-06-10T16:00:00+00:00</t>
  </si>
  <si>
    <t>117 CAMBRIDGE ST</t>
  </si>
  <si>
    <t>AUTO SALES</t>
  </si>
  <si>
    <t>https://api.neris.fsri.org/v1/pygeoapi/collections/points/items/34335846</t>
  </si>
  <si>
    <t>2026-06-09T16:04:31+00:00</t>
  </si>
  <si>
    <t>https://api.neris.fsri.org/v1/pygeoapi/collections/points/items/34335847</t>
  </si>
  <si>
    <t>2026-06-09T15:00:00+00:00</t>
  </si>
  <si>
    <t>15 DEWEY ST</t>
  </si>
  <si>
    <t>https://api.neris.fsri.org/v1/pygeoapi/collections/points/items/33861285</t>
  </si>
  <si>
    <t>2026-06-07T15:02:23+00:00</t>
  </si>
  <si>
    <t>https://api.neris.fsri.org/v1/pygeoapi/collections/points/items/33861286</t>
  </si>
  <si>
    <t>2026-06-07T14:00:00+00:00</t>
  </si>
  <si>
    <t>25027731500</t>
  </si>
  <si>
    <t>Engine 2||Engine 4</t>
  </si>
  <si>
    <t>FD25027312S013U010||FD25027312S021U001</t>
  </si>
  <si>
    <t>https://api.neris.fsri.org/v1/pygeoapi/collections/points/items/33559952</t>
  </si>
  <si>
    <t>2026-06-06T00:59:32+00:00</t>
  </si>
  <si>
    <t>https://api.neris.fsri.org/v1/pygeoapi/collections/points/items/33559953</t>
  </si>
  <si>
    <t>2026-06-05T23:00:00+00:00</t>
  </si>
  <si>
    <t>7 PAUL CLANCY WAY</t>
  </si>
  <si>
    <t>https://api.neris.fsri.org/v1/pygeoapi/collections/points/items/33477227</t>
  </si>
  <si>
    <t>2026-06-05T19:38:49+00:00</t>
  </si>
  <si>
    <t>https://api.neris.fsri.org/v1/pygeoapi/collections/points/items/33477228</t>
  </si>
  <si>
    <t>2026-06-05T19:00:00+00:00</t>
  </si>
  <si>
    <t>OSCEOLA</t>
  </si>
  <si>
    <t>01606-1803</t>
  </si>
  <si>
    <t>https://api.neris.fsri.org/v1/pygeoapi/collections/points/items/32926765</t>
  </si>
  <si>
    <t>2026-06-03T22:08:02+00:00</t>
  </si>
  <si>
    <t>https://api.neris.fsri.org/v1/pygeoapi/collections/points/items/32926764</t>
  </si>
  <si>
    <t>2026-06-03T21:00:00+00:00</t>
  </si>
  <si>
    <t>ETRE</t>
  </si>
  <si>
    <t>Engine E7</t>
  </si>
  <si>
    <t>https://api.neris.fsri.org/v1/pygeoapi/collections/points/items/32214944</t>
  </si>
  <si>
    <t>2026-06-01T12:06:11+00:00</t>
  </si>
  <si>
    <t>https://api.neris.fsri.org/v1/pygeoapi/collections/points/items/32214945</t>
  </si>
  <si>
    <t>2026-06-01T11:00:00+00:00</t>
  </si>
  <si>
    <t>1240</t>
  </si>
  <si>
    <t>Light rain shower</t>
  </si>
  <si>
    <t>SUFFOLK</t>
  </si>
  <si>
    <t>01604-3718</t>
  </si>
  <si>
    <t>Engine E6</t>
  </si>
  <si>
    <t>https://api.neris.fsri.org/v1/pygeoapi/collections/points/items/31545085</t>
  </si>
  <si>
    <t>2026-05-28T17:52:33+00:00</t>
  </si>
  <si>
    <t>https://api.neris.fsri.org/v1/pygeoapi/collections/points/items/31545086</t>
  </si>
  <si>
    <t>2026-05-28T17:00:00+00:00</t>
  </si>
  <si>
    <t>25027732203</t>
  </si>
  <si>
    <t>100 FRANKLIN ST</t>
  </si>
  <si>
    <t>https://api.neris.fsri.org/v1/pygeoapi/collections/points/items/31023880</t>
  </si>
  <si>
    <t>INVESTIGATION||SALVAGE_AND_OVERHAUL||SUPPRESSION||OUTSIDE_FIRE_SUPPRESSION||FIRE_CONTROL_EXTINGUISHMENT</t>
  </si>
  <si>
    <t>2026-05-27T17:56:08+00:00</t>
  </si>
  <si>
    <t>https://api.neris.fsri.org/v1/pygeoapi/collections/points/items/31023881</t>
  </si>
  <si>
    <t>2026-05-27T17:00:00+00:00</t>
  </si>
  <si>
    <t>13 RICHARDS ST</t>
  </si>
  <si>
    <t>Car 3||Car 4||Engine 13||Engine 15||Engine E2||Engine E5||Ladder 4||Ladder 5||Ladder 7||Rescue 1||Safety Capt</t>
  </si>
  <si>
    <t>FD25027312S015U008||FD25027312S013U012||FD25027312S013U000||FD25027312S019U002||FD25027312S013U010||FD25027312S016U002||FD25027312S016U004||FD25027312S019U001||FD25027312S021U000||FD25027312S017U001||FD25027312S021U002</t>
  </si>
  <si>
    <t>https://api.neris.fsri.org/v1/pygeoapi/collections/points/items/30261142</t>
  </si>
  <si>
    <t>2026-05-23T22:35:03+00:00</t>
  </si>
  <si>
    <t>https://api.neris.fsri.org/v1/pygeoapi/collections/points/items/30261143</t>
  </si>
  <si>
    <t>2026-05-23T22:00:00+00:00</t>
  </si>
  <si>
    <t>TRENT</t>
  </si>
  <si>
    <t>01604-1824</t>
  </si>
  <si>
    <t>Engine 12</t>
  </si>
  <si>
    <t>FD25027312S017U002</t>
  </si>
  <si>
    <t>https://api.neris.fsri.org/v1/pygeoapi/collections/points/items/30200316</t>
  </si>
  <si>
    <t>2026-05-23T20:28:42+00:00</t>
  </si>
  <si>
    <t>https://api.neris.fsri.org/v1/pygeoapi/collections/points/items/30200315</t>
  </si>
  <si>
    <t>2026-05-23T20:00:00+00:00</t>
  </si>
  <si>
    <t>25027732202</t>
  </si>
  <si>
    <t>https://api.neris.fsri.org/v1/pygeoapi/collections/points/items/29355280</t>
  </si>
  <si>
    <t>2026-05-19T21:05:14+00:00</t>
  </si>
  <si>
    <t>https://api.neris.fsri.org/v1/pygeoapi/collections/points/items/29355281</t>
  </si>
  <si>
    <t>2026-05-19T20:00:00+00:00</t>
  </si>
  <si>
    <t>MAJOR TAYLOR</t>
  </si>
  <si>
    <t>ML40</t>
  </si>
  <si>
    <t>https://api.neris.fsri.org/v1/pygeoapi/collections/points/items/29363629</t>
  </si>
  <si>
    <t>2026-05-19T20:51:41+00:00</t>
  </si>
  <si>
    <t>https://api.neris.fsri.org/v1/pygeoapi/collections/points/items/29363630</t>
  </si>
  <si>
    <t>OFFICE BLDG - GENERAL</t>
  </si>
  <si>
    <t>https://api.neris.fsri.org/v1/pygeoapi/collections/points/items/29337702</t>
  </si>
  <si>
    <t>2026-05-19T19:49:15+00:00</t>
  </si>
  <si>
    <t>https://api.neris.fsri.org/v1/pygeoapi/collections/points/items/29337701</t>
  </si>
  <si>
    <t>2026-05-19T19:00:00+00:00</t>
  </si>
  <si>
    <t>Engine E4</t>
  </si>
  <si>
    <t>https://api.neris.fsri.org/v1/pygeoapi/collections/points/items/29420144</t>
  </si>
  <si>
    <t>2026-05-19T18:37:20+00:00</t>
  </si>
  <si>
    <t>https://api.neris.fsri.org/v1/pygeoapi/collections/points/items/29420145</t>
  </si>
  <si>
    <t>2026-05-19T18:00:00+00:00</t>
  </si>
  <si>
    <t>537 LINCOLN ST</t>
  </si>
  <si>
    <t>Engine E8</t>
  </si>
  <si>
    <t>https://api.neris.fsri.org/v1/pygeoapi/collections/points/items/29312064</t>
  </si>
  <si>
    <t>2026-05-19T17:17:14+00:00</t>
  </si>
  <si>
    <t>https://api.neris.fsri.org/v1/pygeoapi/collections/points/items/29312065</t>
  </si>
  <si>
    <t>2026-05-19T17:00:00+00:00</t>
  </si>
  <si>
    <t>CENTRAL</t>
  </si>
  <si>
    <t>01613</t>
  </si>
  <si>
    <t>FEDERAL PROPERTY</t>
  </si>
  <si>
    <t>https://api.neris.fsri.org/v1/pygeoapi/collections/points/items/29299247</t>
  </si>
  <si>
    <t>2026-05-19T17:13:14+00:00</t>
  </si>
  <si>
    <t>https://api.neris.fsri.org/v1/pygeoapi/collections/points/items/29299248</t>
  </si>
  <si>
    <t>967 GRAFTON ST</t>
  </si>
  <si>
    <t>https://api.neris.fsri.org/v1/pygeoapi/collections/points/items/29118809</t>
  </si>
  <si>
    <t>2026-05-18T18:28:02+00:00</t>
  </si>
  <si>
    <t>https://api.neris.fsri.org/v1/pygeoapi/collections/points/items/29118808</t>
  </si>
  <si>
    <t>25027732301</t>
  </si>
  <si>
    <t>https://api.neris.fsri.org/v1/pygeoapi/collections/points/items/28951932</t>
  </si>
  <si>
    <t>2026-05-17T18:32:55+00:00</t>
  </si>
  <si>
    <t>https://api.neris.fsri.org/v1/pygeoapi/collections/points/items/28951933</t>
  </si>
  <si>
    <t>2026-05-17T18:00:00+00:00</t>
  </si>
  <si>
    <t>1 WEBSTER ST</t>
  </si>
  <si>
    <t>Engine E5</t>
  </si>
  <si>
    <t>RETAIL - SERVICE</t>
  </si>
  <si>
    <t>https://api.neris.fsri.org/v1/pygeoapi/collections/points/items/26920671</t>
  </si>
  <si>
    <t>SUPPRESSION||OUTSIDE_FIRE_SUPPRESSION||BACKBURN</t>
  </si>
  <si>
    <t>2026-05-08T21:19:36+00:00</t>
  </si>
  <si>
    <t>https://api.neris.fsri.org/v1/pygeoapi/collections/points/items/26920672</t>
  </si>
  <si>
    <t>2026-05-08T21:00:00+00:00</t>
  </si>
  <si>
    <t>GLADSTONE</t>
  </si>
  <si>
    <t>01610-1707</t>
  </si>
  <si>
    <t>Engine E2</t>
  </si>
  <si>
    <t>FD25027312S013U010</t>
  </si>
  <si>
    <t>https://api.neris.fsri.org/v1/pygeoapi/collections/points/items/26991231</t>
  </si>
  <si>
    <t>2026-05-08T17:56:59+00:00</t>
  </si>
  <si>
    <t>https://api.neris.fsri.org/v1/pygeoapi/collections/points/items/26991230</t>
  </si>
  <si>
    <t>2026-05-08T17:00:00+00:00</t>
  </si>
  <si>
    <t>MCKEON</t>
  </si>
  <si>
    <t>WAREHOUSE - COMMERCIAL</t>
  </si>
  <si>
    <t>https://api.neris.fsri.org/v1/pygeoapi/collections/points/items/26958361</t>
  </si>
  <si>
    <t>2026-05-08T17:14:31+00:00</t>
  </si>
  <si>
    <t>https://api.neris.fsri.org/v1/pygeoapi/collections/points/items/26958360</t>
  </si>
  <si>
    <t>DUTTON</t>
  </si>
  <si>
    <t>01610-3026</t>
  </si>
  <si>
    <t>https://api.neris.fsri.org/v1/pygeoapi/collections/points/items/26790192</t>
  </si>
  <si>
    <t>2026-05-07T23:07:07+00:00</t>
  </si>
  <si>
    <t>https://api.neris.fsri.org/v1/pygeoapi/collections/points/items/26790193</t>
  </si>
  <si>
    <t>2026-05-07T22:00:00+00:00</t>
  </si>
  <si>
    <t>https://api.neris.fsri.org/v1/pygeoapi/collections/points/items/26471146</t>
  </si>
  <si>
    <t>2026-05-06T17:32:53+00:00</t>
  </si>
  <si>
    <t>https://api.neris.fsri.org/v1/pygeoapi/collections/points/items/26471147</t>
  </si>
  <si>
    <t>2026-05-06T17:00:00+00:00</t>
  </si>
  <si>
    <t>Shrewsbury</t>
  </si>
  <si>
    <t>2026-05-06T02:24:11+00:00</t>
  </si>
  <si>
    <t>2026-05-07T02:00:00+00:00</t>
  </si>
  <si>
    <t>25027731801</t>
  </si>
  <si>
    <t>Officer Manny Familia</t>
  </si>
  <si>
    <t>STATE PROPERTY - REIMBURSABLE</t>
  </si>
  <si>
    <t>2026-05-06T02:51:09+00:00</t>
  </si>
  <si>
    <t>2026-05-07T01:00:00+00:00</t>
  </si>
  <si>
    <t>541A LINCOLN ST</t>
  </si>
  <si>
    <t>https://api.neris.fsri.org/v1/pygeoapi/collections/points/items/26367911</t>
  </si>
  <si>
    <t>2026-05-06T00:34:22+00:00</t>
  </si>
  <si>
    <t>https://api.neris.fsri.org/v1/pygeoapi/collections/points/items/26367912</t>
  </si>
  <si>
    <t>2026-05-07T00:00:00+00:00</t>
  </si>
  <si>
    <t>SHELBY</t>
  </si>
  <si>
    <t>01605-3042</t>
  </si>
  <si>
    <t>https://api.neris.fsri.org/v1/pygeoapi/collections/points/items/26245563</t>
  </si>
  <si>
    <t>2026-05-05T19:42:50+00:00</t>
  </si>
  <si>
    <t>https://api.neris.fsri.org/v1/pygeoapi/collections/points/items/26245564</t>
  </si>
  <si>
    <t>2026-05-05T19:00:00+00:00</t>
  </si>
  <si>
    <t>GOLD STAR</t>
  </si>
  <si>
    <t>Engine E3</t>
  </si>
  <si>
    <t>https://api.neris.fsri.org/v1/pygeoapi/collections/points/items/26350750</t>
  </si>
  <si>
    <t>2026-05-05T19:42:11+00:00</t>
  </si>
  <si>
    <t>https://api.neris.fsri.org/v1/pygeoapi/collections/points/items/26350751</t>
  </si>
  <si>
    <t>33 WELLINGTON ST</t>
  </si>
  <si>
    <t>https://api.neris.fsri.org/v1/pygeoapi/collections/points/items/26120341</t>
  </si>
  <si>
    <t>2026-05-05T09:20:44+00:00</t>
  </si>
  <si>
    <t>https://api.neris.fsri.org/v1/pygeoapi/collections/points/items/26120342</t>
  </si>
  <si>
    <t>2026-05-05T09:00:00+00:00</t>
  </si>
  <si>
    <t>25027731400</t>
  </si>
  <si>
    <t>Car 4||Engine 12||Engine 13||Engine E6||Ladder 1||Ladder 2||Ladder 3||Rescue 1</t>
  </si>
  <si>
    <t>FD25027312S013U012||FD25027312S017U002||FD25027312S013U000||FD25027312S017U000||FD25027312S017U005||FD25027312S013U009||FD25027312S013U003||FD25027312S017U001</t>
  </si>
  <si>
    <t>https://api.neris.fsri.org/v1/pygeoapi/collections/points/items/26043844</t>
  </si>
  <si>
    <t>COMMAND_AND_CONTROL||ESTABLISH_INCIDENT_COMMAND||INVESTIGATION||SUPPRESSION||OUTSIDE_FIRE_SUPPRESSION||FIRE_CONTROL_EXTINGUISHMENT</t>
  </si>
  <si>
    <t>2026-05-04T23:04:16+00:00</t>
  </si>
  <si>
    <t>https://api.neris.fsri.org/v1/pygeoapi/collections/points/items/26043845</t>
  </si>
  <si>
    <t>2026-05-04T22:00:00+00:00</t>
  </si>
  <si>
    <t>65 FOSTER ST</t>
  </si>
  <si>
    <t>https://api.neris.fsri.org/v1/pygeoapi/collections/points/items/26061436</t>
  </si>
  <si>
    <t>2026-05-04T18:39:58+00:00</t>
  </si>
  <si>
    <t>https://api.neris.fsri.org/v1/pygeoapi/collections/points/items/26061435</t>
  </si>
  <si>
    <t>2026-05-04T18:00:00+00:00</t>
  </si>
  <si>
    <t>PLANTATION</t>
  </si>
  <si>
    <t>APARTMENT BLDG - 9 + UNITS</t>
  </si>
  <si>
    <t>https://api.neris.fsri.org/v1/pygeoapi/collections/points/items/26123112</t>
  </si>
  <si>
    <t>2026-05-04T17:50:01+00:00</t>
  </si>
  <si>
    <t>https://api.neris.fsri.org/v1/pygeoapi/collections/points/items/26123113</t>
  </si>
  <si>
    <t>2026-05-04T17:00:00+00:00</t>
  </si>
  <si>
    <t>https://api.neris.fsri.org/v1/pygeoapi/collections/points/items/25998987</t>
  </si>
  <si>
    <t>2026-05-04T16:46:34+00:00</t>
  </si>
  <si>
    <t>https://api.neris.fsri.org/v1/pygeoapi/collections/points/items/25998986</t>
  </si>
  <si>
    <t>2026-05-04T16:00:00+00:00</t>
  </si>
  <si>
    <t>51 MYRTLE ST</t>
  </si>
  <si>
    <t>https://api.neris.fsri.org/v1/pygeoapi/collections/points/items/26001309</t>
  </si>
  <si>
    <t>SUPPRESSION||OUTSIDE_FIRE_SUPPRESSION||FIRE_CONTROL_EXTINGUISHMENT||SUPPRESSION||OUTSIDE_FIRE_SUPPRESSION||CONFINEMENT</t>
  </si>
  <si>
    <t>2026-05-04T16:49:02+00:00</t>
  </si>
  <si>
    <t>https://api.neris.fsri.org/v1/pygeoapi/collections/points/items/26001310</t>
  </si>
  <si>
    <t>STAFFORD</t>
  </si>
  <si>
    <t>https://api.neris.fsri.org/v1/pygeoapi/collections/points/items/26001341</t>
  </si>
  <si>
    <t>2026-05-04T16:26:28+00:00</t>
  </si>
  <si>
    <t>https://api.neris.fsri.org/v1/pygeoapi/collections/points/items/26001340</t>
  </si>
  <si>
    <t>25027733102</t>
  </si>
  <si>
    <t>25 MCKEON RD</t>
  </si>
  <si>
    <t>https://api.neris.fsri.org/v1/pygeoapi/collections/points/items/28624801</t>
  </si>
  <si>
    <t>2026-05-03T03:59:46+00:00</t>
  </si>
  <si>
    <t>https://api.neris.fsri.org/v1/pygeoapi/collections/points/items/28624802</t>
  </si>
  <si>
    <t>2026-05-04T03:00:00+00:00</t>
  </si>
  <si>
    <t>25027732902</t>
  </si>
  <si>
    <t>BANK BUILDING</t>
  </si>
  <si>
    <t>https://api.neris.fsri.org/v1/pygeoapi/collections/points/items/25717364</t>
  </si>
  <si>
    <t>2026-05-02T13:29:36+00:00</t>
  </si>
  <si>
    <t>https://api.neris.fsri.org/v1/pygeoapi/collections/points/items/25717365</t>
  </si>
  <si>
    <t>2026-05-02T13:00:00+00:00</t>
  </si>
  <si>
    <t>1192</t>
  </si>
  <si>
    <t>Heavy rain at times</t>
  </si>
  <si>
    <t>https://api.neris.fsri.org/v1/pygeoapi/collections/points/items/25466331</t>
  </si>
  <si>
    <t>2026-05-01T19:08:37+00:00</t>
  </si>
  <si>
    <t>https://api.neris.fsri.org/v1/pygeoapi/collections/points/items/25466332</t>
  </si>
  <si>
    <t>EPWORTH</t>
  </si>
  <si>
    <t>01610-3051</t>
  </si>
  <si>
    <t>https://api.neris.fsri.org/v1/pygeoapi/collections/points/items/25078707</t>
  </si>
  <si>
    <t>2026-04-29T16:21:41+00:00</t>
  </si>
  <si>
    <t>https://api.neris.fsri.org/v1/pygeoapi/collections/points/items/25078706</t>
  </si>
  <si>
    <t>77 MAY ST 01602</t>
  </si>
  <si>
    <t>01602</t>
  </si>
  <si>
    <t>https://api.neris.fsri.org/v1/pygeoapi/collections/points/items/24918377</t>
  </si>
  <si>
    <t>2026-04-29T10:31:33+00:00</t>
  </si>
  <si>
    <t>https://api.neris.fsri.org/v1/pygeoapi/collections/points/items/24918378</t>
  </si>
  <si>
    <t>1 FRANCIS J MCGRATH BLVD</t>
  </si>
  <si>
    <t>https://api.neris.fsri.org/v1/pygeoapi/collections/points/items/24847867</t>
  </si>
  <si>
    <t>2026-04-28T21:39:31+00:00</t>
  </si>
  <si>
    <t>https://api.neris.fsri.org/v1/pygeoapi/collections/points/items/24847866</t>
  </si>
  <si>
    <t>2026-04-28T21:00:00+00:00</t>
  </si>
  <si>
    <t>https://api.neris.fsri.org/v1/pygeoapi/collections/points/items/24810787</t>
  </si>
  <si>
    <t>2026-04-28T19:48:18+00:00</t>
  </si>
  <si>
    <t>https://api.neris.fsri.org/v1/pygeoapi/collections/points/items/24810786</t>
  </si>
  <si>
    <t>2026-04-28T19:00:00+00:00</t>
  </si>
  <si>
    <t>https://api.neris.fsri.org/v1/pygeoapi/collections/points/items/24636088</t>
  </si>
  <si>
    <t>2026-04-27T22:14:33+00:00</t>
  </si>
  <si>
    <t>https://api.neris.fsri.org/v1/pygeoapi/collections/points/items/24636087</t>
  </si>
  <si>
    <t>2026-04-27T22:00:00+00:00</t>
  </si>
  <si>
    <t>543 LINCOLN ST</t>
  </si>
  <si>
    <t>https://api.neris.fsri.org/v1/pygeoapi/collections/points/items/24694961</t>
  </si>
  <si>
    <t>2026-04-27T21:31:07+00:00</t>
  </si>
  <si>
    <t>https://api.neris.fsri.org/v1/pygeoapi/collections/points/items/24694960</t>
  </si>
  <si>
    <t>2026-04-27T21:00:00+00:00</t>
  </si>
  <si>
    <t>GREAT BROOK VALLEY</t>
  </si>
  <si>
    <t>AUTHORITIES-HOUSING, UTILITY, TRANSPORATION</t>
  </si>
  <si>
    <t>https://api.neris.fsri.org/v1/pygeoapi/collections/points/items/24428696</t>
  </si>
  <si>
    <t>2026-04-26T22:12:20+00:00</t>
  </si>
  <si>
    <t>https://api.neris.fsri.org/v1/pygeoapi/collections/points/items/24428695</t>
  </si>
  <si>
    <t>25027732001</t>
  </si>
  <si>
    <t>535 LINCOLN ST</t>
  </si>
  <si>
    <t>https://api.neris.fsri.org/v1/pygeoapi/collections/points/items/24428148</t>
  </si>
  <si>
    <t>2026-04-26T19:59:58+00:00</t>
  </si>
  <si>
    <t>https://api.neris.fsri.org/v1/pygeoapi/collections/points/items/24428147</t>
  </si>
  <si>
    <t>1</t>
  </si>
  <si>
    <t>https://api.neris.fsri.org/v1/pygeoapi/collections/points/items/23850660</t>
  </si>
  <si>
    <t>2026-04-23T23:36:21+00:00</t>
  </si>
  <si>
    <t>https://api.neris.fsri.org/v1/pygeoapi/collections/points/items/23850659</t>
  </si>
  <si>
    <t>2026-04-23T23:00:00+00:00</t>
  </si>
  <si>
    <t>425 BELMONT ST</t>
  </si>
  <si>
    <t>https://api.neris.fsri.org/v1/pygeoapi/collections/points/items/23686561</t>
  </si>
  <si>
    <t>2026-04-22T15:03:33+00:00</t>
  </si>
  <si>
    <t>https://api.neris.fsri.org/v1/pygeoapi/collections/points/items/23686560</t>
  </si>
  <si>
    <t>2026-04-22T14:00:00+00:00</t>
  </si>
  <si>
    <t>INDUSTRIAL DEVLPBLE LAND</t>
  </si>
  <si>
    <t>https://api.neris.fsri.org/v1/pygeoapi/collections/points/items/23306988</t>
  </si>
  <si>
    <t>2026-04-21T13:47:29+00:00</t>
  </si>
  <si>
    <t>https://api.neris.fsri.org/v1/pygeoapi/collections/points/items/23306989</t>
  </si>
  <si>
    <t>2026-04-21T13:00:00+00:00</t>
  </si>
  <si>
    <t>45 SAGAMORE RD</t>
  </si>
  <si>
    <t>https://api.neris.fsri.org/v1/pygeoapi/collections/points/items/21827183</t>
  </si>
  <si>
    <t>2026-04-13T23:46:55+00:00</t>
  </si>
  <si>
    <t>https://api.neris.fsri.org/v1/pygeoapi/collections/points/items/21827184</t>
  </si>
  <si>
    <t>2026-04-13T23:00:00+00:00</t>
  </si>
  <si>
    <t>25027730600</t>
  </si>
  <si>
    <t>CHADWICK</t>
  </si>
  <si>
    <t>01605-1259</t>
  </si>
  <si>
    <t>Engine E3||Ladder 2</t>
  </si>
  <si>
    <t>FD25027312S015U000||FD25027312S013U009</t>
  </si>
  <si>
    <t>https://api.neris.fsri.org/v1/pygeoapi/collections/points/items/21826269</t>
  </si>
  <si>
    <t>2026-04-13T23:08:17+00:00</t>
  </si>
  <si>
    <t>https://api.neris.fsri.org/v1/pygeoapi/collections/points/items/21826270</t>
  </si>
  <si>
    <t>2026-04-13T22:00:00+00:00</t>
  </si>
  <si>
    <t>BELMONT</t>
  </si>
  <si>
    <t>https://api.neris.fsri.org/v1/pygeoapi/collections/points/items/21823548</t>
  </si>
  <si>
    <t>2026-04-13T21:15:11+00:00</t>
  </si>
  <si>
    <t>https://api.neris.fsri.org/v1/pygeoapi/collections/points/items/21823549</t>
  </si>
  <si>
    <t>2026-04-13T21:00:00+00:00</t>
  </si>
  <si>
    <t>https://api.neris.fsri.org/v1/pygeoapi/collections/points/items/21606842</t>
  </si>
  <si>
    <t>2026-04-13T00:27:35+00:00</t>
  </si>
  <si>
    <t>https://api.neris.fsri.org/v1/pygeoapi/collections/points/items/21606843</t>
  </si>
  <si>
    <t>2026-04-14T00:00:00+00:00</t>
  </si>
  <si>
    <t>PROVIDENCE</t>
  </si>
  <si>
    <t>Car 4||Engine 12||Engine 13||Engine 15||Forestry</t>
  </si>
  <si>
    <t>FD25027312S013U012||FD25027312S017U002||FD25027312S013U000||FD25027312S019U002||FD25027312S013U011</t>
  </si>
  <si>
    <t>https://api.neris.fsri.org/v1/pygeoapi/collections/points/items/21640050</t>
  </si>
  <si>
    <t>SUPPRESSION||OUTSIDE_FIRE_SUPPRESSION||FIRE_CONTROL_EXTINGUISHMENT||INVESTIGATION</t>
  </si>
  <si>
    <t>2026-04-12T23:34:43+00:00</t>
  </si>
  <si>
    <t>https://api.neris.fsri.org/v1/pygeoapi/collections/points/items/21640049</t>
  </si>
  <si>
    <t>25027732802</t>
  </si>
  <si>
    <t>4 NORTON ST</t>
  </si>
  <si>
    <t>https://api.neris.fsri.org/v1/pygeoapi/collections/points/items/21603876</t>
  </si>
  <si>
    <t>PROVIDE_SERVICES||PROVIDE_APPARATUS_WATER</t>
  </si>
  <si>
    <t>2026-04-12T22:45:36+00:00</t>
  </si>
  <si>
    <t>https://api.neris.fsri.org/v1/pygeoapi/collections/points/items/21603877</t>
  </si>
  <si>
    <t>25027730402</t>
  </si>
  <si>
    <t>ASHMORE</t>
  </si>
  <si>
    <t>01602-1824</t>
  </si>
  <si>
    <t>Engine E9</t>
  </si>
  <si>
    <t>FD25027312S020U000</t>
  </si>
  <si>
    <t>https://api.neris.fsri.org/v1/pygeoapi/collections/points/items/21423058</t>
  </si>
  <si>
    <t>2026-04-11T20:58:49+00:00</t>
  </si>
  <si>
    <t>https://api.neris.fsri.org/v1/pygeoapi/collections/points/items/21423059</t>
  </si>
  <si>
    <t>2026-04-11T20:00:00+00:00</t>
  </si>
  <si>
    <t>25027730902</t>
  </si>
  <si>
    <t>ALSADA</t>
  </si>
  <si>
    <t>01603-1602</t>
  </si>
  <si>
    <t>Engine 15||Engine E5||Ladder 4</t>
  </si>
  <si>
    <t>FD25027312S019U002||FD25027312S016U002||FD25027312S016U004</t>
  </si>
  <si>
    <t>https://api.neris.fsri.org/v1/pygeoapi/collections/points/items/21409787</t>
  </si>
  <si>
    <t>2026-04-11T18:49:17+00:00</t>
  </si>
  <si>
    <t>https://api.neris.fsri.org/v1/pygeoapi/collections/points/items/21409788</t>
  </si>
  <si>
    <t>COMMERCIAL BUILDING</t>
  </si>
  <si>
    <t>https://api.neris.fsri.org/v1/pygeoapi/collections/points/items/21497716</t>
  </si>
  <si>
    <t>2026-04-11T18:24:53+00:00</t>
  </si>
  <si>
    <t>https://api.neris.fsri.org/v1/pygeoapi/collections/points/items/21497717</t>
  </si>
  <si>
    <t>DRAFT_FROM_STATIC_SOURCE</t>
  </si>
  <si>
    <t>INVESTIGATED_BY_OTHER</t>
  </si>
  <si>
    <t>25027731900</t>
  </si>
  <si>
    <t>414 MAIN ST</t>
  </si>
  <si>
    <t>https://api.neris.fsri.org/v1/pygeoapi/collections/points/items/21422950</t>
  </si>
  <si>
    <t>2026-04-11T17:06:18+00:00</t>
  </si>
  <si>
    <t>https://api.neris.fsri.org/v1/pygeoapi/collections/points/items/21422951</t>
  </si>
  <si>
    <t>2026-04-11T16:00:00+00:00</t>
  </si>
  <si>
    <t>https://api.neris.fsri.org/v1/pygeoapi/collections/points/items/21307088</t>
  </si>
  <si>
    <t>2026-04-11T01:43:32+00:00</t>
  </si>
  <si>
    <t>https://api.neris.fsri.org/v1/pygeoapi/collections/points/items/21307087</t>
  </si>
  <si>
    <t>2026-04-12T01:00:00+00:00</t>
  </si>
  <si>
    <t>93 GRAND VIEW AV</t>
  </si>
  <si>
    <t>https://api.neris.fsri.org/v1/pygeoapi/collections/points/items/21111657</t>
  </si>
  <si>
    <t>2026-04-10T10:44:56+00:00</t>
  </si>
  <si>
    <t>https://api.neris.fsri.org/v1/pygeoapi/collections/points/items/21111656</t>
  </si>
  <si>
    <t>2026-04-10T10:00:00+00:00</t>
  </si>
  <si>
    <t>GARDNER</t>
  </si>
  <si>
    <t>MANUFACTURING BUILDING</t>
  </si>
  <si>
    <t>https://api.neris.fsri.org/v1/pygeoapi/collections/points/items/21011546</t>
  </si>
  <si>
    <t>SUPPRESSION||OUTSIDE_FIRE_SUPPRESSION||FIRE_CONTROL_EXTINGUISHMENT||SUPPRESSION||OUTSIDE_FIRE_SUPPRESSION||ESTABLISH_FIRE_LINES</t>
  </si>
  <si>
    <t>2026-04-09T20:52:36+00:00</t>
  </si>
  <si>
    <t>https://api.neris.fsri.org/v1/pygeoapi/collections/points/items/21011547</t>
  </si>
  <si>
    <t>2026-04-09T20:00:00+00:00</t>
  </si>
  <si>
    <t>https://api.neris.fsri.org/v1/pygeoapi/collections/points/items/21017100</t>
  </si>
  <si>
    <t>2026-04-09T20:18:52+00:00</t>
  </si>
  <si>
    <t>https://api.neris.fsri.org/v1/pygeoapi/collections/points/items/21017101</t>
  </si>
  <si>
    <t>RICHMOND</t>
  </si>
  <si>
    <t>01602-1504</t>
  </si>
  <si>
    <t>https://api.neris.fsri.org/v1/pygeoapi/collections/points/items/20988440</t>
  </si>
  <si>
    <t>2026-04-09T16:10:51+00:00</t>
  </si>
  <si>
    <t>https://api.neris.fsri.org/v1/pygeoapi/collections/points/items/20988441</t>
  </si>
  <si>
    <t>2026-04-09T15:00:00+00:00</t>
  </si>
  <si>
    <t>25027730802</t>
  </si>
  <si>
    <t>14 RODNEY ST</t>
  </si>
  <si>
    <t>https://api.neris.fsri.org/v1/pygeoapi/collections/points/items/21046650</t>
  </si>
  <si>
    <t>2026-04-09T15:19:21+00:00</t>
  </si>
  <si>
    <t>https://api.neris.fsri.org/v1/pygeoapi/collections/points/items/21046649</t>
  </si>
  <si>
    <t>https://api.neris.fsri.org/v1/pygeoapi/collections/points/items/20349426</t>
  </si>
  <si>
    <t>2026-04-06T21:09:09+00:00</t>
  </si>
  <si>
    <t>https://api.neris.fsri.org/v1/pygeoapi/collections/points/items/20349427</t>
  </si>
  <si>
    <t>2026-04-06T20:00:00+00:00</t>
  </si>
  <si>
    <t>BARROWS</t>
  </si>
  <si>
    <t>01609-1102</t>
  </si>
  <si>
    <t>https://api.neris.fsri.org/v1/pygeoapi/collections/points/items/19346977</t>
  </si>
  <si>
    <t>2026-04-01T17:16:02+00:00</t>
  </si>
  <si>
    <t>https://api.neris.fsri.org/v1/pygeoapi/collections/points/items/19346978</t>
  </si>
  <si>
    <t>2026-04-01T16:00:00+00:00</t>
  </si>
  <si>
    <t>2026-04-01T17:16:00+00:00</t>
  </si>
  <si>
    <t>WESTLAND</t>
  </si>
  <si>
    <t>01602-2128</t>
  </si>
  <si>
    <t>https://api.neris.fsri.org/v1/pygeoapi/collections/points/items/18773116</t>
  </si>
  <si>
    <t>2026-03-29T21:12:31+00:00</t>
  </si>
  <si>
    <t>https://api.neris.fsri.org/v1/pygeoapi/collections/points/items/18773115</t>
  </si>
  <si>
    <t>2026-03-29T20:00:00+00:00</t>
  </si>
  <si>
    <t>Power Station</t>
  </si>
  <si>
    <t>01507</t>
  </si>
  <si>
    <t>E1</t>
  </si>
  <si>
    <t>CB</t>
  </si>
  <si>
    <t>https://api.neris.fsri.org/v1/pygeoapi/collections/points/items/41180041</t>
  </si>
  <si>
    <t>2026-02-09T23:26:00+00:00</t>
  </si>
  <si>
    <t>2026-02-09T23:00:00+00:00</t>
  </si>
  <si>
    <t>25027756101</t>
  </si>
  <si>
    <t>756101</t>
  </si>
  <si>
    <t>3020</t>
  </si>
  <si>
    <t>STAGED_STANDBY</t>
  </si>
  <si>
    <t>COUNTRY</t>
  </si>
  <si>
    <t>01569</t>
  </si>
  <si>
    <t>Ladder 1||Engine 1||Engine 2</t>
  </si>
  <si>
    <t>FD25027327S003U010||FD25027327S003U000||FD25027327S004U000</t>
  </si>
  <si>
    <t>https://api.neris.fsri.org/v1/pygeoapi/collections/points/items/49270316</t>
  </si>
  <si>
    <t>2026-08-08T13:05:49+00:00</t>
  </si>
  <si>
    <t>https://api.neris.fsri.org/v1/pygeoapi/collections/points/items/49270315</t>
  </si>
  <si>
    <t>2026-08-08T12:00:00+00:00</t>
  </si>
  <si>
    <t>25027749100</t>
  </si>
  <si>
    <t>749100</t>
  </si>
  <si>
    <t>2044</t>
  </si>
  <si>
    <t>MA-146</t>
  </si>
  <si>
    <t>Uxbridge</t>
  </si>
  <si>
    <t>Squad 1||Fire Prevention||Tanker 1</t>
  </si>
  <si>
    <t>FD25027327S003U012||FD25027327S003U002||FD25027327S003U001</t>
  </si>
  <si>
    <t>2026-07-20T18:20:50+00:00</t>
  </si>
  <si>
    <t>Tanker 1||Squad 1||Fire Prevention</t>
  </si>
  <si>
    <t>2026-07-20T18:00:00+00:00</t>
  </si>
  <si>
    <t>1032</t>
  </si>
  <si>
    <t>2026-07-20T18:17:00+00:00</t>
  </si>
  <si>
    <t>QUAKER</t>
  </si>
  <si>
    <t>Engine 2</t>
  </si>
  <si>
    <t>FD25027327S004U000</t>
  </si>
  <si>
    <t>https://api.neris.fsri.org/v1/pygeoapi/collections/points/items/31503741</t>
  </si>
  <si>
    <t>2026-05-28T23:21:11+00:00</t>
  </si>
  <si>
    <t>https://api.neris.fsri.org/v1/pygeoapi/collections/points/items/31503740</t>
  </si>
  <si>
    <t>2026-05-28T23:00:00+00:00</t>
  </si>
  <si>
    <t>HARTFORD</t>
  </si>
  <si>
    <t>Squad 1</t>
  </si>
  <si>
    <t>FD25027327S003U012</t>
  </si>
  <si>
    <t>RB</t>
  </si>
  <si>
    <t>OTHER EXEMPT</t>
  </si>
  <si>
    <t>https://api.neris.fsri.org/v1/pygeoapi/collections/points/items/31581097</t>
  </si>
  <si>
    <t>2026-05-27T20:47:08+00:00</t>
  </si>
  <si>
    <t>https://api.neris.fsri.org/v1/pygeoapi/collections/points/items/31581096</t>
  </si>
  <si>
    <t>2026-05-27T20:00:00+00:00</t>
  </si>
  <si>
    <t>25027749200</t>
  </si>
  <si>
    <t>Johnson</t>
  </si>
  <si>
    <t>Car 1||Car 2||Engine 5||Squad 1||Tanker 1||UTV 1</t>
  </si>
  <si>
    <t>FD25027327S003U004||FD25027327S003U003||FD25027327S003U008||FD25027327S003U012||FD25027327S003U001||FD25027327S003U011</t>
  </si>
  <si>
    <t>2026-05-04T19:41:21+00:00</t>
  </si>
  <si>
    <t>MENDON</t>
  </si>
  <si>
    <t>Fire Prevention||Squad 1||Tanker 1||UTV 1</t>
  </si>
  <si>
    <t>FD25027327S003U002||FD25027327S003U012||FD25027327S003U001||FD25027327S003U011</t>
  </si>
  <si>
    <t>https://api.neris.fsri.org/v1/pygeoapi/collections/points/items/25888715</t>
  </si>
  <si>
    <t>2026-05-01T14:58:55+00:00</t>
  </si>
  <si>
    <t>https://api.neris.fsri.org/v1/pygeoapi/collections/points/items/25888716</t>
  </si>
  <si>
    <t>2026-05-01T14:00:00+00:00</t>
  </si>
  <si>
    <t>Squad 1||UTV 1</t>
  </si>
  <si>
    <t>FD25027327S003U012||FD25027327S003U011</t>
  </si>
  <si>
    <t>B</t>
  </si>
  <si>
    <t>https://api.neris.fsri.org/v1/pygeoapi/collections/points/items/22028552</t>
  </si>
  <si>
    <t>COMMAND_AND_CONTROL||ESTABLISH_INCIDENT_COMMAND||INVESTIGATION||PROVIDE_SERVICES||PROVIDE_APPARATUS_WATER</t>
  </si>
  <si>
    <t>2026-04-14T21:01:57+00:00</t>
  </si>
  <si>
    <t>https://api.neris.fsri.org/v1/pygeoapi/collections/points/items/22028551</t>
  </si>
  <si>
    <t>2026-04-14T20:00:00+00:00</t>
  </si>
  <si>
    <t>2026-04-14T20:55:00+00:00</t>
  </si>
  <si>
    <t>Car 1||Squad 1||Tanker 1</t>
  </si>
  <si>
    <t>FD25027327S003U004||FD25027327S003U012||FD25027327S003U001</t>
  </si>
  <si>
    <t>COMMAND_AND_CONTROL||ESTABLISH_INCIDENT_COMMAND||PROVIDE_SERVICES||CONTROL_TRAFFIC||PROVIDE_SERVICES||PROVIDE_APPARATUS_WATER||SUPPRESSION||OUTSIDE_FIRE_SUPPRESSION||FIRE_CONTROL_EXTINGUISHMENT</t>
  </si>
  <si>
    <t>2026-03-13T18:35:37+00:00</t>
  </si>
  <si>
    <t>2026-03-13T18:00:00+00:00</t>
  </si>
  <si>
    <t>01747</t>
  </si>
  <si>
    <t>Car-2||Car-1||Brush-1||Tank-2</t>
  </si>
  <si>
    <t>FD25027342S001U012||FD25027342S001U014||FD25027342S001U015||FD25027342S001U006</t>
  </si>
  <si>
    <t>https://api.neris.fsri.org/v1/pygeoapi/collections/points/items/32557547</t>
  </si>
  <si>
    <t>https://api.neris.fsri.org/v1/pygeoapi/collections/points/items/32557546</t>
  </si>
  <si>
    <t>Mason</t>
  </si>
  <si>
    <t>Jefferson</t>
  </si>
  <si>
    <t>01522</t>
  </si>
  <si>
    <t>14E2</t>
  </si>
  <si>
    <t>FD25027399S002U013</t>
  </si>
  <si>
    <t>2026-08-30T12:42:21+00:00</t>
  </si>
  <si>
    <t>2026-08-30T12:00:00+00:00</t>
  </si>
  <si>
    <t>25027728400</t>
  </si>
  <si>
    <t>728400</t>
  </si>
  <si>
    <t>3029</t>
  </si>
  <si>
    <t>Newbury</t>
  </si>
  <si>
    <t>814</t>
  </si>
  <si>
    <t>Holden</t>
  </si>
  <si>
    <t>01520</t>
  </si>
  <si>
    <t>14CAR3||14E1</t>
  </si>
  <si>
    <t>FD25027399S002U003||FD25027399S003U001</t>
  </si>
  <si>
    <t>2026-07-04T15:43:48+00:00</t>
  </si>
  <si>
    <t>25027728100</t>
  </si>
  <si>
    <t>728100</t>
  </si>
  <si>
    <t>Manning</t>
  </si>
  <si>
    <t>14CAR3||14F1||14F2||14A3</t>
  </si>
  <si>
    <t>FD25027399S002U003||FD25027399S002U014||FD25027399S002U008||FD25027399S002U009</t>
  </si>
  <si>
    <t>2026-06-21T17:37:32+00:00</t>
  </si>
  <si>
    <t>Bull</t>
  </si>
  <si>
    <t>14CAR3||14F1||14E3</t>
  </si>
  <si>
    <t>FD25027399S002U003||FD25027399S002U014||FD25027399S003U002</t>
  </si>
  <si>
    <t>2026-06-05T14:07:39+00:00</t>
  </si>
  <si>
    <t>E911 CALLER REPORTING A BACKYARD FIRE. NO HAZARDS YET TO ANY STRUCTURES OR VEHICLES. 14CAR3 REPORTING SMALL BUSH ON FIRE IN THE YARD. UNITS ON SCENE CAN HANDLE. 14E3 CLEAR. F1 ADV FIRE HAS BEEN EXTINGUISHED AND OVERHAULED</t>
  </si>
  <si>
    <t>2026-06-05T14:00:00+00:00</t>
  </si>
  <si>
    <t>25027728300</t>
  </si>
  <si>
    <t>Paxton</t>
  </si>
  <si>
    <t>14CAR3||14E3||14F1||14F2||14CAR1</t>
  </si>
  <si>
    <t>FD25027399S002U003||FD25027399S003U002||FD25027399S002U014||FD25027399S002U008||FD25027399S002U004</t>
  </si>
  <si>
    <t>2026-04-28T15:12:02+00:00</t>
  </si>
  <si>
    <t>2026-04-28T15:00:00+00:00</t>
  </si>
  <si>
    <t>14F1||14CAR3||14F2</t>
  </si>
  <si>
    <t>FD25027399S002U014||FD25027399S002U003||FD25027399S002U008</t>
  </si>
  <si>
    <t>R-40</t>
  </si>
  <si>
    <t>2026-04-25T02:29:56+00:00</t>
  </si>
  <si>
    <t>2026-04-26T02:00:00+00:00</t>
  </si>
  <si>
    <t>Salisbury</t>
  </si>
  <si>
    <t>14CAR3||14E3</t>
  </si>
  <si>
    <t>FD25027399S002U003||FD25027399S003U002</t>
  </si>
  <si>
    <t>CALLER REPORTING SEEING SMOKE IN THE AREA. CURRENT ACTIVE **** PERMITT AT #836 SALISBURY ST. SMOLDERING FIRE, NO EXPOSURES AT THIS TIME. 14CAR3 STATED PERMITTED **** THAT WAS LEFT UNATTENDED APPROX 10X10, EXTINGUISHED AND OVERHAULED.</t>
  </si>
  <si>
    <t>2026-04-17T21:08:23+00:00</t>
  </si>
  <si>
    <t>CALLER REPORTING SEEING SMOKE IN THE AREA. CURRENT ACTIVE **** PERMITT AT #836 SALISBURY ST. SMOLDERING FIRE, NO EXPOSURES AT THIS TIME. 14CAR3 STATED PERMITTED **** THAT WAS LEFT UNATTENDED APPROX  10X10, EXTINGUISHED AND OVERHAULED.</t>
  </si>
  <si>
    <t>2026-04-17T21:00:00+00:00</t>
  </si>
  <si>
    <t>14CAR3||14E3||14F1</t>
  </si>
  <si>
    <t>FD25027399S002U003||FD25027399S003U002||FD25027399S002U014</t>
  </si>
  <si>
    <t>ACROSS FROM FOX HILL POSS BRUSH FIRE #440 CONFIRMED ACTIVATED BURN PERMIT. 14CAR3 ADV ON ARRIVAL 20X30, NO IMMEDIATE ENDANGERS, 14CAR3 HAS COMMAND COMMAND ADV OVERHAULING HQ REQ PAX FD FOR LINE COVERAGE. COMMAND ADV THE FIRE HAS BEEN EXTINGUISHED AND OVERHAULED. HOMEOWNER HAS BEEN ADV OF THE RULES AND REGS. UNITS CLEAR</t>
  </si>
  <si>
    <t>2026-04-08T18:05:49+00:00</t>
  </si>
  <si>
    <t>ACROSS FROM FOX HILL  POSS BRUSH FIRE #440 CONFIRMED ACTIVATED BURN PERMIT. 14CAR3 ADV ON ARRIVAL 20X30, NO IMMEDIATE ENDANGERS, 14CAR3 HAS COMMAND COMMAND ADV OVERHAULING HQ REQ PAX FD FOR LINE COVERAGE. COMMAND ADV THE FIRE HAS BEEN EXTINGUISHED AND OVERHAULED. HOMEOWNER HAS BEEN ADV OF THE RULES AND REGS. UNITS CLEAR</t>
  </si>
  <si>
    <t>2026-04-08T18:00:00+00:00</t>
  </si>
  <si>
    <t>Athol</t>
  </si>
  <si>
    <t>01331</t>
  </si>
  <si>
    <t>24T2||24F5</t>
  </si>
  <si>
    <t>Fire department was dispatched RT 2 E for the report of a brush fire on the side of the highway</t>
  </si>
  <si>
    <t>2026-05-18T17:06:00+00:00</t>
  </si>
  <si>
    <t>2026-05-18T16:00:00+00:00</t>
  </si>
  <si>
    <t>25027704201</t>
  </si>
  <si>
    <t>704201</t>
  </si>
  <si>
    <t>1031</t>
  </si>
  <si>
    <t>Baldwinville</t>
  </si>
  <si>
    <t>01436</t>
  </si>
  <si>
    <t>24F5||24T2</t>
  </si>
  <si>
    <t>RESIDENTIAL-MULTIPLE HOUSES</t>
  </si>
  <si>
    <t>Fire department was dispatched for a brush fire RT 2 E</t>
  </si>
  <si>
    <t>INVESTIGATION||SALVAGE_AND_OVERHAUL</t>
  </si>
  <si>
    <t>2026-05-18T17:32:00+00:00</t>
  </si>
  <si>
    <t>25027705102</t>
  </si>
  <si>
    <t>144 Hartford Avenue East</t>
  </si>
  <si>
    <t>ACTING_AS_AID</t>
  </si>
  <si>
    <t>Car 44</t>
  </si>
  <si>
    <t>FD25027411S001U011</t>
  </si>
  <si>
    <t>C</t>
  </si>
  <si>
    <t>https://api.neris.fsri.org/v1/pygeoapi/collections/points/items/49709672</t>
  </si>
  <si>
    <t>2026-07-27T17:55:00+00:00</t>
  </si>
  <si>
    <t>2026-07-27T17:49:00+00:00</t>
  </si>
  <si>
    <t>2026-07-27T17:49:06+00:00</t>
  </si>
  <si>
    <t>https://api.neris.fsri.org/v1/pygeoapi/collections/points/items/49709671</t>
  </si>
  <si>
    <t>2026-07-27T17:00:00+00:00</t>
  </si>
  <si>
    <t>25027745100</t>
  </si>
  <si>
    <t>745100</t>
  </si>
  <si>
    <t>UXBRIDGE</t>
  </si>
  <si>
    <t>01756</t>
  </si>
  <si>
    <t>Brush 44||Headquarters</t>
  </si>
  <si>
    <t>FD25027411S001U009||FD25027411S001U003</t>
  </si>
  <si>
    <t>C/I</t>
  </si>
  <si>
    <t>AUTO SUPPLY</t>
  </si>
  <si>
    <t>https://api.neris.fsri.org/v1/pygeoapi/collections/points/items/49705226</t>
  </si>
  <si>
    <t>2026-07-14T02:46:38+00:00</t>
  </si>
  <si>
    <t>https://api.neris.fsri.org/v1/pygeoapi/collections/points/items/49705225</t>
  </si>
  <si>
    <t>2026-07-15T02:00:00+00:00</t>
  </si>
  <si>
    <t>25027746100</t>
  </si>
  <si>
    <t>746100</t>
  </si>
  <si>
    <t>2016</t>
  </si>
  <si>
    <t>119 S MAPLE ST</t>
  </si>
  <si>
    <t>Car 1||Tanker 44</t>
  </si>
  <si>
    <t>FD25027411S001U000||FD25027411S001U005</t>
  </si>
  <si>
    <t>https://api.neris.fsri.org/v1/pygeoapi/collections/points/items/40293239</t>
  </si>
  <si>
    <t>COMMAND_AND_CONTROL||ESTABLISH_INCIDENT_COMMAND||PROVIDE_SERVICES||PROVIDE_APPARATUS_WATER</t>
  </si>
  <si>
    <t>2026-06-01T19:21:30+00:00</t>
  </si>
  <si>
    <t>https://api.neris.fsri.org/v1/pygeoapi/collections/points/items/40293240</t>
  </si>
  <si>
    <t>25021443104</t>
  </si>
  <si>
    <t>443104</t>
  </si>
  <si>
    <t>37 QUAKER ST</t>
  </si>
  <si>
    <t>01529</t>
  </si>
  <si>
    <t>Headquarters||Car 1||Tanker 44</t>
  </si>
  <si>
    <t>FD25027411S001U003||FD25027411S001U000||FD25027411S001U005</t>
  </si>
  <si>
    <t>VRD</t>
  </si>
  <si>
    <t>MOBILE HOME</t>
  </si>
  <si>
    <t>https://api.neris.fsri.org/v1/pygeoapi/collections/points/items/40280685</t>
  </si>
  <si>
    <t>2026-04-12T17:06:31+00:00</t>
  </si>
  <si>
    <t>https://api.neris.fsri.org/v1/pygeoapi/collections/points/items/40280684</t>
  </si>
  <si>
    <t>25027748100</t>
  </si>
  <si>
    <t>748100</t>
  </si>
  <si>
    <t>KING PHILIP</t>
  </si>
  <si>
    <t>Brush 44||Car 3||Engine-44||Tanker 44</t>
  </si>
  <si>
    <t>FD25027411S001U009||FD25027411S001U001||FD25027411S001U006||FD25027411S001U005</t>
  </si>
  <si>
    <t>RES</t>
  </si>
  <si>
    <t>https://api.neris.fsri.org/v1/pygeoapi/collections/points/items/19567605</t>
  </si>
  <si>
    <t>COMMAND_AND_CONTROL||ESTABLISH_INCIDENT_COMMAND||INVESTIGATION||PROVIDE_SERVICES||PROVIDE_APPARATUS_WATER||SUPPRESSION||OUTSIDE_FIRE_SUPPRESSION||CONFINEMENT||SUPPRESSION||OUTSIDE_FIRE_SUPPRESSION||FIRE_CONTROL_EXTINGUISHMENT||SUPPRESSION||OUTSIDE_FIRE_SUPPRESSION||STRUCTURE_PROTECTION</t>
  </si>
  <si>
    <t>2026-03-29T22:27:36+00:00</t>
  </si>
  <si>
    <t>https://api.neris.fsri.org/v1/pygeoapi/collections/points/items/19567606</t>
  </si>
  <si>
    <t>2026-03-29T21:00:00+00:00</t>
  </si>
  <si>
    <t>Brush 44||Car 1||Car 3||Engine-44||Headquarters</t>
  </si>
  <si>
    <t>FD25027411S001U009||FD25027411S001U000||FD25027411S001U001||FD25027411S001U006||FD25027411S001U003</t>
  </si>
  <si>
    <t>https://api.neris.fsri.org/v1/pygeoapi/collections/points/items/5804750</t>
  </si>
  <si>
    <t>2026-01-19T16:44:39+00:00</t>
  </si>
  <si>
    <t>https://api.neris.fsri.org/v1/pygeoapi/collections/points/items/5804751</t>
  </si>
  <si>
    <t>2026-01-19T16:00:00+00:00</t>
  </si>
  <si>
    <t>Light freezing rain</t>
  </si>
  <si>
    <t>NORTHBRIDGE</t>
  </si>
  <si>
    <t>Brush 44||Engine-44||Headquarters</t>
  </si>
  <si>
    <t>FD25027411S001U009||FD25027411S001U006||FD25027411S001U003</t>
  </si>
  <si>
    <t>https://api.neris.fsri.org/v1/pygeoapi/collections/points/items/5804004</t>
  </si>
  <si>
    <t>2026-01-17T21:31:42+00:00</t>
  </si>
  <si>
    <t>https://api.neris.fsri.org/v1/pygeoapi/collections/points/items/5804003</t>
  </si>
  <si>
    <t>2026-01-17T21:00:00+00:00</t>
  </si>
  <si>
    <t>Griffin RD</t>
  </si>
  <si>
    <t>WORCESTER</t>
  </si>
  <si>
    <t>C1||E1</t>
  </si>
  <si>
    <t>FD25027419S002U003||FD25027419S002U010</t>
  </si>
  <si>
    <t>https://api.neris.fsri.org/v1/pygeoapi/collections/points/items/53723164</t>
  </si>
  <si>
    <t>COMMAND_AND_CONTROL||ESTABLISH_INCIDENT_COMMAND||INVESTIGATION</t>
  </si>
  <si>
    <t>BRF</t>
  </si>
  <si>
    <t>2026-08-05T10:36:00+00:00</t>
  </si>
  <si>
    <t>No Dispatch Comment</t>
  </si>
  <si>
    <t>2026-08-05T09:00:00+00:00</t>
  </si>
  <si>
    <t>Trolley Crossing RD</t>
  </si>
  <si>
    <t>FD25027419S002U010</t>
  </si>
  <si>
    <t>https://api.neris.fsri.org/v1/pygeoapi/collections/points/items/53722920</t>
  </si>
  <si>
    <t>SMOK</t>
  </si>
  <si>
    <t>2026-08-04T21:33:00+00:00</t>
  </si>
  <si>
    <t>2026-08-04T21:00:00+00:00</t>
  </si>
  <si>
    <t>E1||F1</t>
  </si>
  <si>
    <t>FD25027419S002U010||FD25027419S002U013</t>
  </si>
  <si>
    <t>IP</t>
  </si>
  <si>
    <t>MIXED USE - PRIM INDUST &amp; OTHR</t>
  </si>
  <si>
    <t>https://api.neris.fsri.org/v1/pygeoapi/collections/points/items/53722304</t>
  </si>
  <si>
    <t>2026-08-04T11:59:00+00:00</t>
  </si>
  <si>
    <t>2026-08-04T11:00:00+00:00</t>
  </si>
  <si>
    <t>3016</t>
  </si>
  <si>
    <t>Richardson Corner RD</t>
  </si>
  <si>
    <t>A</t>
  </si>
  <si>
    <t>https://api.neris.fsri.org/v1/pygeoapi/collections/points/items/39328129</t>
  </si>
  <si>
    <t>2026-06-28T05:49:00+00:00</t>
  </si>
  <si>
    <t>MASTER_STREAM</t>
  </si>
  <si>
    <t>2026-06-28T04:00:00+00:00</t>
  </si>
  <si>
    <t>25027756102</t>
  </si>
  <si>
    <t>756102</t>
  </si>
  <si>
    <t>W Massachusetts TPKE</t>
  </si>
  <si>
    <t>CAR9||E1||F1</t>
  </si>
  <si>
    <t>FD25027419S002U005||FD25027419S002U010||FD25027419S002U013</t>
  </si>
  <si>
    <t>V</t>
  </si>
  <si>
    <t>https://api.neris.fsri.org/v1/pygeoapi/collections/points/items/37266912</t>
  </si>
  <si>
    <t>COMMAND_AND_CONTROL||ESTABLISH_INCIDENT_COMMAND||INVESTIGATION||SALVAGE_AND_OVERHAUL||SUPPRESSION||OUTSIDE_FIRE_SUPPRESSION||CONFINEMENT||SUPPRESSION||OUTSIDE_FIRE_SUPPRESSION||FIRE_CONTROL_EXTINGUISHMENT</t>
  </si>
  <si>
    <t>2026-06-17T17:54:00+00:00</t>
  </si>
  <si>
    <t>2026-06-17T17:00:00+00:00</t>
  </si>
  <si>
    <t>Oxford RD</t>
  </si>
  <si>
    <t>FD25027559</t>
  </si>
  <si>
    <t>21E1||C1</t>
  </si>
  <si>
    <t>FD25027419S002U003</t>
  </si>
  <si>
    <t>https://api.neris.fsri.org/v1/pygeoapi/collections/points/items/37261212</t>
  </si>
  <si>
    <t>COMMAND_AND_CONTROL||ESTABLISH_INCIDENT_COMMAND</t>
  </si>
  <si>
    <t>2026-06-15T18:40:00+00:00</t>
  </si>
  <si>
    <t>2026-06-15T17:00:00+00:00</t>
  </si>
  <si>
    <t>Oxbow RD</t>
  </si>
  <si>
    <t>COMMERCIAL||RETAIL_WHOLESALE_TRADE</t>
  </si>
  <si>
    <t>https://api.neris.fsri.org/v1/pygeoapi/collections/points/items/37261535</t>
  </si>
  <si>
    <t>2026-06-13T13:00:00+00:00</t>
  </si>
  <si>
    <t>E Blood RD</t>
  </si>
  <si>
    <t>E3</t>
  </si>
  <si>
    <t>FD25027419S002U012</t>
  </si>
  <si>
    <t>https://api.neris.fsri.org/v1/pygeoapi/collections/points/items/30144828</t>
  </si>
  <si>
    <t>2026-05-19T23:33:00+00:00</t>
  </si>
  <si>
    <t>2026-05-19T22:00:00+00:00</t>
  </si>
  <si>
    <t>1186</t>
  </si>
  <si>
    <t>Moderate rain at times</t>
  </si>
  <si>
    <t>Sturbridge RD</t>
  </si>
  <si>
    <t>F1</t>
  </si>
  <si>
    <t>FD25027419S002U013</t>
  </si>
  <si>
    <t>IG</t>
  </si>
  <si>
    <t>https://api.neris.fsri.org/v1/pygeoapi/collections/points/items/30145518</t>
  </si>
  <si>
    <t>E3||F1</t>
  </si>
  <si>
    <t>FD25027419S002U012||FD25027419S002U013</t>
  </si>
  <si>
    <t>https://api.neris.fsri.org/v1/pygeoapi/collections/points/items/26738281</t>
  </si>
  <si>
    <t>2026-05-05T18:24:00+00:00</t>
  </si>
  <si>
    <t>Southbridge RD</t>
  </si>
  <si>
    <t>A2||E3</t>
  </si>
  <si>
    <t>FD25027419S002U001||FD25027419S002U012</t>
  </si>
  <si>
    <t>https://api.neris.fsri.org/v1/pygeoapi/collections/points/items/22618547</t>
  </si>
  <si>
    <t>SUPPRESSION||STRUCTURAL_FIRE_SUPPRESSION||EXTERIOR||SUPPRESSION||OUTSIDE_FIRE_SUPPRESSION||FIRE_CONTROL_EXTINGUISHMENT</t>
  </si>
  <si>
    <t>CARF</t>
  </si>
  <si>
    <t>2026-04-14T18:08:00+00:00</t>
  </si>
  <si>
    <t>2026-04-14T17:00:00+00:00</t>
  </si>
  <si>
    <t>Hammond Hill RD</t>
  </si>
  <si>
    <t>E3||SQ2</t>
  </si>
  <si>
    <t>FD25027419S002U012||FD25027419S003U020</t>
  </si>
  <si>
    <t>RESA</t>
  </si>
  <si>
    <t>https://api.neris.fsri.org/v1/pygeoapi/collections/points/items/22920341</t>
  </si>
  <si>
    <t>2026-04-12T20:37:00+00:00</t>
  </si>
  <si>
    <t>https://api.neris.fsri.org/v1/pygeoapi/collections/points/items/22920340</t>
  </si>
  <si>
    <t>25017365100</t>
  </si>
  <si>
    <t>Cranberry Meadow Shore RD</t>
  </si>
  <si>
    <t>R40</t>
  </si>
  <si>
    <t>https://api.neris.fsri.org/v1/pygeoapi/collections/points/items/19956877</t>
  </si>
  <si>
    <t>COMMAND_AND_CONTROL||ESTABLISH_INCIDENT_COMMAND||INFORMATION_ENFORCEMENT||ENFORCE_CODE_OR_LAW||INFORMATION_ENFORCEMENT||PROVIDE_PUBLIC_INFORMATION||INVESTIGATION||SUPPRESSION||OUTSIDE_FIRE_SUPPRESSION||FIRE_CONTROL_EXTINGUISHMENT</t>
  </si>
  <si>
    <t>FIB</t>
  </si>
  <si>
    <t>2026-03-31T00:15:00+00:00</t>
  </si>
  <si>
    <t>https://api.neris.fsri.org/v1/pygeoapi/collections/points/items/19956876</t>
  </si>
  <si>
    <t>2026-03-30T23:00:00+00:00</t>
  </si>
  <si>
    <t>Carroll Hill RD</t>
  </si>
  <si>
    <t>https://api.neris.fsri.org/v1/pygeoapi/collections/points/items/19956704</t>
  </si>
  <si>
    <t>2026-03-29T20:53:00+00:00</t>
  </si>
  <si>
    <t>https://api.neris.fsri.org/v1/pygeoapi/collections/points/items/19956705</t>
  </si>
  <si>
    <t>SHOPS</t>
  </si>
  <si>
    <t>WAY</t>
  </si>
  <si>
    <t>SQD4</t>
  </si>
  <si>
    <t>FD25027451S001U014</t>
  </si>
  <si>
    <t>https://api.neris.fsri.org/v1/pygeoapi/collections/points/items/45746289</t>
  </si>
  <si>
    <t>https://api.neris.fsri.org/v1/pygeoapi/collections/points/items/45746290</t>
  </si>
  <si>
    <t>*****</t>
  </si>
  <si>
    <t>2026-07-25T21:00:00+00:00</t>
  </si>
  <si>
    <t>25027740101</t>
  </si>
  <si>
    <t>740101</t>
  </si>
  <si>
    <t>I290</t>
  </si>
  <si>
    <t>HIGHWAY</t>
  </si>
  <si>
    <t>ENG03||SQD4||CAR3</t>
  </si>
  <si>
    <t>FD25027451S001U020||FD25027451S001U014||FD25027451S001U003</t>
  </si>
  <si>
    <t>ROADWAY_ACCESS||LIMITED_ACCESS_HIGHWAY_INTERSTATE</t>
  </si>
  <si>
    <t>https://api.neris.fsri.org/v1/pygeoapi/collections/points/items/43334185</t>
  </si>
  <si>
    <t>https://api.neris.fsri.org/v1/pygeoapi/collections/points/items/43334186</t>
  </si>
  <si>
    <t>BOX REPORTED POSSIBLE BRUSH FIRE 290, BLACK SMOKE, ENTERING TOWN FROM BOYLSTON (POSSIBLY EB).  ONE CALL.  CHECKED AREA. NOTHING SHOWING.</t>
  </si>
  <si>
    <t>2026-07-15T10:00:00+00:00</t>
  </si>
  <si>
    <t>25027740102</t>
  </si>
  <si>
    <t>740102</t>
  </si>
  <si>
    <t>BEARFOOT</t>
  </si>
  <si>
    <t>I</t>
  </si>
  <si>
    <t>https://api.neris.fsri.org/v1/pygeoapi/collections/points/items/36931113</t>
  </si>
  <si>
    <t>https://api.neris.fsri.org/v1/pygeoapi/collections/points/items/36931114</t>
  </si>
  <si>
    <t>STILL FD DIRECT CALL MULCH FIRE</t>
  </si>
  <si>
    <t>2026-06-18T11:00:00+00:00</t>
  </si>
  <si>
    <t>FAY</t>
  </si>
  <si>
    <t>LANE</t>
  </si>
  <si>
    <t>01532</t>
  </si>
  <si>
    <t>https://api.neris.fsri.org/v1/pygeoapi/collections/points/items/35721087</t>
  </si>
  <si>
    <t>https://api.neris.fsri.org/v1/pygeoapi/collections/points/items/35721088</t>
  </si>
  <si>
    <t>STILL ALARM.</t>
  </si>
  <si>
    <t>Cutoff</t>
  </si>
  <si>
    <t>SQD4||ENG03</t>
  </si>
  <si>
    <t>FD25027451S001U014||FD25027451S001U020</t>
  </si>
  <si>
    <t>Difficult area to access due to terrain.</t>
  </si>
  <si>
    <t>FOR_SALE_LEASE</t>
  </si>
  <si>
    <t>https://api.neris.fsri.org/v1/pygeoapi/collections/points/items/26036208</t>
  </si>
  <si>
    <t>https://api.neris.fsri.org/v1/pygeoapi/collections/points/items/26036207</t>
  </si>
  <si>
    <t>STILL UPGRADED TO BOX 1522</t>
  </si>
  <si>
    <t>2026-05-04T19:00:00+00:00</t>
  </si>
  <si>
    <t>SQD4||ENG02||FOR1</t>
  </si>
  <si>
    <t>FD25027451S001U014||FD25027451S001U019||FD25027451S001U007</t>
  </si>
  <si>
    <t>https://api.neris.fsri.org/v1/pygeoapi/collections/points/items/26009258</t>
  </si>
  <si>
    <t>COMMAND_AND_CONTROL||INCIDENT_ASSESSMENT_COMPLETED||SUPPRESSION||OUTSIDE_FIRE_SUPPRESSION||FIRE_CONTROL_EXTINGUISHMENT</t>
  </si>
  <si>
    <t>https://api.neris.fsri.org/v1/pygeoapi/collections/points/items/26009259</t>
  </si>
  <si>
    <t>STILL</t>
  </si>
  <si>
    <t>No obstacles to report.***</t>
  </si>
  <si>
    <t>https://api.neris.fsri.org/v1/pygeoapi/collections/points/items/21000397</t>
  </si>
  <si>
    <t>https://api.neris.fsri.org/v1/pygeoapi/collections/points/items/21000398</t>
  </si>
  <si>
    <t>STILL ALARM, MULCH FIRE.</t>
  </si>
  <si>
    <t>2026-04-09T19:00:00+00:00</t>
  </si>
  <si>
    <t>2026-04-09T20:22:04.099598+00:00</t>
  </si>
  <si>
    <t>Tervo</t>
  </si>
  <si>
    <t>Rindge</t>
  </si>
  <si>
    <t>NH</t>
  </si>
  <si>
    <t>03461</t>
  </si>
  <si>
    <t>Cheshire County</t>
  </si>
  <si>
    <t>FD33005692</t>
  </si>
  <si>
    <t>39F1||39CAR2</t>
  </si>
  <si>
    <t>RESIDE</t>
  </si>
  <si>
    <t>staffing</t>
  </si>
  <si>
    <t>2026-06-14T22:06:00+00:00</t>
  </si>
  <si>
    <t>2026-06-14T20:00:00+00:00</t>
  </si>
  <si>
    <t>33005970600</t>
  </si>
  <si>
    <t>970600</t>
  </si>
  <si>
    <t>2033</t>
  </si>
  <si>
    <t>Winchendon</t>
  </si>
  <si>
    <t>01475</t>
  </si>
  <si>
    <t>39F1||39E1</t>
  </si>
  <si>
    <t>R1</t>
  </si>
  <si>
    <t>2026-05-31T14:32:00+00:00</t>
  </si>
  <si>
    <t>FIRE_EXTINGUISHER||BOOSTER_FIRE_HOSE</t>
  </si>
  <si>
    <t>2026-05-31T12:00:00+00:00</t>
  </si>
  <si>
    <t>25027702202</t>
  </si>
  <si>
    <t>Baldwin Hill</t>
  </si>
  <si>
    <t>Phillipston</t>
  </si>
  <si>
    <t>39E1</t>
  </si>
  <si>
    <t>There were no obstacles that impact the incident.</t>
  </si>
  <si>
    <t>2026-04-27T23:14:00+00:00</t>
  </si>
  <si>
    <t>Hill</t>
  </si>
  <si>
    <t>39F1</t>
  </si>
  <si>
    <t>There were no obstacles that impacted the incident.</t>
  </si>
  <si>
    <t>2026-04-26T11:45:00+00:00</t>
  </si>
  <si>
    <t>2026-04-26T11:00:00+00:00</t>
  </si>
  <si>
    <t>Fessenden</t>
  </si>
  <si>
    <t>Forestry (2)||Car 2||Forestry 1</t>
  </si>
  <si>
    <t>FD25027551S004U007||FD25027551S004U003||FD25027551S003U002</t>
  </si>
  <si>
    <t>2026-08-31T00:05:44+00:00</t>
  </si>
  <si>
    <t>2026-08-30T22:00:00+00:00</t>
  </si>
  <si>
    <t>705102</t>
  </si>
  <si>
    <t>1010</t>
  </si>
  <si>
    <t>Templeton</t>
  </si>
  <si>
    <t>01468</t>
  </si>
  <si>
    <t>Forestry (2)||Engine 1</t>
  </si>
  <si>
    <t>FD25027551S004U007||FD25027551S003U001</t>
  </si>
  <si>
    <t>2026-08-10T20:38:36+00:00</t>
  </si>
  <si>
    <t>2026-08-10T20:00:00+00:00</t>
  </si>
  <si>
    <t>25027705101</t>
  </si>
  <si>
    <t>705101</t>
  </si>
  <si>
    <t>Freight Shed</t>
  </si>
  <si>
    <t>Forestry (2)</t>
  </si>
  <si>
    <t>FD25027551S004U007</t>
  </si>
  <si>
    <t>2026-07-05T02:57:00+00:00</t>
  </si>
  <si>
    <t>FIREWORKS</t>
  </si>
  <si>
    <t>2026-07-06T02:00:00+00:00</t>
  </si>
  <si>
    <t>3004</t>
  </si>
  <si>
    <t>Gardner</t>
  </si>
  <si>
    <t>FD25027551S004U009</t>
  </si>
  <si>
    <t>2026-06-18T17:54:48+00:00</t>
  </si>
  <si>
    <t>2026-06-18T17:00:00+00:00</t>
  </si>
  <si>
    <t>29 Tanker 1||Car 1</t>
  </si>
  <si>
    <t>FD25027551S004U005||FD25027551S004U008</t>
  </si>
  <si>
    <t>PROVIDE_SERVICES||PROVIDE_APPARATUS_WATER||SUPPRESSION||OUTSIDE_FIRE_SUPPRESSION||FIRE_CONTROL_EXTINGUISHMENT||SALVAGE_AND_OVERHAUL</t>
  </si>
  <si>
    <t>2026-04-29T16:52:00+00:00</t>
  </si>
  <si>
    <t>2026-04-29T15:00:00+00:00</t>
  </si>
  <si>
    <t>Old Winchendon</t>
  </si>
  <si>
    <t>Car 1</t>
  </si>
  <si>
    <t>FD25027551S004U008</t>
  </si>
  <si>
    <t>INVESTIGATION||INFORMATION_ENFORCEMENT||ENFORCE_CODE_OR_LAW</t>
  </si>
  <si>
    <t>2026-04-27T21:26:54+00:00</t>
  </si>
  <si>
    <t>29 Tanker 1||Forestry 1</t>
  </si>
  <si>
    <t>FD25027551S004U005||FD25027551S003U002</t>
  </si>
  <si>
    <t>SUPPRESSION||OUTSIDE_FIRE_SUPPRESSION||FIRE_CONTROL_EXTINGUISHMENT||PROVIDE_SERVICES||PROVIDE_APPARATUS_WATER</t>
  </si>
  <si>
    <t>2026-04-27T22:57:01+00:00</t>
  </si>
  <si>
    <t>Turner</t>
  </si>
  <si>
    <t>2026-04-12T16:25:00+00:00</t>
  </si>
  <si>
    <t>29 Tanker 1||Car 2||Forestry (2)</t>
  </si>
  <si>
    <t>FD25027551S004U005||FD25027551S004U003||FD25027551S004U007</t>
  </si>
  <si>
    <t>2026-04-12T16:41:29+00:00</t>
  </si>
  <si>
    <t>Eli</t>
  </si>
  <si>
    <t>29 Tanker 1</t>
  </si>
  <si>
    <t>FD25027551S004U005</t>
  </si>
  <si>
    <t>2026-04-09T22:59:00+00:00</t>
  </si>
  <si>
    <t>2026-04-09T21:00:00+00:00</t>
  </si>
  <si>
    <t>25027701101</t>
  </si>
  <si>
    <t>Patriots</t>
  </si>
  <si>
    <t>Car 1||Forestry (2)</t>
  </si>
  <si>
    <t>FD25027551S004U008||FD25027551S004U007</t>
  </si>
  <si>
    <t>2026-01-15T14:11:00+00:00</t>
  </si>
  <si>
    <t>2026-01-15T13:00:00+00:00</t>
  </si>
  <si>
    <t>Moderate snow</t>
  </si>
  <si>
    <t>Camp Collier</t>
  </si>
  <si>
    <t>01440</t>
  </si>
  <si>
    <t>FD25027104</t>
  </si>
  <si>
    <t>CAR1||2F4</t>
  </si>
  <si>
    <t>FD25027605S002U005||FD25027605S002U008</t>
  </si>
  <si>
    <t>2026-07-17T11:04:00+00:00</t>
  </si>
  <si>
    <t>2026-07-17T11:00:00+00:00</t>
  </si>
  <si>
    <t>25027707500</t>
  </si>
  <si>
    <t>707500</t>
  </si>
  <si>
    <t>FD25027104||FD25027224</t>
  </si>
  <si>
    <t>MEDIC1||2F4</t>
  </si>
  <si>
    <t>FD25027605S002U002||FD25027605S002U008</t>
  </si>
  <si>
    <t>OUTDOOR||CAMP_SITE</t>
  </si>
  <si>
    <t>2026-07-16T22:09:00+00:00</t>
  </si>
  <si>
    <t>2026-07-16T22:00:00+00:00</t>
  </si>
  <si>
    <t>Ashburnham</t>
  </si>
  <si>
    <t>01430</t>
  </si>
  <si>
    <t>FD25027224</t>
  </si>
  <si>
    <t>2F4||CAR1||2E3||2R3||POV</t>
  </si>
  <si>
    <t>FD25027605S002U008||FD25027605S002U005||FD25027605S002U004||FD25027605S002U011</t>
  </si>
  <si>
    <t>EMERGENT||EMERGENT||EMERGENT||EMERGENT||NON_EMERGENT</t>
  </si>
  <si>
    <t>ROADWAY_ACCESS||RAILROAD_RAILYARD</t>
  </si>
  <si>
    <t>2026-04-26T11:26:00+00:00</t>
  </si>
  <si>
    <t>25027700100</t>
  </si>
  <si>
    <t>2F4||CAR1||2E3</t>
  </si>
  <si>
    <t>FD25027605S002U008||FD25027605S002U005||FD25027605S002U004</t>
  </si>
  <si>
    <t>2026-04-11T20:13:00+00:00</t>
  </si>
  <si>
    <t>2E3</t>
  </si>
  <si>
    <t>FD25027605S002U004</t>
  </si>
  <si>
    <t>2026-04-09T21:34:00+00:00</t>
  </si>
  <si>
    <t>2R2||CAR1||2F4||POV||STATION COVERAGE</t>
  </si>
  <si>
    <t>FD25027605S002U001||FD25027605S002U005||FD25027605S002U008||FD25027605S002U000</t>
  </si>
  <si>
    <t>EMERGENT||EMERGENT||EMERGENT||NON_EMERGENT||NON_EMERGENT</t>
  </si>
  <si>
    <t>1c4c57fa-2553-4408-abfe-b42700daed2e</t>
  </si>
  <si>
    <t>PATIENT_EVALUATED_REFUSED_CARE</t>
  </si>
  <si>
    <t>NO_TRANSPORT</t>
  </si>
  <si>
    <t>EMERGENCY_MEDICAL_CARE||PATIENT_ASSESSMENT||EMERGENCY_MEDICAL_CARE||PATIENT_REFERRAL||INVESTIGATION||SUPPRESSION||OUTSIDE_FIRE_SUPPRESSION||FIRE_CONTROL_EXTINGUISHMENT</t>
  </si>
  <si>
    <t>2026-04-09T18:00:00+00:00</t>
  </si>
  <si>
    <t>Kallinen</t>
  </si>
  <si>
    <t>CAR1||2E3||2F4</t>
  </si>
  <si>
    <t>FD25027605S002U005||FD25027605S002U004||FD25027605S002U008</t>
  </si>
  <si>
    <t>No hydrants in the area, but tank water from Forestry 4 was enough to suppress all fire from the scene.</t>
  </si>
  <si>
    <t>AGRICULTURE_STRUCT||VETERINARY_LIVESTOCK</t>
  </si>
  <si>
    <t>https://api.neris.fsri.org/v1/pygeoapi/collections/points/items/18896815</t>
  </si>
  <si>
    <t>COMMAND_AND_CONTROL||ESTABLISH_INCIDENT_COMMAND||COMMAND_AND_CONTROL||INCIDENT_ASSESSMENT_COMPLETED||SUPPRESSION||OUTSIDE_FIRE_SUPPRESSION||CONFINEMENT||SUPPRESSION||OUTSIDE_FIRE_SUPPRESSION||FIRE_CONTROL_EXTINGUISHMENT</t>
  </si>
  <si>
    <t>2026-03-30T16:16:00+00:00</t>
  </si>
  <si>
    <t>2026-03-30T16:00:00+00:00</t>
  </si>
  <si>
    <t>Glendale</t>
  </si>
  <si>
    <t>Fiskdale</t>
  </si>
  <si>
    <t>01518</t>
  </si>
  <si>
    <t>B2</t>
  </si>
  <si>
    <t>FD25027606S001U010</t>
  </si>
  <si>
    <t>2026-06-23T20:23:00+00:00</t>
  </si>
  <si>
    <t>6/23/2026 4:24:02 PM TREE DOWN ON LINES, SPARKING AND SMOKING NO VISABLE FLAMES AT THIS TIME. NOT IN THE ROADWAY AT THIS TIME. 6/23/2026 4:26:00 PM FD RUN 1222. 6/23/2026 4:26:24 PM NATIONAL GRID ADVISED OF SAME. 6/23/2026 4:34:37 PM B2- TREE IS SMOKING ON THE PROPERTY LINE, REQUESTING NATIONAL GRID BE STARTED. CONFIRMED NATIONAL GRID ENROUTE. 6/23/2026 4:39:44 PM BRANCH IS ON LINES BETWEEN POLES TWO AND THREE 6/23/2026 4:47:09 PM NATIONAL GRID ON SCENE.</t>
  </si>
  <si>
    <t>2026-06-23T20:00:00+00:00</t>
  </si>
  <si>
    <t>25027758103</t>
  </si>
  <si>
    <t>Charlton</t>
  </si>
  <si>
    <t>Sturbridge</t>
  </si>
  <si>
    <t>01566</t>
  </si>
  <si>
    <t>COMMAND_AND_CONTROL||ESTABLISH_INCIDENT_COMMAND||SUPPRESSION||OUTSIDE_FIRE_SUPPRESSION||FIRE_CONTROL_EXTINGUISHMENT||SALVAGE_AND_OVERHAUL</t>
  </si>
  <si>
    <t>2026-06-13T12:31:00+00:00</t>
  </si>
  <si>
    <t>6/13/2026 8:32:45 AM RP STATES THE MULCH SMOKING IN THE AREA BETWEEN UNOS AND STAPLES. NOT CLOSE TO THE BUILDINGS. BUSHES AND TREES IN THE AREA. 25/30 FT AWAY PLUMBING/ELECTRICAL PANELS. 6/13/2026 8:34:39 AM RP STATES SHE CAN SEE SMALL FLAMES VISABLE AT THIS TIME. 6/13/2026 8:37:43 AM 308- SMOLDERING POSSIBLY DUE TO A CIGARETTE. 6/13/2026 8:37:50 AM BRUSH 2- C7 IN COMMAND. SMALL FIRE, WILL BE EXTINGUISHING. 6/13/2026 8:40:21 AM FD RUN 1140 6/13/2026 8:47:45 AM BRUSH 2- FIRE HAS BEEN EXTINGUISHED. NO OBVIOUS CAUSE.</t>
  </si>
  <si>
    <t>2026-06-13T12:00:00+00:00</t>
  </si>
  <si>
    <t>25027758104</t>
  </si>
  <si>
    <t>I-90</t>
  </si>
  <si>
    <t>FD25013531</t>
  </si>
  <si>
    <t>R1||C1||E1||B2</t>
  </si>
  <si>
    <t>FD25027606S001U001||FD25027606S001U002||FD25027606S001U011||FD25027606S001U010</t>
  </si>
  <si>
    <t>Initially toned to respond to I90 Eastbound at mm 77 for the incident scene. Subsequently found scene to be on I90 Westbound at mm 77. This causes several units to travel to wrong location. Also traffic was stopped on I90 Westbound d/t the incident.</t>
  </si>
  <si>
    <t>5/26/2026 2:32:47 PM CAR FIRE 5/26/2026 2:36:38 PM FD RUN 1025 5/26/2026 2:42:48 PM C5 NOTIFYING THAT THE CAR FIRE SPREAD TO THE BRUSH. 5/26/2026 2:43:25 PM ENGINE ADVISING OF BRUSH FIRE JUST WEST OF MM 78. 5/26/2026 3:25:28 PM C7- FIRE HAS BEEN EXTINGUISHED, SCENE HANDED OVER TO MSP</t>
  </si>
  <si>
    <t>2026-05-26T18:00:00+00:00</t>
  </si>
  <si>
    <t>2026-05-05T16:55:00+00:00</t>
  </si>
  <si>
    <t>5/5/2026 12:57:13 PM MULCH FIRE RUN # 853 5/5/2026 1:26:54 PM SMALL MULCH FIRE, KNOCKED DOWN</t>
  </si>
  <si>
    <t>2026-05-05T16:00:00+00:00</t>
  </si>
  <si>
    <t>B1</t>
  </si>
  <si>
    <t>FD25027606S001U017</t>
  </si>
  <si>
    <t>5/4/2026 10:44:56 AM C8 REQUESTING BRUSH TANKER FOR MUTUAL AID  FD RUN# 846</t>
  </si>
  <si>
    <t>Woods</t>
  </si>
  <si>
    <t>E2||TWR1</t>
  </si>
  <si>
    <t>FD25027606S001U000||FD25027606S001U003</t>
  </si>
  <si>
    <t>COMMAND_AND_CONTROL||ESTABLISH_INCIDENT_COMMAND||SALVAGE_AND_OVERHAUL</t>
  </si>
  <si>
    <t>4/12/2026 3:20:52 PM RP STATES THERE IS A FIRE UNDER HER DECK, STARTED FROM A PIT FIRE. EXTINGUISHED VIA GARDEN HOSE. 4/12/2026 3:28:23 PM E2 ON SCENE, SINGLE FAMILY TWO STORY NOTHING SHOWING FROM THE EXTERIOR. C6 HAS COMMAND. 4/12/2026 3:30:05 PM C6- RESIDENT LOST CONTROL OF A BRUSH FIRE, CONFIRMED THE FIRE DID NOT SPREAD TO THE DECK OR THE STRUCTURE. CANCEL TOWER 1. 4/12/2026 3:32:06 PM FD RUN 691. 4/12/2026 3:36:00 PM 200- NO REPORT REQUIRED. 4/12/2026 3:39:47 PM C6- EXTINGUISHED UPON ARRIVAL, ENSURED IT WAS DIMINISHED. CODE 5.</t>
  </si>
  <si>
    <t>Old Turnpike</t>
  </si>
  <si>
    <t>Oakham</t>
  </si>
  <si>
    <t>01068</t>
  </si>
  <si>
    <t>https://api.neris.fsri.org/v1/pygeoapi/collections/polygons/items/100902</t>
  </si>
  <si>
    <t>COMMAND_AND_CONTROL||NOTIFY_OTHER_AGENCIES||SUPPRESSION||OUTSIDE_FIRE_SUPPRESSION||FIRE_CONTROL_EXTINGUISHMENT</t>
  </si>
  <si>
    <t>26RU-1208-IN</t>
  </si>
  <si>
    <t>2026-08-11T18:02:00+00:00</t>
  </si>
  <si>
    <t>2026-08-11T17:00:00+00:00</t>
  </si>
  <si>
    <t>25027721101</t>
  </si>
  <si>
    <t>721101</t>
  </si>
  <si>
    <t>2026-08-20T00:11:20.588551+00:00</t>
  </si>
  <si>
    <t>Pleasantdale</t>
  </si>
  <si>
    <t>26RU-421-EM</t>
  </si>
  <si>
    <t>UNCHANGED</t>
  </si>
  <si>
    <t>PATIENT_REFUSED_TRANSPORT</t>
  </si>
  <si>
    <t>EMERGENCY_MEDICAL_CARE||PATIENT_ASSESSMENT||COMMAND_AND_CONTROL||ESTABLISH_INCIDENT_COMMAND||SUPPRESSION||OUTSIDE_FIRE_SUPPRESSION||FIRE_CONTROL_EXTINGUISHMENT</t>
  </si>
  <si>
    <t>26RU-662-IN</t>
  </si>
  <si>
    <t>2026-04-28T22:49:09+00:00</t>
  </si>
  <si>
    <t>25027721104</t>
  </si>
  <si>
    <t>2026-04-30T01:43:59.942083+00:00</t>
  </si>
  <si>
    <t>Nichols</t>
  </si>
  <si>
    <t>SUPPRESSION||OUTSIDE_FIRE_SUPPRESSION||STRUCTURE_PROTECTION||SUPPRESSION||OUTSIDE_FIRE_SUPPRESSION||FIRE_CONTROL_EXTINGUISHMENT</t>
  </si>
  <si>
    <t>26RU-591-IN</t>
  </si>
  <si>
    <t>2026-04-12T20:39:53+00:00</t>
  </si>
  <si>
    <t>2026-04-12T18:00:00+00:00</t>
  </si>
  <si>
    <t>2026-04-13T18:58:58.565113+00:00</t>
  </si>
  <si>
    <t>South</t>
  </si>
  <si>
    <t>FD36037426</t>
  </si>
  <si>
    <t>26RU-554-IN</t>
  </si>
  <si>
    <t>2026-04-06T19:25:05+00:00</t>
  </si>
  <si>
    <t>2026-04-06T18:00:00+00:00</t>
  </si>
  <si>
    <t>2026-04-07T13:14:34.447519+00:00</t>
  </si>
  <si>
    <t>Upper North Row</t>
  </si>
  <si>
    <t>01564</t>
  </si>
  <si>
    <t>28C||28C||28E7</t>
  </si>
  <si>
    <t>FD25027661S001U000||FD25027661S001U000||FD25027661S001U012</t>
  </si>
  <si>
    <t>8/24/2026 4:11:53 PM 911 caller reported a brush fire at the water&amp;#x27;s edge in the above area.  08/24/2026 1612: Sterling Fire toned.</t>
  </si>
  <si>
    <t>2026-08-24T20:00:00+00:00</t>
  </si>
  <si>
    <t>25027719100</t>
  </si>
  <si>
    <t>719100</t>
  </si>
  <si>
    <t>2005</t>
  </si>
  <si>
    <t>28E7||28C</t>
  </si>
  <si>
    <t>FD25027661S001U012||FD25027661S001U000</t>
  </si>
  <si>
    <t>8/16/2026 2:04:30 PM The caller is reporting a possible brush fire in the backyard of the above location. Sterling FD was dispatched.</t>
  </si>
  <si>
    <t>2026-08-16T18:00:00+00:00</t>
  </si>
  <si>
    <t>5029</t>
  </si>
  <si>
    <t>28E7</t>
  </si>
  <si>
    <t>FD25027661S001U012</t>
  </si>
  <si>
    <t>2026-07-27T10:00:00+00:00</t>
  </si>
  <si>
    <t>2024</t>
  </si>
  <si>
    <t>Greenland</t>
  </si>
  <si>
    <t>2026-07-05T11:00:00+00:00</t>
  </si>
  <si>
    <t>1005</t>
  </si>
  <si>
    <t>Old Union</t>
  </si>
  <si>
    <t>28E4</t>
  </si>
  <si>
    <t>FD25027661S001U001</t>
  </si>
  <si>
    <t>2026-05-05T20:12:00+00:00</t>
  </si>
  <si>
    <t>4014</t>
  </si>
  <si>
    <t>Taft</t>
  </si>
  <si>
    <t>2026-05-01T20:40:00+00:00</t>
  </si>
  <si>
    <t>2026-05-01T20:00:00+00:00</t>
  </si>
  <si>
    <t>3006</t>
  </si>
  <si>
    <t>Ryans</t>
  </si>
  <si>
    <t>01434</t>
  </si>
  <si>
    <t>33E6</t>
  </si>
  <si>
    <t>FD25027669S001U014</t>
  </si>
  <si>
    <t>https://api.neris.fsri.org/v1/pygeoapi/collections/points/items/33070445</t>
  </si>
  <si>
    <t>2026-06-04T11:00:00+00:00</t>
  </si>
  <si>
    <t>25027761402</t>
  </si>
  <si>
    <t>Jackson</t>
  </si>
  <si>
    <t>33RCF</t>
  </si>
  <si>
    <t>FD25027669S001U003</t>
  </si>
  <si>
    <t>FIREARMS_EXPLOSIVES</t>
  </si>
  <si>
    <t>2026-03-15T14:00:00+00:00</t>
  </si>
  <si>
    <t>2026-04-06T15:57:03.612548+00:00</t>
  </si>
  <si>
    <t>Gates Pond</t>
  </si>
  <si>
    <t>Berlin</t>
  </si>
  <si>
    <t>01503</t>
  </si>
  <si>
    <t>FD25017985</t>
  </si>
  <si>
    <t>6A2||6F1</t>
  </si>
  <si>
    <t>6/14/2026 12:22:08 PM Several callers reporting a brush fire in the above location. Berlin FD was dispatched.  06/14/2026 1225 6A2 is requesting ****** to assist. Hudson FD was dispatched. 06/14/2026 1231 HUDS1 requested backfil for 2 Lt. and 5 FF for station 1 and HQ coverage. IaR page sent. 06/14/2026 1245 Second page.</t>
  </si>
  <si>
    <t>2026-06-14T16:00:00+00:00</t>
  </si>
  <si>
    <t>25027717100</t>
  </si>
  <si>
    <t>Highland</t>
  </si>
  <si>
    <t>6A2||6F1||6T1||6C</t>
  </si>
  <si>
    <t>COMMAND_AND_CONTROL||ESTABLISH_INCIDENT_COMMAND||COMMAND_AND_CONTROL||INCIDENT_ASSESSMENT_COMPLETED||INVESTIGATION||SUPPRESSION||OUTSIDE_FIRE_SUPPRESSION||FIRE_CONTROL_EXTINGUISHMENT||CONTAINMENT||OUTSIDE_FIRE_SUPPRESSION||HAND_CREW_FUEL_BREAK||SALVAGE_AND_OVERHAUL</t>
  </si>
  <si>
    <t>2026-05-28T21:00:00+00:00</t>
  </si>
  <si>
    <t>717100</t>
  </si>
  <si>
    <t>1033</t>
  </si>
  <si>
    <t>6E3</t>
  </si>
  <si>
    <t>6F1</t>
  </si>
  <si>
    <t>2026-05-17T17:00:00+00:00</t>
  </si>
  <si>
    <t>6C7||6F1||6C5||6T1</t>
  </si>
  <si>
    <t>2026-05-12T11:00:00+00:00</t>
  </si>
  <si>
    <t>6E3||6C</t>
  </si>
  <si>
    <t>5/5/2026 3:00:21 PM 911 caller reporting a brush fire in the area. 05/05/2026 1459 Lancaster fire toned. 05/05/2026 1502 Time of second tone. 05/05/2026 1506 17C2 in the area reporting a smoke condition. 05/05/2026 1508 Command reporting a 500ft burn of unk size. Requesting a Leominster forestry, and a tanker from Bolton &amp;amp; Harvard.  05/05/2026 1509 Leominster forestry requested. 05/05/2026 1510 Bolton &amp;amp; Harvard tanker toned; Harvard drone toned. 05/05/2026 1513 Second tone for Bolton and Harvard. 05/05/2026 1513 National grid requested to shut power off to the solar field. Will call back with result. 05/05/2026 1514 Command requesting a UTV; Leominster and Bolton in route with the resource. 05/05/2026 1543 17C assuming command; C2 has general operations, and C1 has Union Turnpike Ops. 05/05/2026 1544 Command requesting 2 engines. 05/05/2026 1545 Devens fire toned for an engine. 05/05/2026 1547 Updated request from command for 2 forestry&amp;#x27;s; Devens updated and ******* requested. 05/05/2026 1550 Shirley forestry in route. 05/05/2026 1554 DPW contacted for road closure. 05/05/2026 1559 Command requesting 2 tankers and a engine to the scene. Fitchburg requested and Berlin toned for a tanker. Sterling requested for an engine. 05/05/2026 1603 15 minutes for National grid. 05/05/2026 1603 Fill site set up Old union by D&amp;#x27;ambrosio. 05/05/2026 1605 Fitchburg E6 responding. 05/05/2026 1605 Operations on Midstate red. 05/05/2026 1605 Shirley tanker in route. 05/05/2026 1612 Shirley E4 in route. 05/05/2026 1616 Sterling engine in route. 05/05/2026 1616 Command requesting 5 gallon jugs of foam that are located in the back room of the station to the scene. 6E3 will stop en-route. 05/05/2026 1619 Command requesting 2 forestries to the scene. ******* requested. Forestry list exhausted; Ayer requested for a forestry. 05/05/2026 1622 Command reporting the fire is knocked down; Extensive overhaul. 05/05/2026 1623 Command reporting fire line on the right flank. 05/05/2026 1626 Fitchburg engine 6 in route. 05/05/2026 1626 Clinton Forestry in route. 05/05/2026 1627 Ayer Forestry in route. 05/05/2026 1629 Command requesting rehab 78; Southbridge fire contacted. 05/05/2026 1631 APS rep on scene. 05/05/2026 1633 9F9 on scene. 05/05/2026 1640 Ayer forestry on scene. 05/05/2026 1655 Powers been cut to the solar field. 05/05/2026 1747 Rehab 78 on arrival. 05/05/2026 1756 Clinton forestry cleared. 05/05/2026 1806 All mutual aid companies clear; total burn area 2.2.</t>
  </si>
  <si>
    <t>6ADM||6C||6E3||6F1||6E1</t>
  </si>
  <si>
    <t>COMMERCIAL||OFFICE_OTHER_TECHNICAL_SERVICES</t>
  </si>
  <si>
    <t>COMMAND_AND_CONTROL||ESTABLISH_INCIDENT_COMMAND||COMMAND_AND_CONTROL||INCIDENT_ASSESSMENT_COMPLETED||CONTAINMENT||OUTSIDE_FIRE_SUPPRESSION||HAND_CREW_FUEL_BREAK</t>
  </si>
  <si>
    <t>Millville Forestry 1</t>
  </si>
  <si>
    <t>FD25027696S002U006</t>
  </si>
  <si>
    <t>https://api.neris.fsri.org/v1/pygeoapi/collections/points/items/47164059</t>
  </si>
  <si>
    <t>2026-07-12T19:38:54+00:00</t>
  </si>
  <si>
    <t>https://api.neris.fsri.org/v1/pygeoapi/collections/points/items/47164060</t>
  </si>
  <si>
    <t>2026-07-12T19:00:00+00:00</t>
  </si>
  <si>
    <t>2026-07-12T19:38:00+00:00</t>
  </si>
  <si>
    <t>Millville Forestry 1||Millville Engine 2</t>
  </si>
  <si>
    <t>FD25027696S002U006||FD25027696S002U004</t>
  </si>
  <si>
    <t>04/12/2026 02:59:39: Dispatched to the above address for a brush fire on the side of the road. F1, E2 responded. F1 arrived to a fully extinguished fire. A resident at the nearest house extinguished the fire with a hose prior to our arrival. All units cleared.</t>
  </si>
  <si>
    <t>https://api.neris.fsri.org/v1/pygeoapi/collections/points/items/39716028</t>
  </si>
  <si>
    <t>2026-04-09T17:55:12+00:00</t>
  </si>
  <si>
    <t>https://api.neris.fsri.org/v1/pygeoapi/collections/points/items/39716029</t>
  </si>
  <si>
    <t>2026-04-09T17:00:00+00:00</t>
  </si>
  <si>
    <t>2026-04-09T17:55:00+00:00</t>
  </si>
  <si>
    <t>CHURCH ST</t>
  </si>
  <si>
    <t>Whitinsville</t>
  </si>
  <si>
    <t>01534</t>
  </si>
  <si>
    <t>E8||E6||M1</t>
  </si>
  <si>
    <t>OUTDOOR||HIKING_TRAIL</t>
  </si>
  <si>
    <t>https://api.neris.fsri.org/v1/pygeoapi/collections/points/items/29537011</t>
  </si>
  <si>
    <t>https://api.neris.fsri.org/v1/pygeoapi/collections/points/items/29537012</t>
  </si>
  <si>
    <t>2026-05-17T19:00:00+00:00</t>
  </si>
  <si>
    <t>25027750100</t>
  </si>
  <si>
    <t>2026-05-20T15:49:42.704373+00:00</t>
  </si>
  <si>
    <t>DELRAY GDNS</t>
  </si>
  <si>
    <t>01588</t>
  </si>
  <si>
    <t>E3||C1</t>
  </si>
  <si>
    <t>https://api.neris.fsri.org/v1/pygeoapi/collections/points/items/27671040</t>
  </si>
  <si>
    <t>https://api.neris.fsri.org/v1/pygeoapi/collections/points/items/27671041</t>
  </si>
  <si>
    <t>2026-05-10T22:00:00+00:00</t>
  </si>
  <si>
    <t>25027750200</t>
  </si>
  <si>
    <t>2026-05-12T12:21:39.526951+00:00</t>
  </si>
  <si>
    <t>COOPER RD</t>
  </si>
  <si>
    <t>C1||E8||E3||M1</t>
  </si>
  <si>
    <t>https://api.neris.fsri.org/v1/pygeoapi/collections/points/items/25976588</t>
  </si>
  <si>
    <t>https://api.neris.fsri.org/v1/pygeoapi/collections/points/items/25976587</t>
  </si>
  <si>
    <t>2026-05-04T17:53:06.698210+00:00</t>
  </si>
  <si>
    <t>MAIN ST</t>
  </si>
  <si>
    <t>12</t>
  </si>
  <si>
    <t>E1||E6</t>
  </si>
  <si>
    <t>https://api.neris.fsri.org/v1/pygeoapi/collections/points/items/24941924</t>
  </si>
  <si>
    <t>https://api.neris.fsri.org/v1/pygeoapi/collections/points/items/24941923</t>
  </si>
  <si>
    <t>2026-04-28T16:00:00+00:00</t>
  </si>
  <si>
    <t>2026-04-29T12:58:17.629281+00:00</t>
  </si>
  <si>
    <t>E8||E6</t>
  </si>
  <si>
    <t>https://api.neris.fsri.org/v1/pygeoapi/collections/points/items/24936082</t>
  </si>
  <si>
    <t>https://api.neris.fsri.org/v1/pygeoapi/collections/points/items/24936083</t>
  </si>
  <si>
    <t>2026-04-29T12:22:27.239252+00:00</t>
  </si>
  <si>
    <t>Boston Post</t>
  </si>
  <si>
    <t>West Brookfield</t>
  </si>
  <si>
    <t>FD25027254||FD25015575</t>
  </si>
  <si>
    <t>Car 1||ENGINE 4</t>
  </si>
  <si>
    <t>NATURE STUDY</t>
  </si>
  <si>
    <t>COMMAND_AND_CONTROL||ESTABLISH_INCIDENT_COMMAND||SUPPRESSION||OUTSIDE_FIRE_SUPPRESSION||FIRE_CONTROL_EXTINGUISHMENT||CONTAINMENT||OUTSIDE_FIRE_SUPPRESSION||HAND_CREW_FUEL_BREAK||COMMAND_AND_CONTROL||INCIDENT_ASSESSMENT_COMPLETED</t>
  </si>
  <si>
    <t>2026-04-28T18:32:00+00:00</t>
  </si>
  <si>
    <t>INVESTIGATED_BY_OUTSIDE_AGENCY||INVESTIGATED_ON_SCENE_RESOURCE</t>
  </si>
  <si>
    <t>25027724100</t>
  </si>
  <si>
    <t>2026-05-01T15:46:01.958172+00:00</t>
  </si>
  <si>
    <t>Hartley</t>
  </si>
  <si>
    <t>Webster</t>
  </si>
  <si>
    <t>01570</t>
  </si>
  <si>
    <t>FD25027761S003U001</t>
  </si>
  <si>
    <t>2026-06-21T23:38:50+00:00</t>
  </si>
  <si>
    <t>2026-06-21T22:00:00+00:00</t>
  </si>
  <si>
    <t>25027754200</t>
  </si>
  <si>
    <t>Cooper</t>
  </si>
  <si>
    <t>2026-06-21T23:24:29+00:00</t>
  </si>
  <si>
    <t>25027754100</t>
  </si>
  <si>
    <t>Thompson</t>
  </si>
  <si>
    <t>2026-05-02T19:28:44+00:00</t>
  </si>
  <si>
    <t>2026-05-02T19:00:00+00:00</t>
  </si>
  <si>
    <t>Harris</t>
  </si>
  <si>
    <t>2026-04-23T20:01:41+00:00</t>
  </si>
  <si>
    <t>2026-04-23T19:00:00+00:00</t>
  </si>
  <si>
    <t>25027754400</t>
  </si>
  <si>
    <t>Waite Corner</t>
  </si>
  <si>
    <t>North Brookfield</t>
  </si>
  <si>
    <t>01535</t>
  </si>
  <si>
    <t>BRUSH 1||ENGINE 1</t>
  </si>
  <si>
    <t>COMMAND_AND_CONTROL||ESTABLISH_INCIDENT_COMMAND||SUPPRESSION||OUTSIDE_FIRE_SUPPRESSION||FIRE_CONTROL_EXTINGUISHMENT||INVESTIGATION</t>
  </si>
  <si>
    <t>2026-04-16T18:42:00+00:00</t>
  </si>
  <si>
    <t>2026-04-16T17:00:00+00:00</t>
  </si>
  <si>
    <t>2026-06-03T14:28:44.580374+00:00</t>
  </si>
  <si>
    <t>Laurel</t>
  </si>
  <si>
    <t>7E74</t>
  </si>
  <si>
    <t>SUPPRESSION||OUTSIDE_FIRE_SUPPRESSION||FIRE_CONTROL_EXTINGUISHMENT||INFORMATION_ENFORCEMENT||ENFORCE_CODE_OR_LAW||INFORMATION_ENFORCEMENT||PROVIDE_PUBLIC_INFORMATION</t>
  </si>
  <si>
    <t>8/27/2026 3:24:51 PM Calling party is reporting that there is an illegal burn taking place at the listed address. 08/27/2026 1525 Bolton fire was toned out. 08/27/2026 1529 Second tone 08/27/2026 1532 Per 7C4, this call will not be going mutual aid. His ETA is approx. five minutes. 08/27/2026 1548 BOL 684 reports that there is a small brush fire. The resident has been spoken to, and advised that this is not burning season and the fire will be put out.</t>
  </si>
  <si>
    <t>2026-08-27T19:00:00+00:00</t>
  </si>
  <si>
    <t>1007</t>
  </si>
  <si>
    <t>Eastend</t>
  </si>
  <si>
    <t>7S75</t>
  </si>
  <si>
    <t>https://api.neris.fsri.org/v1/pygeoapi/collections/points/items/45409978</t>
  </si>
  <si>
    <t>SUPPRESSION||OUTSIDE_FIRE_SUPPRESSION||FIRE_CONTROL_EXTINGUISHMENT||INFORMATION_ENFORCEMENT||ENFORCE_CODE_OR_LAW</t>
  </si>
  <si>
    <t>2026-07-24T09:00:00+00:00</t>
  </si>
  <si>
    <t>1029</t>
  </si>
  <si>
    <t>Harvard</t>
  </si>
  <si>
    <t>INFORMATION_ENFORCEMENT||ENFORCE_CODE_OR_LAW||INFORMATION_ENFORCEMENT||PROVIDE_PUBLIC_INFORMATION</t>
  </si>
  <si>
    <t>2026-07-19T16:00:00+00:00</t>
  </si>
  <si>
    <t>FIRE||OUTSIDE_FIRE||VEGETATION_GRASS_FIRE||FIRE||OUTSIDE_FIRE||UTILITY_INFRASTRUCTURE_FIRE</t>
  </si>
  <si>
    <t>SUPPORT_AID||SUPPORT_AID||SUPPORT_AID</t>
  </si>
  <si>
    <t>RECEIVED||RECEIVED||RECEIVED</t>
  </si>
  <si>
    <t>FD25027671||FD25027937||FD25027157</t>
  </si>
  <si>
    <t>7POV||7T72||7S75||7E74</t>
  </si>
  <si>
    <t>BOOSTER_FIRE_HOSE||SMALL_DIAMETER_FIRE_HOSE||OTHER</t>
  </si>
  <si>
    <t>7ADM</t>
  </si>
  <si>
    <t>COMMAND_AND_CONTROL||INCIDENT_ASSESSMENT_COMPLETED||INVESTIGATION</t>
  </si>
  <si>
    <t>Wattaquadock Hill</t>
  </si>
  <si>
    <t>7M7||7T72||7E74</t>
  </si>
  <si>
    <t>https://api.neris.fsri.org/v1/pygeoapi/collections/points/items/33553763</t>
  </si>
  <si>
    <t>7T72||7E74</t>
  </si>
  <si>
    <t>COMMAND_AND_CONTROL||ESTABLISH_INCIDENT_COMMAND||COMMAND_AND_CONTROL||INCIDENT_ASSESSMENT_COMPLETED||SUPPRESSION||OUTSIDE_FIRE_SUPPRESSION||FIRE_CONTROL_EXTINGUISHMENT</t>
  </si>
  <si>
    <t>7T72||7CAR7||7CAR1</t>
  </si>
  <si>
    <t>SUPPRESSION||OUTSIDE_FIRE_SUPPRESSION||FIRE_CONTROL_EXTINGUISHMENT||PROVIDE_EQUIPMENT||PROVIDE_DRONE_VIDEO_EQUIPMENT||PROVIDE_SERVICES||PROVIDE_APPARATUS_WATER</t>
  </si>
  <si>
    <t>5/5/2026 3:00:21 PM 911 caller reporting a brush fire in the area. 05/05/2026 1459 Lancaster fire toned. 05/05/2026 1502 Time of second tone. 05/05/2026 1506 17C2 in the area reporting a smoke condition. 05/05/2026 1508 Command reporting a 500ft burn of unk size. Requesting a Leominster forestry, and a tanker from Bolton &amp;amp; Harvard.  05/05/2026 1509 Leominster forestry requested. 05/05/2026 1510 Bolton &amp;amp; Harvard tanker toned; Harvard drone toned. 05/05/2026 1513 Second tone for Bolton and Harvard. 05/05/2026 1513 National grid requested to shut power off to the solar field. Will call back with result. 05/05/2026 1514 Command requesting a UTV; Leominster and Bolton in route with the resource. 05/05/2026 1543 17C assuming command; C2 has general operations, and C1 has Union Turnpike Ops. 05/05/2026 1544 Command requesting 2 engines. 05/05/2026 1545 Devens fire toned for an engine. 05/05/2026 1547 Updated request from command for 2 forestry&amp;#x27;s; Devens updated and ******* requested.</t>
  </si>
  <si>
    <t>7CAR7</t>
  </si>
  <si>
    <t>2026-04-25T21:00:00+00:00</t>
  </si>
  <si>
    <t>Bare Hill</t>
  </si>
  <si>
    <t>7T72||7S75||7E74||7POV</t>
  </si>
  <si>
    <t>2026-04-23T20:51:34.761392+00:00</t>
  </si>
  <si>
    <t>7T72</t>
  </si>
  <si>
    <t>Pleasant</t>
  </si>
  <si>
    <t>Upton</t>
  </si>
  <si>
    <t>01568</t>
  </si>
  <si>
    <t>Car 1||Engine 3||POV||Tanker 1</t>
  </si>
  <si>
    <t>FD25027795S001U012||FD25027795S001U002||FD25027795S001U010||FD25027795S001U005</t>
  </si>
  <si>
    <t>5</t>
  </si>
  <si>
    <t>2026-06-08T20:29:56+00:00</t>
  </si>
  <si>
    <t>2026-06-08T20:00:00+00:00</t>
  </si>
  <si>
    <t>25027743100</t>
  </si>
  <si>
    <t>Brush 2||Car 1||Engine 3</t>
  </si>
  <si>
    <t>FD25027795S001U008||FD25027795S001U012||FD25027795S001U002</t>
  </si>
  <si>
    <t>INVESTIGATION||SUPPRESSION||OUTSIDE_FIRE_SUPPRESSION||CONFINEMENT||SUPPRESSION||OUTSIDE_FIRE_SUPPRESSION||FIRE_CONTROL_EXTINGUISHMENT</t>
  </si>
  <si>
    <t>2026-04-26T19:30:00+00:00</t>
  </si>
  <si>
    <t>Electric</t>
  </si>
  <si>
    <t>Lunenburg</t>
  </si>
  <si>
    <t>01462</t>
  </si>
  <si>
    <t>FD25027792||FD25027265||FD25017794</t>
  </si>
  <si>
    <t>19E5||19PV||19E4||19E2</t>
  </si>
  <si>
    <t>6/29/2026 6:42:03 PM The caller is reporting a brush fire at the above location. Lunenburg FD was dispatched.  06/29/2026 1844 19C4 is en route. 06/29/2026 1850 19C6 is requesting a WF. 06/29/2026 1850 An engine was requested from Fitchburg for station coverage. 06/29/2026 1853 19C6 requested a second alarm. 06/29/2026 1855 ******* and Fitchburg were requested to the scene. Leominster was requested for station coverage. 06/29/2026 1900 Fitchburg Engine on scene. 06/29/2026 1901 Ayer engine was contacted for station coverage. 06/29/2026 1907 Ayer E2 engine is en route to HQ. 06/29/2026 1911 ******* E4 is redirecting to HQ for cover duty. 06/29/2026 1954 Crews picking up and Command is advising a representative for the property is on scene.</t>
  </si>
  <si>
    <t>2026-06-29T22:00:00+00:00</t>
  </si>
  <si>
    <t>25027712101</t>
  </si>
  <si>
    <t>712101</t>
  </si>
  <si>
    <t>3000</t>
  </si>
  <si>
    <t>Page</t>
  </si>
  <si>
    <t>FD25017794</t>
  </si>
  <si>
    <t>19E5||19C||19E2||19E4||19E1</t>
  </si>
  <si>
    <t>MODERATE_DAMAGE</t>
  </si>
  <si>
    <t>4/9/2026 12:37:01 PM Caller reporting a brush fire at the listed address not near the building, there is additional brush in the area.  04/09/2026 1238 Lunenburg fire toned.  04/09/2026 1239 2nd call received stating that the fire is spreading towards the neighbors home.  04/09/2026 1245 19C established command.   04/09/2026 1247 Command requested that Lunenburg Engine 4 be staffed, a brush truck from Shirley, a cover company to the station.   04/09/2026 1248 Command requesting a 2nd alarm be activated stating there is roughly 1.5 acres burning.  04/09/2026 1249 ******* contacted for brush, Fitchburg engine redirected to the scene, engine 4 en route.  04/09/2026 1251 Shirley foresty and tanker going to the scene, Fitchburg engine going to the scene, Leominster engine and Medstar to the station for coverage.  04/09/2026 1254 Fitchburg engine 1 responding to scene.  04/09/2026 1257 Medstar unavailable for coverage, Command does not want another ambulance for coverage at this time.  04/09/2026 1304 Leominster diverting to 26-27342.  04/09/2026 1305 Command states that lines are on, the fire is under control, and all companies working on overhaul.  04/09/2026 1351 Fitchburg clearing and returning to their town.  04/09/2026 1407 Command states fire has been overhauled, crews are starting pick up the area, and Shirley Forestry will be returning to their town.</t>
  </si>
  <si>
    <t>2026-04-09T16:00:00+00:00</t>
  </si>
  <si>
    <t>25027712102</t>
  </si>
  <si>
    <t>North</t>
  </si>
  <si>
    <t>01420</t>
  </si>
  <si>
    <t>FD25027792</t>
  </si>
  <si>
    <t>19L1</t>
  </si>
  <si>
    <t>DB</t>
  </si>
  <si>
    <t>https://api.neris.fsri.org/v1/pygeoapi/collections/points/items/19922627</t>
  </si>
  <si>
    <t>3/24/2026 4:22:02 PM Fitchburg requesting Lunenburg&amp;#x27;s ladder to HQ for coverage.</t>
  </si>
  <si>
    <t>2026-03-24T20:00:00+00:00</t>
  </si>
  <si>
    <t>25027710700</t>
  </si>
  <si>
    <t>Massachusetts</t>
  </si>
  <si>
    <t>AVENUE</t>
  </si>
  <si>
    <t>19S3||19R1||19PV</t>
  </si>
  <si>
    <t>514fbf41-3aa0-438f-bcd6-b40f00e7d7ec||18471853-da0a-4528-9543-b40f00f5ae49</t>
  </si>
  <si>
    <t>PATIENT_REFUSED_EVALUATION_CARE||PATIENT_EVALUATED_CARE_PROVIDED</t>
  </si>
  <si>
    <t>PATIENT_REFUSED_TRANSPORT||TRANSPORT_BY_EMS_UNIT</t>
  </si>
  <si>
    <t>https://api.neris.fsri.org/v1/pygeoapi/collections/points/items/21020825</t>
  </si>
  <si>
    <t>EMERGENCY_MEDICAL_CARE||PROVIDE_ADVANCED_LIFE_SUPPORT||COMMAND_AND_CONTROL||ESTABLISH_INCIDENT_COMMAND</t>
  </si>
  <si>
    <t>3/15/2026 5:36:34 PM Multiple 911 callers reporting a 2-car MVA with positive airbags and injuries. One caller advised one of the vehicles may be on fire but does not appear to be occupied any longer.  03/15/2026 1735 - Lunenburg PD, FD, EMS toned. 03/15/2026 1735 - 340 advises all vehicles evacuated, one vehicle has a slight flame. 03/15/2026 1736 - 19C1 responding. 03/15/2026 1741 - Victory Lane and Aldrich en route per 340&amp;#x27;s request. Command advises of one refusal, one being evaluated for transport, and the fire is out. 03/15/2026 1747 - 19R1 transporting one BLS to Leominster Hospital. 03/15/2026 1747 - 340 was advised that the operator of the Subaru has a SA number but is unlicensed, no status found with recent Ch. 90 charges. 03/15/2026 1753 - Victory Lane on arrival. 03/15/2026 1756 - Aldrich Towing on arrival. 03/15/2026 1819 - 343 transporting operator of the Prius back to her residence at the location change. S/M 8506.1 03/15/2026 1827 - E/M 8510.7</t>
  </si>
  <si>
    <t>2026-03-15T21:00:00+00:00</t>
  </si>
  <si>
    <t>Partridgeville</t>
  </si>
  <si>
    <t>AMB3||ENG2</t>
  </si>
  <si>
    <t>2026-07-18T03:42:00+00:00</t>
  </si>
  <si>
    <t>2026-07-19T03:00:00+00:00</t>
  </si>
  <si>
    <t>25027703100</t>
  </si>
  <si>
    <t>703100</t>
  </si>
  <si>
    <t>3040</t>
  </si>
  <si>
    <t>ENG3||ENG2</t>
  </si>
  <si>
    <t>2026-07-05T02:10:00+00:00</t>
  </si>
  <si>
    <t>2026-07-06T01:00:00+00:00</t>
  </si>
  <si>
    <t>Orange</t>
  </si>
  <si>
    <t>01364</t>
  </si>
  <si>
    <t>Franklin County</t>
  </si>
  <si>
    <t>FD25011851</t>
  </si>
  <si>
    <t>D</t>
  </si>
  <si>
    <t>2026-07-04T16:23:00+00:00</t>
  </si>
  <si>
    <t>2026-07-04T11:00:00+00:00</t>
  </si>
  <si>
    <t>25011040502</t>
  </si>
  <si>
    <t>040502</t>
  </si>
  <si>
    <t>2010</t>
  </si>
  <si>
    <t>Daniel Shays</t>
  </si>
  <si>
    <t>New Salem</t>
  </si>
  <si>
    <t>01355</t>
  </si>
  <si>
    <t>FD25011296</t>
  </si>
  <si>
    <t>ATV1||UTIL1</t>
  </si>
  <si>
    <t>2026-04-28T22:20:00+00:00</t>
  </si>
  <si>
    <t>25011040600</t>
  </si>
  <si>
    <t>Chestnut Hill</t>
  </si>
  <si>
    <t>ENG2||BR1||CAR1</t>
  </si>
  <si>
    <t>2026-04-25T17:11:00+00:00</t>
  </si>
  <si>
    <t>2026-04-25T16:00:00+00:00</t>
  </si>
  <si>
    <t>25027703200</t>
  </si>
  <si>
    <t>Type</t>
  </si>
  <si>
    <t>Gender</t>
  </si>
  <si>
    <t>Injury Type</t>
  </si>
  <si>
    <t>Injury Cause</t>
  </si>
  <si>
    <t>Rescue Type</t>
  </si>
  <si>
    <t>Presence Known Type</t>
  </si>
  <si>
    <t>INJURED_NONFATAL</t>
  </si>
  <si>
    <t>NO_RESCUE_NEEDED</t>
  </si>
  <si>
    <t>KNOWN_DURING</t>
  </si>
  <si>
    <t>Report source</t>
  </si>
  <si>
    <t>IncidentPull_VegetationFires.py</t>
  </si>
  <si>
    <t>Report date/range</t>
  </si>
  <si>
    <t>2026-01-10T18:55:07+00:00 through 2026-08-31T17:58:56+00:00 (observed incident timestamps)</t>
  </si>
  <si>
    <t>Generated at</t>
  </si>
  <si>
    <t>2026-09-17T10:55:43-04:00</t>
  </si>
  <si>
    <t>Included sheets</t>
  </si>
  <si>
    <t>Summary, Overview, Raw Data, Casualty &amp; Rescue</t>
  </si>
  <si>
    <t>Included incident types</t>
  </si>
  <si>
    <t>FIRE||OUTSIDE_FIRE||VEGETATION_GRASS_FIRE; WILDLAND_WILDFIRE; WILDLAND_URBAN_INTERFACE</t>
  </si>
  <si>
    <t>Auburn Fire Department</t>
  </si>
  <si>
    <t>Sturbridge Fire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</si>
</sst>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00\);\-"/>
    <numFmt numFmtId="167" formatCode="mm/dd/yy\ hh:mm"/>
    <numFmt numFmtId="168" formatCode="mm/dd/yy"/>
    <numFmt numFmtId="169" formatCode="hh:mm"/>
  </numFmts>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workbookViewId="0">
      <pane ySplit="1" topLeftCell="A13" activePane="bottomLeft" state="frozen"/>
      <selection pane="bottomLeft" activeCell="D24" sqref="D24"/>
    </sheetView>
  </sheetViews>
  <sheetFormatPr defaultRowHeight="14.5" x14ac:dyDescent="0.35"/>
  <cols>
    <col min="1" max="1" width="22" customWidth="1"/>
    <col min="2" max="2" width="38" customWidth="1"/>
    <col min="3" max="3" width="27" customWidth="1"/>
    <col min="4" max="4" width="30" customWidth="1"/>
    <col min="5" max="5" width="33" customWidth="1"/>
    <col min="6" max="6" width="27" customWidth="1"/>
    <col min="7" max="7" width="30" customWidth="1"/>
    <col min="8" max="8" width="19" customWidth="1"/>
    <col min="9" max="9" width="14"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s="2">
        <v>5</v>
      </c>
      <c r="D2" s="2">
        <v>0</v>
      </c>
      <c r="E2" s="2">
        <v>0</v>
      </c>
      <c r="F2" s="2">
        <v>0</v>
      </c>
      <c r="G2" s="2">
        <v>0</v>
      </c>
      <c r="H2" s="3">
        <v>0</v>
      </c>
      <c r="I2" s="4">
        <v>2.1</v>
      </c>
    </row>
    <row r="3" spans="1:9" x14ac:dyDescent="0.35">
      <c r="A3" t="s">
        <v>11</v>
      </c>
      <c r="B3" t="s">
        <v>12</v>
      </c>
      <c r="C3" s="2">
        <v>1</v>
      </c>
      <c r="D3" s="2">
        <v>0</v>
      </c>
      <c r="E3" s="2">
        <v>0</v>
      </c>
      <c r="F3" s="2">
        <v>0</v>
      </c>
      <c r="G3" s="2">
        <v>0</v>
      </c>
      <c r="H3" s="3">
        <v>0</v>
      </c>
      <c r="I3" s="4">
        <v>0</v>
      </c>
    </row>
    <row r="4" spans="1:9" x14ac:dyDescent="0.35">
      <c r="A4" t="s">
        <v>13</v>
      </c>
      <c r="B4" t="s">
        <v>14</v>
      </c>
      <c r="C4" s="2">
        <v>4</v>
      </c>
      <c r="D4" s="2">
        <v>0</v>
      </c>
      <c r="E4" s="2">
        <v>0</v>
      </c>
      <c r="F4" s="2">
        <v>0</v>
      </c>
      <c r="G4" s="2">
        <v>1</v>
      </c>
      <c r="H4" s="3">
        <v>0</v>
      </c>
      <c r="I4" s="4">
        <v>2</v>
      </c>
    </row>
    <row r="5" spans="1:9" x14ac:dyDescent="0.35">
      <c r="A5" t="s">
        <v>15</v>
      </c>
      <c r="B5" t="s">
        <v>16</v>
      </c>
      <c r="C5" s="2">
        <v>2</v>
      </c>
      <c r="D5" s="2">
        <v>0</v>
      </c>
      <c r="E5" s="2">
        <v>0</v>
      </c>
      <c r="F5" s="2">
        <v>0</v>
      </c>
      <c r="G5" s="2">
        <v>0</v>
      </c>
      <c r="H5" s="3">
        <v>0</v>
      </c>
      <c r="I5" s="4">
        <v>0</v>
      </c>
    </row>
    <row r="6" spans="1:9" x14ac:dyDescent="0.35">
      <c r="A6" t="s">
        <v>17</v>
      </c>
      <c r="B6" t="s">
        <v>18</v>
      </c>
      <c r="C6" s="2">
        <v>5</v>
      </c>
      <c r="D6" s="2">
        <v>0</v>
      </c>
      <c r="E6" s="2">
        <v>0</v>
      </c>
      <c r="F6" s="2">
        <v>0</v>
      </c>
      <c r="G6" s="2">
        <v>0</v>
      </c>
      <c r="H6" s="3">
        <v>0</v>
      </c>
      <c r="I6" s="4">
        <v>1</v>
      </c>
    </row>
    <row r="7" spans="1:9" x14ac:dyDescent="0.35">
      <c r="A7" t="s">
        <v>19</v>
      </c>
      <c r="B7" t="s">
        <v>20</v>
      </c>
      <c r="C7" s="2">
        <v>1</v>
      </c>
      <c r="D7" s="2">
        <v>0</v>
      </c>
      <c r="E7" s="2">
        <v>0</v>
      </c>
      <c r="F7" s="2">
        <v>0</v>
      </c>
      <c r="G7" s="2">
        <v>0</v>
      </c>
      <c r="H7" s="3">
        <v>0</v>
      </c>
      <c r="I7" s="4">
        <v>0</v>
      </c>
    </row>
    <row r="8" spans="1:9" x14ac:dyDescent="0.35">
      <c r="A8" t="s">
        <v>21</v>
      </c>
      <c r="B8" t="s">
        <v>22</v>
      </c>
      <c r="C8" s="2">
        <v>12</v>
      </c>
      <c r="D8" s="2">
        <v>0</v>
      </c>
      <c r="E8" s="2">
        <v>0</v>
      </c>
      <c r="F8" s="2">
        <v>0</v>
      </c>
      <c r="G8" s="2">
        <v>0</v>
      </c>
      <c r="H8" s="3">
        <v>0</v>
      </c>
      <c r="I8" s="4">
        <v>0.7</v>
      </c>
    </row>
    <row r="9" spans="1:9" x14ac:dyDescent="0.35">
      <c r="A9" t="s">
        <v>23</v>
      </c>
      <c r="B9" t="s">
        <v>24</v>
      </c>
      <c r="C9" s="2">
        <v>7</v>
      </c>
      <c r="D9" s="2">
        <v>0</v>
      </c>
      <c r="E9" s="2">
        <v>0</v>
      </c>
      <c r="F9" s="2">
        <v>0</v>
      </c>
      <c r="G9" s="2">
        <v>0</v>
      </c>
      <c r="H9" s="3">
        <v>0</v>
      </c>
      <c r="I9" s="4">
        <v>1</v>
      </c>
    </row>
    <row r="10" spans="1:9" x14ac:dyDescent="0.35">
      <c r="A10" t="s">
        <v>25</v>
      </c>
      <c r="B10" t="s">
        <v>26</v>
      </c>
      <c r="C10" s="2">
        <v>5</v>
      </c>
      <c r="D10" s="2">
        <v>0</v>
      </c>
      <c r="E10" s="2">
        <v>0</v>
      </c>
      <c r="F10" s="2">
        <v>0</v>
      </c>
      <c r="G10" s="2">
        <v>0</v>
      </c>
      <c r="H10" s="3">
        <v>0</v>
      </c>
      <c r="I10" s="4">
        <v>0</v>
      </c>
    </row>
    <row r="11" spans="1:9" x14ac:dyDescent="0.35">
      <c r="A11" t="s">
        <v>27</v>
      </c>
      <c r="B11" t="s">
        <v>28</v>
      </c>
      <c r="C11" s="2">
        <v>4</v>
      </c>
      <c r="D11" s="2">
        <v>0</v>
      </c>
      <c r="E11" s="2">
        <v>0</v>
      </c>
      <c r="F11" s="2">
        <v>0</v>
      </c>
      <c r="G11" s="2">
        <v>0</v>
      </c>
      <c r="H11" s="3">
        <v>0</v>
      </c>
      <c r="I11" s="4">
        <v>0</v>
      </c>
    </row>
    <row r="12" spans="1:9" x14ac:dyDescent="0.35">
      <c r="A12" t="s">
        <v>29</v>
      </c>
      <c r="B12" t="s">
        <v>30</v>
      </c>
      <c r="C12" s="2">
        <v>7</v>
      </c>
      <c r="D12" s="2">
        <v>0</v>
      </c>
      <c r="E12" s="2">
        <v>0</v>
      </c>
      <c r="F12" s="2">
        <v>0</v>
      </c>
      <c r="G12" s="2">
        <v>0</v>
      </c>
      <c r="H12" s="3">
        <v>0</v>
      </c>
      <c r="I12" s="4">
        <v>1.75</v>
      </c>
    </row>
    <row r="13" spans="1:9" x14ac:dyDescent="0.35">
      <c r="A13" t="s">
        <v>31</v>
      </c>
      <c r="B13" t="s">
        <v>4152</v>
      </c>
      <c r="C13" s="2">
        <v>9</v>
      </c>
      <c r="D13" s="2">
        <v>0</v>
      </c>
      <c r="E13" s="2">
        <v>0</v>
      </c>
      <c r="F13" s="2">
        <v>0</v>
      </c>
      <c r="G13" s="2">
        <v>0</v>
      </c>
      <c r="H13" s="3">
        <v>0</v>
      </c>
      <c r="I13" s="4">
        <v>0</v>
      </c>
    </row>
    <row r="14" spans="1:9" x14ac:dyDescent="0.35">
      <c r="A14" t="s">
        <v>32</v>
      </c>
      <c r="B14" t="s">
        <v>33</v>
      </c>
      <c r="C14" s="2">
        <v>6</v>
      </c>
      <c r="D14" s="2">
        <v>0</v>
      </c>
      <c r="E14" s="2">
        <v>0</v>
      </c>
      <c r="F14" s="2">
        <v>0</v>
      </c>
      <c r="G14" s="2">
        <v>0</v>
      </c>
      <c r="H14" s="3">
        <v>0</v>
      </c>
      <c r="I14" s="4">
        <v>0</v>
      </c>
    </row>
    <row r="15" spans="1:9" x14ac:dyDescent="0.35">
      <c r="A15" t="s">
        <v>34</v>
      </c>
      <c r="B15" t="s">
        <v>35</v>
      </c>
      <c r="C15" s="2">
        <v>7</v>
      </c>
      <c r="D15" s="2">
        <v>0</v>
      </c>
      <c r="E15" s="2">
        <v>0</v>
      </c>
      <c r="F15" s="2">
        <v>0</v>
      </c>
      <c r="G15" s="2">
        <v>0</v>
      </c>
      <c r="H15" s="3">
        <v>0</v>
      </c>
      <c r="I15" s="4">
        <v>1</v>
      </c>
    </row>
    <row r="16" spans="1:9" x14ac:dyDescent="0.35">
      <c r="A16" t="s">
        <v>36</v>
      </c>
      <c r="B16" t="s">
        <v>37</v>
      </c>
      <c r="C16" s="2">
        <v>5</v>
      </c>
      <c r="D16" s="2">
        <v>0</v>
      </c>
      <c r="E16" s="2">
        <v>0</v>
      </c>
      <c r="F16" s="2">
        <v>0</v>
      </c>
      <c r="G16" s="2">
        <v>0</v>
      </c>
      <c r="H16" s="3">
        <v>0</v>
      </c>
      <c r="I16" s="4">
        <v>1.1000000000000001</v>
      </c>
    </row>
    <row r="17" spans="1:9" x14ac:dyDescent="0.35">
      <c r="A17" t="s">
        <v>38</v>
      </c>
      <c r="B17" t="s">
        <v>39</v>
      </c>
      <c r="C17" s="2">
        <v>117</v>
      </c>
      <c r="D17" s="2">
        <v>0</v>
      </c>
      <c r="E17" s="2">
        <v>0</v>
      </c>
      <c r="F17" s="2">
        <v>0</v>
      </c>
      <c r="G17" s="2">
        <v>0</v>
      </c>
      <c r="H17" s="3">
        <v>0</v>
      </c>
      <c r="I17" s="4">
        <v>0</v>
      </c>
    </row>
    <row r="18" spans="1:9" x14ac:dyDescent="0.35">
      <c r="A18" t="s">
        <v>40</v>
      </c>
      <c r="B18" t="s">
        <v>41</v>
      </c>
      <c r="C18" s="2">
        <v>1</v>
      </c>
      <c r="D18" s="2">
        <v>0</v>
      </c>
      <c r="E18" s="2">
        <v>0</v>
      </c>
      <c r="F18" s="2">
        <v>0</v>
      </c>
      <c r="G18" s="2">
        <v>0</v>
      </c>
      <c r="H18" s="3">
        <v>0</v>
      </c>
      <c r="I18" s="4">
        <v>0</v>
      </c>
    </row>
    <row r="19" spans="1:9" x14ac:dyDescent="0.35">
      <c r="A19" t="s">
        <v>42</v>
      </c>
      <c r="B19" t="s">
        <v>43</v>
      </c>
      <c r="C19" s="2">
        <v>8</v>
      </c>
      <c r="D19" s="2">
        <v>0</v>
      </c>
      <c r="E19" s="2">
        <v>0</v>
      </c>
      <c r="F19" s="2">
        <v>0</v>
      </c>
      <c r="G19" s="2">
        <v>0</v>
      </c>
      <c r="H19" s="3">
        <v>0</v>
      </c>
      <c r="I19" s="4">
        <v>0</v>
      </c>
    </row>
    <row r="20" spans="1:9" x14ac:dyDescent="0.35">
      <c r="A20" t="s">
        <v>44</v>
      </c>
      <c r="B20" t="s">
        <v>45</v>
      </c>
      <c r="C20" s="2">
        <v>1</v>
      </c>
      <c r="D20" s="2">
        <v>0</v>
      </c>
      <c r="E20" s="2">
        <v>0</v>
      </c>
      <c r="F20" s="2">
        <v>0</v>
      </c>
      <c r="G20" s="2">
        <v>0</v>
      </c>
      <c r="H20" s="3">
        <v>0</v>
      </c>
      <c r="I20" s="4">
        <v>0</v>
      </c>
    </row>
    <row r="21" spans="1:9" x14ac:dyDescent="0.35">
      <c r="A21" t="s">
        <v>46</v>
      </c>
      <c r="B21" t="s">
        <v>47</v>
      </c>
      <c r="C21" s="2">
        <v>8</v>
      </c>
      <c r="D21" s="2">
        <v>0</v>
      </c>
      <c r="E21" s="2">
        <v>0</v>
      </c>
      <c r="F21" s="2">
        <v>0</v>
      </c>
      <c r="G21" s="2">
        <v>0</v>
      </c>
      <c r="H21" s="3">
        <v>0</v>
      </c>
      <c r="I21" s="4">
        <v>0.1</v>
      </c>
    </row>
    <row r="22" spans="1:9" x14ac:dyDescent="0.35">
      <c r="A22" t="s">
        <v>48</v>
      </c>
      <c r="B22" t="s">
        <v>49</v>
      </c>
      <c r="C22" s="2">
        <v>2</v>
      </c>
      <c r="D22" s="2">
        <v>0</v>
      </c>
      <c r="E22" s="2">
        <v>0</v>
      </c>
      <c r="F22" s="2">
        <v>0</v>
      </c>
      <c r="G22" s="2">
        <v>0</v>
      </c>
      <c r="H22" s="3">
        <v>0</v>
      </c>
      <c r="I22" s="4">
        <v>0</v>
      </c>
    </row>
    <row r="23" spans="1:9" x14ac:dyDescent="0.35">
      <c r="A23" t="s">
        <v>50</v>
      </c>
      <c r="B23" t="s">
        <v>51</v>
      </c>
      <c r="C23" s="2">
        <v>7</v>
      </c>
      <c r="D23" s="2">
        <v>0</v>
      </c>
      <c r="E23" s="2">
        <v>0</v>
      </c>
      <c r="F23" s="2">
        <v>0</v>
      </c>
      <c r="G23" s="2">
        <v>0</v>
      </c>
      <c r="H23" s="3">
        <v>0</v>
      </c>
      <c r="I23" s="4">
        <v>0</v>
      </c>
    </row>
    <row r="24" spans="1:9" x14ac:dyDescent="0.35">
      <c r="A24" t="s">
        <v>52</v>
      </c>
      <c r="B24" t="s">
        <v>53</v>
      </c>
      <c r="C24" s="2">
        <v>14</v>
      </c>
      <c r="D24" s="2">
        <v>0</v>
      </c>
      <c r="E24" s="2">
        <v>0</v>
      </c>
      <c r="F24" s="2">
        <v>0</v>
      </c>
      <c r="G24" s="2">
        <v>0</v>
      </c>
      <c r="H24" s="3">
        <v>0</v>
      </c>
      <c r="I24" s="4">
        <v>0.5</v>
      </c>
    </row>
    <row r="25" spans="1:9" x14ac:dyDescent="0.35">
      <c r="A25" t="s">
        <v>54</v>
      </c>
      <c r="B25" t="s">
        <v>55</v>
      </c>
      <c r="C25" s="2">
        <v>7</v>
      </c>
      <c r="D25" s="2">
        <v>0</v>
      </c>
      <c r="E25" s="2">
        <v>0</v>
      </c>
      <c r="F25" s="2">
        <v>0</v>
      </c>
      <c r="G25" s="2">
        <v>0</v>
      </c>
      <c r="H25" s="3">
        <v>0</v>
      </c>
      <c r="I25" s="4">
        <v>0.25</v>
      </c>
    </row>
    <row r="26" spans="1:9" x14ac:dyDescent="0.35">
      <c r="A26" t="s">
        <v>56</v>
      </c>
      <c r="B26" t="s">
        <v>57</v>
      </c>
      <c r="C26" s="2">
        <v>4</v>
      </c>
      <c r="D26" s="2">
        <v>0</v>
      </c>
      <c r="E26" s="2">
        <v>0</v>
      </c>
      <c r="F26" s="2">
        <v>0</v>
      </c>
      <c r="G26" s="2">
        <v>0</v>
      </c>
      <c r="H26" s="3">
        <v>0</v>
      </c>
      <c r="I26" s="4">
        <v>0</v>
      </c>
    </row>
    <row r="27" spans="1:9" x14ac:dyDescent="0.35">
      <c r="A27" t="s">
        <v>58</v>
      </c>
      <c r="B27" t="s">
        <v>59</v>
      </c>
      <c r="C27" s="2">
        <v>11</v>
      </c>
      <c r="D27" s="2">
        <v>0</v>
      </c>
      <c r="E27" s="2">
        <v>0</v>
      </c>
      <c r="F27" s="2">
        <v>0</v>
      </c>
      <c r="G27" s="2">
        <v>0</v>
      </c>
      <c r="H27" s="3">
        <v>0</v>
      </c>
      <c r="I27" s="4">
        <v>0</v>
      </c>
    </row>
    <row r="28" spans="1:9" x14ac:dyDescent="0.35">
      <c r="A28" t="s">
        <v>60</v>
      </c>
      <c r="B28" t="s">
        <v>61</v>
      </c>
      <c r="C28" s="2">
        <v>7</v>
      </c>
      <c r="D28" s="2">
        <v>0</v>
      </c>
      <c r="E28" s="2">
        <v>0</v>
      </c>
      <c r="F28" s="2">
        <v>0</v>
      </c>
      <c r="G28" s="2">
        <v>0</v>
      </c>
      <c r="H28" s="3">
        <v>0</v>
      </c>
      <c r="I28" s="4">
        <v>2.5</v>
      </c>
    </row>
    <row r="29" spans="1:9" x14ac:dyDescent="0.35">
      <c r="A29" t="s">
        <v>62</v>
      </c>
      <c r="B29" t="s">
        <v>4153</v>
      </c>
      <c r="C29" s="2">
        <v>6</v>
      </c>
      <c r="D29" s="2">
        <v>0</v>
      </c>
      <c r="E29" s="2">
        <v>0</v>
      </c>
      <c r="F29" s="2">
        <v>0</v>
      </c>
      <c r="G29" s="2">
        <v>0</v>
      </c>
      <c r="H29" s="3">
        <v>0</v>
      </c>
      <c r="I29" s="4">
        <v>0.1</v>
      </c>
    </row>
    <row r="30" spans="1:9" x14ac:dyDescent="0.35">
      <c r="A30" t="s">
        <v>63</v>
      </c>
      <c r="B30" t="s">
        <v>64</v>
      </c>
      <c r="C30" s="2">
        <v>4</v>
      </c>
      <c r="D30" s="2">
        <v>0</v>
      </c>
      <c r="E30" s="2">
        <v>0</v>
      </c>
      <c r="F30" s="2">
        <v>0</v>
      </c>
      <c r="G30" s="2">
        <v>0</v>
      </c>
      <c r="H30" s="3">
        <v>0</v>
      </c>
      <c r="I30" s="4">
        <v>0</v>
      </c>
    </row>
    <row r="31" spans="1:9" x14ac:dyDescent="0.35">
      <c r="A31" t="s">
        <v>65</v>
      </c>
      <c r="B31" t="s">
        <v>66</v>
      </c>
      <c r="C31" s="2">
        <v>6</v>
      </c>
      <c r="D31" s="2">
        <v>0</v>
      </c>
      <c r="E31" s="2">
        <v>0</v>
      </c>
      <c r="F31" s="2">
        <v>0</v>
      </c>
      <c r="G31" s="2">
        <v>0</v>
      </c>
      <c r="H31" s="3">
        <v>0</v>
      </c>
      <c r="I31" s="4">
        <v>0.01</v>
      </c>
    </row>
    <row r="32" spans="1:9" x14ac:dyDescent="0.35">
      <c r="A32" t="s">
        <v>67</v>
      </c>
      <c r="B32" t="s">
        <v>68</v>
      </c>
      <c r="C32" s="2">
        <v>2</v>
      </c>
      <c r="D32" s="2">
        <v>0</v>
      </c>
      <c r="E32" s="2">
        <v>0</v>
      </c>
      <c r="F32" s="2">
        <v>0</v>
      </c>
      <c r="G32" s="2">
        <v>0</v>
      </c>
      <c r="H32" s="3">
        <v>0</v>
      </c>
      <c r="I32" s="4">
        <v>3</v>
      </c>
    </row>
    <row r="33" spans="1:9" x14ac:dyDescent="0.35">
      <c r="A33" t="s">
        <v>69</v>
      </c>
      <c r="B33" t="s">
        <v>70</v>
      </c>
      <c r="C33" s="2">
        <v>7</v>
      </c>
      <c r="D33" s="2">
        <v>0</v>
      </c>
      <c r="E33" s="2">
        <v>0</v>
      </c>
      <c r="F33" s="2">
        <v>0</v>
      </c>
      <c r="G33" s="2">
        <v>0</v>
      </c>
      <c r="H33" s="3">
        <v>0</v>
      </c>
      <c r="I33" s="4">
        <v>0.2</v>
      </c>
    </row>
    <row r="34" spans="1:9" x14ac:dyDescent="0.35">
      <c r="A34" t="s">
        <v>71</v>
      </c>
      <c r="B34" t="s">
        <v>72</v>
      </c>
      <c r="C34" s="2">
        <v>2</v>
      </c>
      <c r="D34" s="2">
        <v>0</v>
      </c>
      <c r="E34" s="2">
        <v>0</v>
      </c>
      <c r="F34" s="2">
        <v>0</v>
      </c>
      <c r="G34" s="2">
        <v>0</v>
      </c>
      <c r="H34" s="3">
        <v>0</v>
      </c>
      <c r="I34" s="4">
        <v>0</v>
      </c>
    </row>
    <row r="35" spans="1:9" x14ac:dyDescent="0.35">
      <c r="A35" t="s">
        <v>73</v>
      </c>
      <c r="B35" t="s">
        <v>74</v>
      </c>
      <c r="C35" s="2">
        <v>5</v>
      </c>
      <c r="D35" s="2">
        <v>0</v>
      </c>
      <c r="E35" s="2">
        <v>0</v>
      </c>
      <c r="F35" s="2">
        <v>0</v>
      </c>
      <c r="G35" s="2">
        <v>0</v>
      </c>
      <c r="H35" s="3">
        <v>0</v>
      </c>
      <c r="I35" s="4">
        <v>0</v>
      </c>
    </row>
    <row r="36" spans="1:9" x14ac:dyDescent="0.35">
      <c r="A36" t="s">
        <v>75</v>
      </c>
      <c r="B36" t="s">
        <v>76</v>
      </c>
      <c r="C36" s="2">
        <v>1</v>
      </c>
      <c r="D36" s="2">
        <v>0</v>
      </c>
      <c r="E36" s="2">
        <v>0</v>
      </c>
      <c r="F36" s="2">
        <v>0</v>
      </c>
      <c r="G36" s="2">
        <v>0</v>
      </c>
      <c r="H36" s="3">
        <v>0</v>
      </c>
      <c r="I36" s="4">
        <v>0.4</v>
      </c>
    </row>
    <row r="37" spans="1:9" x14ac:dyDescent="0.35">
      <c r="A37" t="s">
        <v>77</v>
      </c>
      <c r="B37" t="s">
        <v>78</v>
      </c>
      <c r="C37" s="2">
        <v>4</v>
      </c>
      <c r="D37" s="2">
        <v>0</v>
      </c>
      <c r="E37" s="2">
        <v>0</v>
      </c>
      <c r="F37" s="2">
        <v>0</v>
      </c>
      <c r="G37" s="2">
        <v>0</v>
      </c>
      <c r="H37" s="3">
        <v>0</v>
      </c>
      <c r="I37" s="4">
        <v>0</v>
      </c>
    </row>
    <row r="38" spans="1:9" x14ac:dyDescent="0.35">
      <c r="A38" t="s">
        <v>79</v>
      </c>
      <c r="B38" t="s">
        <v>80</v>
      </c>
      <c r="C38" s="2">
        <v>1</v>
      </c>
      <c r="D38" s="2">
        <v>0</v>
      </c>
      <c r="E38" s="2">
        <v>0</v>
      </c>
      <c r="F38" s="2">
        <v>0</v>
      </c>
      <c r="G38" s="2">
        <v>0</v>
      </c>
      <c r="H38" s="3">
        <v>0</v>
      </c>
      <c r="I38" s="4">
        <v>0</v>
      </c>
    </row>
    <row r="39" spans="1:9" x14ac:dyDescent="0.35">
      <c r="A39" t="s">
        <v>81</v>
      </c>
      <c r="B39" t="s">
        <v>82</v>
      </c>
      <c r="C39" s="2">
        <v>12</v>
      </c>
      <c r="D39" s="2">
        <v>0</v>
      </c>
      <c r="E39" s="2">
        <v>0</v>
      </c>
      <c r="F39" s="2">
        <v>0</v>
      </c>
      <c r="G39" s="2">
        <v>0</v>
      </c>
      <c r="H39" s="3">
        <v>0</v>
      </c>
      <c r="I39" s="4">
        <v>0.7</v>
      </c>
    </row>
    <row r="40" spans="1:9" x14ac:dyDescent="0.35">
      <c r="A40" t="s">
        <v>83</v>
      </c>
      <c r="B40" t="s">
        <v>84</v>
      </c>
      <c r="C40" s="2">
        <v>2</v>
      </c>
      <c r="D40" s="2">
        <v>0</v>
      </c>
      <c r="E40" s="2">
        <v>0</v>
      </c>
      <c r="F40" s="2">
        <v>0</v>
      </c>
      <c r="G40" s="2">
        <v>0</v>
      </c>
      <c r="H40" s="3">
        <v>0</v>
      </c>
      <c r="I40" s="4">
        <v>0</v>
      </c>
    </row>
    <row r="41" spans="1:9" x14ac:dyDescent="0.35">
      <c r="A41" t="s">
        <v>85</v>
      </c>
      <c r="B41" t="s">
        <v>86</v>
      </c>
      <c r="C41" s="2">
        <v>4</v>
      </c>
      <c r="D41" s="2">
        <v>0</v>
      </c>
      <c r="E41" s="2">
        <v>0</v>
      </c>
      <c r="F41" s="2">
        <v>0</v>
      </c>
      <c r="G41" s="2">
        <v>0</v>
      </c>
      <c r="H41" s="3">
        <v>0</v>
      </c>
      <c r="I41" s="4">
        <v>1.25</v>
      </c>
    </row>
    <row r="42" spans="1:9" x14ac:dyDescent="0.35">
      <c r="A42" t="s">
        <v>87</v>
      </c>
      <c r="B42" t="s">
        <v>88</v>
      </c>
      <c r="C42" s="2">
        <v>5</v>
      </c>
      <c r="D42" s="2">
        <v>0</v>
      </c>
      <c r="E42" s="2">
        <v>0</v>
      </c>
      <c r="F42" s="2">
        <v>0</v>
      </c>
      <c r="G42" s="2">
        <v>0</v>
      </c>
      <c r="H42" s="3">
        <v>0</v>
      </c>
      <c r="I42"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29"/>
  <sheetViews>
    <sheetView topLeftCell="T1" workbookViewId="0">
      <pane ySplit="1" topLeftCell="A2" activePane="bottomLeft" state="frozen"/>
      <selection pane="bottomLeft" activeCell="R1" sqref="A1:XFD1048576"/>
    </sheetView>
  </sheetViews>
  <sheetFormatPr defaultRowHeight="14.5" x14ac:dyDescent="0.35"/>
  <cols>
    <col min="1" max="1" width="60" customWidth="1"/>
    <col min="2" max="2" width="22" customWidth="1"/>
    <col min="3" max="3" width="43" customWidth="1"/>
    <col min="4" max="4" width="27" customWidth="1"/>
    <col min="5" max="5" width="60" customWidth="1"/>
    <col min="6" max="7" width="36" customWidth="1"/>
    <col min="8" max="8" width="37" customWidth="1"/>
    <col min="9" max="10" width="36" customWidth="1"/>
    <col min="11" max="11" width="34" customWidth="1"/>
    <col min="12" max="12" width="18" customWidth="1"/>
    <col min="13" max="13" width="43" customWidth="1"/>
    <col min="14" max="14" width="60" customWidth="1"/>
    <col min="15" max="15" width="25" customWidth="1"/>
    <col min="16" max="16" width="16" customWidth="1"/>
    <col min="17" max="17" width="17" customWidth="1"/>
    <col min="18" max="18" width="60" customWidth="1"/>
    <col min="19" max="19" width="20" customWidth="1"/>
    <col min="20" max="20" width="16" customWidth="1"/>
    <col min="21" max="21" width="24" customWidth="1"/>
    <col min="22" max="23" width="12" customWidth="1"/>
    <col min="24" max="24" width="32" customWidth="1"/>
  </cols>
  <sheetData>
    <row r="1" spans="1:24" x14ac:dyDescent="0.35">
      <c r="A1" s="1" t="s">
        <v>89</v>
      </c>
      <c r="B1" s="1" t="s">
        <v>0</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row>
    <row r="2" spans="1:24" x14ac:dyDescent="0.35">
      <c r="A2" t="s">
        <v>112</v>
      </c>
      <c r="B2" t="s">
        <v>9</v>
      </c>
      <c r="C2" t="s">
        <v>113</v>
      </c>
      <c r="D2" t="s">
        <v>114</v>
      </c>
      <c r="E2" s="5">
        <f t="shared" ref="E2:E65" si="0">IF(D2="","",DATE(VALUE(LEFT(D2,4)),VALUE(MID(D2,6,2)),VALUE(MID(D2,9,2)))+TIME(VALUE(MID(D2,12,2)),VALUE(MID(D2,15,2)),VALUE(MID(D2,18,2)))-IF(AND(DATE(VALUE(LEFT(D2,4)),VALUE(MID(D2,6,2)),VALUE(MID(D2,9,2)))+TIME(VALUE(MID(D2,12,2)),VALUE(MID(D2,15,2)),VALUE(MID(D2,18,2)))&gt;=DATE(VALUE(LEFT(D2,4)),3,1)+MOD(8-WEEKDAY(DATE(VALUE(LEFT(D2,4)),3,1)),7)+7+TIME(7,0,0),DATE(VALUE(LEFT(D2,4)),3,1)+MOD(8-WEEKDAY(DATE(VALUE(LEFT(D2,4)),3,1)),7)+7+TIME(7,0,0)&lt;DATE(VALUE(LEFT(D2,4)),11,1)+MOD(8-WEEKDAY(DATE(VALUE(LEFT(D2,4)),11,1)),7)+TIME(6,0,0)), TIME(4,0,0),TIME(5,0,0)))</f>
        <v>46207.50277777778</v>
      </c>
      <c r="F2" s="6">
        <f t="shared" ref="F2:F65" si="1">IF(E2="","",INT(E2))</f>
        <v>46207</v>
      </c>
      <c r="G2" s="7">
        <f t="shared" ref="G2:G65" si="2">IF(E2="","",MOD(E2,1))</f>
        <v>0.50277777777955635</v>
      </c>
      <c r="H2">
        <f t="shared" ref="H2:H65" si="3">IF(E2="","",MONTH(E2))</f>
        <v>7</v>
      </c>
      <c r="I2">
        <f t="shared" ref="I2:I65" si="4">IF(E2="","",YEAR(E2))</f>
        <v>2026</v>
      </c>
      <c r="J2">
        <f t="shared" ref="J2:J65" si="5">IF(E2="","",HOUR(E2))</f>
        <v>12</v>
      </c>
      <c r="K2" t="s">
        <v>115</v>
      </c>
      <c r="L2" t="s">
        <v>116</v>
      </c>
      <c r="M2" t="s">
        <v>117</v>
      </c>
      <c r="P2" t="b">
        <v>1</v>
      </c>
      <c r="R2" t="s">
        <v>118</v>
      </c>
      <c r="S2">
        <v>0</v>
      </c>
      <c r="T2" t="s">
        <v>119</v>
      </c>
      <c r="U2" t="s">
        <v>120</v>
      </c>
    </row>
    <row r="3" spans="1:24" x14ac:dyDescent="0.35">
      <c r="A3" t="s">
        <v>121</v>
      </c>
      <c r="B3" t="s">
        <v>9</v>
      </c>
      <c r="C3" t="s">
        <v>122</v>
      </c>
      <c r="D3" t="s">
        <v>123</v>
      </c>
      <c r="E3" s="5">
        <f t="shared" si="0"/>
        <v>46146.433333333334</v>
      </c>
      <c r="F3" s="6">
        <f t="shared" si="1"/>
        <v>46146</v>
      </c>
      <c r="G3" s="7">
        <f t="shared" si="2"/>
        <v>0.43333333333430346</v>
      </c>
      <c r="H3">
        <f t="shared" si="3"/>
        <v>5</v>
      </c>
      <c r="I3">
        <f t="shared" si="4"/>
        <v>2026</v>
      </c>
      <c r="J3">
        <f t="shared" si="5"/>
        <v>10</v>
      </c>
      <c r="K3" t="s">
        <v>124</v>
      </c>
      <c r="L3" t="s">
        <v>116</v>
      </c>
      <c r="M3" t="s">
        <v>117</v>
      </c>
      <c r="P3" t="b">
        <v>1</v>
      </c>
      <c r="R3" t="s">
        <v>125</v>
      </c>
      <c r="T3" t="s">
        <v>119</v>
      </c>
      <c r="U3" t="s">
        <v>120</v>
      </c>
    </row>
    <row r="4" spans="1:24" x14ac:dyDescent="0.35">
      <c r="A4" t="s">
        <v>126</v>
      </c>
      <c r="B4" t="s">
        <v>9</v>
      </c>
      <c r="C4" t="s">
        <v>127</v>
      </c>
      <c r="D4" t="s">
        <v>128</v>
      </c>
      <c r="E4" s="5">
        <f t="shared" si="0"/>
        <v>46141.393750000003</v>
      </c>
      <c r="F4" s="6">
        <f t="shared" si="1"/>
        <v>46141</v>
      </c>
      <c r="G4" s="7">
        <f t="shared" si="2"/>
        <v>0.39375000000291038</v>
      </c>
      <c r="H4">
        <f t="shared" si="3"/>
        <v>4</v>
      </c>
      <c r="I4">
        <f t="shared" si="4"/>
        <v>2026</v>
      </c>
      <c r="J4">
        <f t="shared" si="5"/>
        <v>9</v>
      </c>
      <c r="K4" t="s">
        <v>129</v>
      </c>
      <c r="L4" t="s">
        <v>116</v>
      </c>
      <c r="M4" t="s">
        <v>117</v>
      </c>
      <c r="P4" t="b">
        <v>0</v>
      </c>
      <c r="R4" t="s">
        <v>130</v>
      </c>
      <c r="T4" t="s">
        <v>119</v>
      </c>
      <c r="U4" t="s">
        <v>120</v>
      </c>
    </row>
    <row r="5" spans="1:24" x14ac:dyDescent="0.35">
      <c r="A5" t="s">
        <v>131</v>
      </c>
      <c r="B5" t="s">
        <v>9</v>
      </c>
      <c r="C5" t="s">
        <v>132</v>
      </c>
      <c r="D5" t="s">
        <v>133</v>
      </c>
      <c r="E5" s="5">
        <f t="shared" si="0"/>
        <v>46138.520138888889</v>
      </c>
      <c r="F5" s="6">
        <f t="shared" si="1"/>
        <v>46138</v>
      </c>
      <c r="G5" s="7">
        <f t="shared" si="2"/>
        <v>0.52013888888905058</v>
      </c>
      <c r="H5">
        <f t="shared" si="3"/>
        <v>4</v>
      </c>
      <c r="I5">
        <f t="shared" si="4"/>
        <v>2026</v>
      </c>
      <c r="J5">
        <f t="shared" si="5"/>
        <v>12</v>
      </c>
      <c r="K5" t="s">
        <v>134</v>
      </c>
      <c r="L5" t="s">
        <v>116</v>
      </c>
      <c r="M5" t="s">
        <v>117</v>
      </c>
      <c r="P5" t="b">
        <v>1</v>
      </c>
      <c r="R5" t="s">
        <v>135</v>
      </c>
      <c r="T5" t="s">
        <v>119</v>
      </c>
      <c r="U5" t="s">
        <v>120</v>
      </c>
    </row>
    <row r="6" spans="1:24" x14ac:dyDescent="0.35">
      <c r="A6" t="s">
        <v>136</v>
      </c>
      <c r="B6" t="s">
        <v>9</v>
      </c>
      <c r="C6" t="s">
        <v>137</v>
      </c>
      <c r="D6" t="s">
        <v>138</v>
      </c>
      <c r="E6" s="5">
        <f t="shared" si="0"/>
        <v>46124.779166666667</v>
      </c>
      <c r="F6" s="6">
        <f t="shared" si="1"/>
        <v>46124</v>
      </c>
      <c r="G6" s="7">
        <f t="shared" si="2"/>
        <v>0.77916666666715173</v>
      </c>
      <c r="H6">
        <f t="shared" si="3"/>
        <v>4</v>
      </c>
      <c r="I6">
        <f t="shared" si="4"/>
        <v>2026</v>
      </c>
      <c r="J6">
        <f t="shared" si="5"/>
        <v>18</v>
      </c>
      <c r="K6" t="s">
        <v>139</v>
      </c>
      <c r="L6" t="s">
        <v>116</v>
      </c>
      <c r="M6" t="s">
        <v>117</v>
      </c>
      <c r="P6" t="b">
        <v>1</v>
      </c>
      <c r="R6" t="s">
        <v>140</v>
      </c>
      <c r="S6">
        <v>0</v>
      </c>
      <c r="T6" t="s">
        <v>119</v>
      </c>
      <c r="U6" t="s">
        <v>120</v>
      </c>
    </row>
    <row r="7" spans="1:24" x14ac:dyDescent="0.35">
      <c r="A7" t="s">
        <v>141</v>
      </c>
      <c r="B7" t="s">
        <v>11</v>
      </c>
      <c r="C7" t="s">
        <v>142</v>
      </c>
      <c r="D7" t="s">
        <v>143</v>
      </c>
      <c r="E7" s="5">
        <f t="shared" si="0"/>
        <v>46110.481250000004</v>
      </c>
      <c r="F7" s="6">
        <f t="shared" si="1"/>
        <v>46110</v>
      </c>
      <c r="G7" s="7">
        <f t="shared" si="2"/>
        <v>0.48125000000436557</v>
      </c>
      <c r="H7">
        <f t="shared" si="3"/>
        <v>3</v>
      </c>
      <c r="I7">
        <f t="shared" si="4"/>
        <v>2026</v>
      </c>
      <c r="J7">
        <f t="shared" si="5"/>
        <v>11</v>
      </c>
      <c r="K7" t="s">
        <v>144</v>
      </c>
      <c r="L7" t="s">
        <v>116</v>
      </c>
      <c r="M7" t="s">
        <v>117</v>
      </c>
      <c r="P7" t="b">
        <v>1</v>
      </c>
      <c r="R7" t="s">
        <v>145</v>
      </c>
      <c r="S7">
        <v>0</v>
      </c>
      <c r="T7" t="s">
        <v>119</v>
      </c>
      <c r="U7" t="s">
        <v>146</v>
      </c>
    </row>
    <row r="8" spans="1:24" x14ac:dyDescent="0.35">
      <c r="A8" t="s">
        <v>147</v>
      </c>
      <c r="B8" t="s">
        <v>13</v>
      </c>
      <c r="C8" t="s">
        <v>148</v>
      </c>
      <c r="D8" t="s">
        <v>149</v>
      </c>
      <c r="E8" s="5">
        <f t="shared" si="0"/>
        <v>46147.666666666672</v>
      </c>
      <c r="F8" s="6">
        <f t="shared" si="1"/>
        <v>46147</v>
      </c>
      <c r="G8" s="7">
        <f t="shared" si="2"/>
        <v>0.66666666667151731</v>
      </c>
      <c r="H8">
        <f t="shared" si="3"/>
        <v>5</v>
      </c>
      <c r="I8">
        <f t="shared" si="4"/>
        <v>2026</v>
      </c>
      <c r="J8">
        <f t="shared" si="5"/>
        <v>16</v>
      </c>
      <c r="K8" t="s">
        <v>150</v>
      </c>
      <c r="L8" t="s">
        <v>151</v>
      </c>
      <c r="M8" t="s">
        <v>117</v>
      </c>
      <c r="P8" t="b">
        <v>1</v>
      </c>
      <c r="Q8">
        <v>0</v>
      </c>
      <c r="R8" t="s">
        <v>152</v>
      </c>
      <c r="S8">
        <v>0</v>
      </c>
      <c r="T8" t="s">
        <v>153</v>
      </c>
      <c r="U8" t="s">
        <v>120</v>
      </c>
    </row>
    <row r="9" spans="1:24" x14ac:dyDescent="0.35">
      <c r="A9" t="s">
        <v>154</v>
      </c>
      <c r="B9" t="s">
        <v>13</v>
      </c>
      <c r="C9" t="s">
        <v>155</v>
      </c>
      <c r="D9" t="s">
        <v>156</v>
      </c>
      <c r="E9" s="5">
        <f t="shared" si="0"/>
        <v>46146.411111111112</v>
      </c>
      <c r="F9" s="6">
        <f t="shared" si="1"/>
        <v>46146</v>
      </c>
      <c r="G9" s="7">
        <f t="shared" si="2"/>
        <v>0.41111111111240461</v>
      </c>
      <c r="H9">
        <f t="shared" si="3"/>
        <v>5</v>
      </c>
      <c r="I9">
        <f t="shared" si="4"/>
        <v>2026</v>
      </c>
      <c r="J9">
        <f t="shared" si="5"/>
        <v>9</v>
      </c>
      <c r="K9" t="s">
        <v>157</v>
      </c>
      <c r="L9" t="s">
        <v>151</v>
      </c>
      <c r="M9" t="s">
        <v>117</v>
      </c>
      <c r="P9" t="b">
        <v>1</v>
      </c>
      <c r="Q9">
        <v>0</v>
      </c>
      <c r="R9" t="s">
        <v>158</v>
      </c>
      <c r="S9">
        <v>0</v>
      </c>
      <c r="T9" t="s">
        <v>153</v>
      </c>
      <c r="U9" t="s">
        <v>146</v>
      </c>
    </row>
    <row r="10" spans="1:24" x14ac:dyDescent="0.35">
      <c r="A10" t="s">
        <v>159</v>
      </c>
      <c r="B10" t="s">
        <v>13</v>
      </c>
      <c r="C10" t="s">
        <v>160</v>
      </c>
      <c r="D10" t="s">
        <v>161</v>
      </c>
      <c r="E10" s="5">
        <f t="shared" si="0"/>
        <v>46124.526388888895</v>
      </c>
      <c r="F10" s="6">
        <f t="shared" si="1"/>
        <v>46124</v>
      </c>
      <c r="G10" s="7">
        <f t="shared" si="2"/>
        <v>0.52638888889487134</v>
      </c>
      <c r="H10">
        <f t="shared" si="3"/>
        <v>4</v>
      </c>
      <c r="I10">
        <f t="shared" si="4"/>
        <v>2026</v>
      </c>
      <c r="J10">
        <f t="shared" si="5"/>
        <v>12</v>
      </c>
      <c r="K10" t="s">
        <v>162</v>
      </c>
      <c r="L10" t="s">
        <v>151</v>
      </c>
      <c r="M10" t="s">
        <v>117</v>
      </c>
      <c r="Q10">
        <v>0</v>
      </c>
      <c r="R10" t="s">
        <v>163</v>
      </c>
      <c r="S10">
        <v>0</v>
      </c>
      <c r="T10" t="s">
        <v>153</v>
      </c>
      <c r="U10" t="s">
        <v>146</v>
      </c>
    </row>
    <row r="11" spans="1:24" x14ac:dyDescent="0.35">
      <c r="A11" t="s">
        <v>164</v>
      </c>
      <c r="B11" t="s">
        <v>13</v>
      </c>
      <c r="C11" t="s">
        <v>165</v>
      </c>
      <c r="D11" t="s">
        <v>166</v>
      </c>
      <c r="E11" s="5">
        <f t="shared" si="0"/>
        <v>46123.496527777781</v>
      </c>
      <c r="F11" s="6">
        <f t="shared" si="1"/>
        <v>46123</v>
      </c>
      <c r="G11" s="7">
        <f t="shared" si="2"/>
        <v>0.49652777778101154</v>
      </c>
      <c r="H11">
        <f t="shared" si="3"/>
        <v>4</v>
      </c>
      <c r="I11">
        <f t="shared" si="4"/>
        <v>2026</v>
      </c>
      <c r="J11">
        <f t="shared" si="5"/>
        <v>11</v>
      </c>
      <c r="K11" t="s">
        <v>167</v>
      </c>
      <c r="L11" t="s">
        <v>151</v>
      </c>
      <c r="M11" t="s">
        <v>117</v>
      </c>
      <c r="N11" t="s">
        <v>168</v>
      </c>
      <c r="P11" t="b">
        <v>0</v>
      </c>
      <c r="Q11">
        <v>0</v>
      </c>
      <c r="R11" t="s">
        <v>169</v>
      </c>
      <c r="S11">
        <v>0</v>
      </c>
      <c r="T11" t="s">
        <v>153</v>
      </c>
      <c r="U11" t="s">
        <v>146</v>
      </c>
    </row>
    <row r="12" spans="1:24" x14ac:dyDescent="0.35">
      <c r="A12" t="s">
        <v>170</v>
      </c>
      <c r="B12" t="s">
        <v>15</v>
      </c>
      <c r="C12" t="s">
        <v>171</v>
      </c>
      <c r="D12" t="s">
        <v>172</v>
      </c>
      <c r="E12" s="5">
        <f t="shared" si="0"/>
        <v>46124.722916666666</v>
      </c>
      <c r="F12" s="6">
        <f t="shared" si="1"/>
        <v>46124</v>
      </c>
      <c r="G12" s="7">
        <f t="shared" si="2"/>
        <v>0.72291666666569654</v>
      </c>
      <c r="H12">
        <f t="shared" si="3"/>
        <v>4</v>
      </c>
      <c r="I12">
        <f t="shared" si="4"/>
        <v>2026</v>
      </c>
      <c r="J12">
        <f t="shared" si="5"/>
        <v>17</v>
      </c>
      <c r="K12" t="s">
        <v>173</v>
      </c>
      <c r="L12" t="s">
        <v>116</v>
      </c>
      <c r="M12" t="s">
        <v>174</v>
      </c>
      <c r="N12" t="s">
        <v>117</v>
      </c>
      <c r="R12" t="s">
        <v>175</v>
      </c>
      <c r="T12" t="s">
        <v>119</v>
      </c>
      <c r="U12" t="s">
        <v>146</v>
      </c>
    </row>
    <row r="13" spans="1:24" x14ac:dyDescent="0.35">
      <c r="A13" t="s">
        <v>176</v>
      </c>
      <c r="B13" t="s">
        <v>15</v>
      </c>
      <c r="C13" t="s">
        <v>177</v>
      </c>
      <c r="D13" t="s">
        <v>178</v>
      </c>
      <c r="E13" s="5">
        <f t="shared" si="0"/>
        <v>46119.416122685187</v>
      </c>
      <c r="F13" s="6">
        <f t="shared" si="1"/>
        <v>46119</v>
      </c>
      <c r="G13" s="7">
        <f t="shared" si="2"/>
        <v>0.41612268518656492</v>
      </c>
      <c r="H13">
        <f t="shared" si="3"/>
        <v>4</v>
      </c>
      <c r="I13">
        <f t="shared" si="4"/>
        <v>2026</v>
      </c>
      <c r="J13">
        <f t="shared" si="5"/>
        <v>9</v>
      </c>
      <c r="K13" t="s">
        <v>179</v>
      </c>
      <c r="L13" t="s">
        <v>116</v>
      </c>
      <c r="M13" t="s">
        <v>117</v>
      </c>
      <c r="R13" t="s">
        <v>180</v>
      </c>
      <c r="T13" t="s">
        <v>119</v>
      </c>
      <c r="U13" t="s">
        <v>146</v>
      </c>
    </row>
    <row r="14" spans="1:24" x14ac:dyDescent="0.35">
      <c r="A14" t="s">
        <v>181</v>
      </c>
      <c r="B14" t="s">
        <v>17</v>
      </c>
      <c r="C14" t="s">
        <v>182</v>
      </c>
      <c r="D14" t="s">
        <v>183</v>
      </c>
      <c r="E14" s="5">
        <f t="shared" si="0"/>
        <v>46265.582592592596</v>
      </c>
      <c r="F14" s="6">
        <f t="shared" si="1"/>
        <v>46265</v>
      </c>
      <c r="G14" s="7">
        <f t="shared" si="2"/>
        <v>0.58259259259648388</v>
      </c>
      <c r="H14">
        <f t="shared" si="3"/>
        <v>8</v>
      </c>
      <c r="I14">
        <f t="shared" si="4"/>
        <v>2026</v>
      </c>
      <c r="J14">
        <f t="shared" si="5"/>
        <v>13</v>
      </c>
      <c r="K14" t="s">
        <v>184</v>
      </c>
      <c r="L14" t="s">
        <v>116</v>
      </c>
      <c r="M14" t="s">
        <v>117</v>
      </c>
      <c r="P14" t="b">
        <v>1</v>
      </c>
      <c r="R14" t="s">
        <v>185</v>
      </c>
      <c r="T14" t="s">
        <v>119</v>
      </c>
      <c r="U14" t="s">
        <v>146</v>
      </c>
    </row>
    <row r="15" spans="1:24" x14ac:dyDescent="0.35">
      <c r="A15" t="s">
        <v>186</v>
      </c>
      <c r="B15" t="s">
        <v>17</v>
      </c>
      <c r="C15" t="s">
        <v>187</v>
      </c>
      <c r="D15" t="s">
        <v>188</v>
      </c>
      <c r="E15" s="5">
        <f t="shared" si="0"/>
        <v>46220.665763888894</v>
      </c>
      <c r="F15" s="6">
        <f t="shared" si="1"/>
        <v>46220</v>
      </c>
      <c r="G15" s="7">
        <f t="shared" si="2"/>
        <v>0.66576388889370719</v>
      </c>
      <c r="H15">
        <f t="shared" si="3"/>
        <v>7</v>
      </c>
      <c r="I15">
        <f t="shared" si="4"/>
        <v>2026</v>
      </c>
      <c r="J15">
        <f t="shared" si="5"/>
        <v>15</v>
      </c>
      <c r="K15" t="s">
        <v>189</v>
      </c>
      <c r="L15" t="s">
        <v>116</v>
      </c>
      <c r="M15" t="s">
        <v>117</v>
      </c>
      <c r="P15" t="b">
        <v>1</v>
      </c>
      <c r="R15" t="s">
        <v>190</v>
      </c>
      <c r="T15" t="s">
        <v>119</v>
      </c>
      <c r="U15" t="s">
        <v>146</v>
      </c>
    </row>
    <row r="16" spans="1:24" x14ac:dyDescent="0.35">
      <c r="A16" t="s">
        <v>191</v>
      </c>
      <c r="B16" t="s">
        <v>17</v>
      </c>
      <c r="C16" t="s">
        <v>192</v>
      </c>
      <c r="D16" t="s">
        <v>193</v>
      </c>
      <c r="E16" s="5">
        <f t="shared" si="0"/>
        <v>46188.396886574075</v>
      </c>
      <c r="F16" s="6">
        <f t="shared" si="1"/>
        <v>46188</v>
      </c>
      <c r="G16" s="7">
        <f t="shared" si="2"/>
        <v>0.39688657407532446</v>
      </c>
      <c r="H16">
        <f t="shared" si="3"/>
        <v>6</v>
      </c>
      <c r="I16">
        <f t="shared" si="4"/>
        <v>2026</v>
      </c>
      <c r="J16">
        <f t="shared" si="5"/>
        <v>9</v>
      </c>
      <c r="K16" t="s">
        <v>194</v>
      </c>
      <c r="L16" t="s">
        <v>116</v>
      </c>
      <c r="M16" t="s">
        <v>117</v>
      </c>
      <c r="P16" t="b">
        <v>1</v>
      </c>
      <c r="R16" t="s">
        <v>195</v>
      </c>
      <c r="T16" t="s">
        <v>119</v>
      </c>
      <c r="U16" t="s">
        <v>146</v>
      </c>
    </row>
    <row r="17" spans="1:21" x14ac:dyDescent="0.35">
      <c r="A17" t="s">
        <v>196</v>
      </c>
      <c r="B17" t="s">
        <v>17</v>
      </c>
      <c r="C17" t="s">
        <v>197</v>
      </c>
      <c r="D17" t="s">
        <v>198</v>
      </c>
      <c r="E17" s="5">
        <f t="shared" si="0"/>
        <v>46138.752048611117</v>
      </c>
      <c r="F17" s="6">
        <f t="shared" si="1"/>
        <v>46138</v>
      </c>
      <c r="G17" s="7">
        <f t="shared" si="2"/>
        <v>0.75204861111706123</v>
      </c>
      <c r="H17">
        <f t="shared" si="3"/>
        <v>4</v>
      </c>
      <c r="I17">
        <f t="shared" si="4"/>
        <v>2026</v>
      </c>
      <c r="J17">
        <f t="shared" si="5"/>
        <v>18</v>
      </c>
      <c r="K17" t="s">
        <v>199</v>
      </c>
      <c r="L17" t="s">
        <v>116</v>
      </c>
      <c r="M17" t="s">
        <v>117</v>
      </c>
      <c r="R17" t="s">
        <v>200</v>
      </c>
      <c r="T17" t="s">
        <v>119</v>
      </c>
      <c r="U17" t="s">
        <v>146</v>
      </c>
    </row>
    <row r="18" spans="1:21" x14ac:dyDescent="0.35">
      <c r="A18" t="s">
        <v>201</v>
      </c>
      <c r="B18" t="s">
        <v>17</v>
      </c>
      <c r="C18" t="s">
        <v>202</v>
      </c>
      <c r="D18" t="s">
        <v>203</v>
      </c>
      <c r="E18" s="5">
        <f t="shared" si="0"/>
        <v>46124.500983796301</v>
      </c>
      <c r="F18" s="6">
        <f t="shared" si="1"/>
        <v>46124</v>
      </c>
      <c r="G18" s="7">
        <f t="shared" si="2"/>
        <v>0.50098379630071577</v>
      </c>
      <c r="H18">
        <f t="shared" si="3"/>
        <v>4</v>
      </c>
      <c r="I18">
        <f t="shared" si="4"/>
        <v>2026</v>
      </c>
      <c r="J18">
        <f t="shared" si="5"/>
        <v>12</v>
      </c>
      <c r="K18" t="s">
        <v>204</v>
      </c>
      <c r="L18" t="s">
        <v>116</v>
      </c>
      <c r="M18" t="s">
        <v>117</v>
      </c>
      <c r="R18" t="s">
        <v>205</v>
      </c>
      <c r="T18" t="s">
        <v>119</v>
      </c>
      <c r="U18" t="s">
        <v>146</v>
      </c>
    </row>
    <row r="19" spans="1:21" x14ac:dyDescent="0.35">
      <c r="A19" t="s">
        <v>206</v>
      </c>
      <c r="B19" t="s">
        <v>19</v>
      </c>
      <c r="C19" t="s">
        <v>207</v>
      </c>
      <c r="D19" t="s">
        <v>208</v>
      </c>
      <c r="E19" s="5">
        <f t="shared" si="0"/>
        <v>46101.5</v>
      </c>
      <c r="F19" s="6">
        <f t="shared" si="1"/>
        <v>46101</v>
      </c>
      <c r="G19" s="7">
        <f t="shared" si="2"/>
        <v>0.5</v>
      </c>
      <c r="H19">
        <f t="shared" si="3"/>
        <v>3</v>
      </c>
      <c r="I19">
        <f t="shared" si="4"/>
        <v>2026</v>
      </c>
      <c r="J19">
        <f t="shared" si="5"/>
        <v>12</v>
      </c>
      <c r="K19" t="s">
        <v>209</v>
      </c>
      <c r="L19" t="s">
        <v>116</v>
      </c>
      <c r="M19" t="s">
        <v>117</v>
      </c>
      <c r="Q19">
        <v>0</v>
      </c>
      <c r="R19" t="s">
        <v>210</v>
      </c>
      <c r="S19">
        <v>0</v>
      </c>
      <c r="T19" t="s">
        <v>153</v>
      </c>
      <c r="U19" t="s">
        <v>146</v>
      </c>
    </row>
    <row r="20" spans="1:21" x14ac:dyDescent="0.35">
      <c r="A20" t="s">
        <v>211</v>
      </c>
      <c r="B20" t="s">
        <v>21</v>
      </c>
      <c r="C20" t="s">
        <v>212</v>
      </c>
      <c r="D20" t="s">
        <v>213</v>
      </c>
      <c r="E20" s="5">
        <f t="shared" si="0"/>
        <v>46261.613125000003</v>
      </c>
      <c r="F20" s="6">
        <f t="shared" si="1"/>
        <v>46261</v>
      </c>
      <c r="G20" s="7">
        <f t="shared" si="2"/>
        <v>0.61312500000349246</v>
      </c>
      <c r="H20">
        <f t="shared" si="3"/>
        <v>8</v>
      </c>
      <c r="I20">
        <f t="shared" si="4"/>
        <v>2026</v>
      </c>
      <c r="J20">
        <f t="shared" si="5"/>
        <v>14</v>
      </c>
      <c r="K20" t="s">
        <v>214</v>
      </c>
      <c r="L20" t="s">
        <v>116</v>
      </c>
      <c r="M20" t="s">
        <v>117</v>
      </c>
      <c r="R20" t="s">
        <v>215</v>
      </c>
      <c r="T20" t="s">
        <v>119</v>
      </c>
      <c r="U20" t="s">
        <v>146</v>
      </c>
    </row>
    <row r="21" spans="1:21" x14ac:dyDescent="0.35">
      <c r="A21" t="s">
        <v>216</v>
      </c>
      <c r="B21" t="s">
        <v>21</v>
      </c>
      <c r="C21" t="s">
        <v>217</v>
      </c>
      <c r="D21" t="s">
        <v>218</v>
      </c>
      <c r="E21" s="5">
        <f t="shared" si="0"/>
        <v>46248.581319444449</v>
      </c>
      <c r="F21" s="6">
        <f t="shared" si="1"/>
        <v>46248</v>
      </c>
      <c r="G21" s="7">
        <f t="shared" si="2"/>
        <v>0.58131944444903638</v>
      </c>
      <c r="H21">
        <f t="shared" si="3"/>
        <v>8</v>
      </c>
      <c r="I21">
        <f t="shared" si="4"/>
        <v>2026</v>
      </c>
      <c r="J21">
        <f t="shared" si="5"/>
        <v>13</v>
      </c>
      <c r="K21" t="s">
        <v>219</v>
      </c>
      <c r="L21" t="s">
        <v>116</v>
      </c>
      <c r="M21" t="s">
        <v>117</v>
      </c>
      <c r="R21" t="s">
        <v>220</v>
      </c>
      <c r="T21" t="s">
        <v>119</v>
      </c>
      <c r="U21" t="s">
        <v>146</v>
      </c>
    </row>
    <row r="22" spans="1:21" x14ac:dyDescent="0.35">
      <c r="A22" t="s">
        <v>221</v>
      </c>
      <c r="B22" t="s">
        <v>21</v>
      </c>
      <c r="C22" t="s">
        <v>222</v>
      </c>
      <c r="D22" t="s">
        <v>223</v>
      </c>
      <c r="E22" s="5">
        <f t="shared" si="0"/>
        <v>46230.628958333335</v>
      </c>
      <c r="F22" s="6">
        <f t="shared" si="1"/>
        <v>46230</v>
      </c>
      <c r="G22" s="7">
        <f t="shared" si="2"/>
        <v>0.6289583333345945</v>
      </c>
      <c r="H22">
        <f t="shared" si="3"/>
        <v>7</v>
      </c>
      <c r="I22">
        <f t="shared" si="4"/>
        <v>2026</v>
      </c>
      <c r="J22">
        <f t="shared" si="5"/>
        <v>15</v>
      </c>
      <c r="K22" t="s">
        <v>224</v>
      </c>
      <c r="L22" t="s">
        <v>116</v>
      </c>
      <c r="M22" t="s">
        <v>117</v>
      </c>
      <c r="P22" t="b">
        <v>1</v>
      </c>
      <c r="R22" t="s">
        <v>225</v>
      </c>
      <c r="T22" t="s">
        <v>119</v>
      </c>
      <c r="U22" t="s">
        <v>146</v>
      </c>
    </row>
    <row r="23" spans="1:21" x14ac:dyDescent="0.35">
      <c r="A23" t="s">
        <v>226</v>
      </c>
      <c r="B23" t="s">
        <v>21</v>
      </c>
      <c r="C23" t="s">
        <v>227</v>
      </c>
      <c r="D23" t="s">
        <v>228</v>
      </c>
      <c r="E23" s="5">
        <f t="shared" si="0"/>
        <v>46185.713506944448</v>
      </c>
      <c r="F23" s="6">
        <f t="shared" si="1"/>
        <v>46185</v>
      </c>
      <c r="G23" s="7">
        <f t="shared" si="2"/>
        <v>0.71350694444845431</v>
      </c>
      <c r="H23">
        <f t="shared" si="3"/>
        <v>6</v>
      </c>
      <c r="I23">
        <f t="shared" si="4"/>
        <v>2026</v>
      </c>
      <c r="J23">
        <f t="shared" si="5"/>
        <v>17</v>
      </c>
      <c r="K23" t="s">
        <v>229</v>
      </c>
      <c r="L23" t="s">
        <v>116</v>
      </c>
      <c r="M23" t="s">
        <v>117</v>
      </c>
      <c r="R23" t="s">
        <v>230</v>
      </c>
      <c r="T23" t="s">
        <v>119</v>
      </c>
      <c r="U23" t="s">
        <v>146</v>
      </c>
    </row>
    <row r="24" spans="1:21" x14ac:dyDescent="0.35">
      <c r="A24" t="s">
        <v>231</v>
      </c>
      <c r="B24" t="s">
        <v>21</v>
      </c>
      <c r="C24" t="s">
        <v>232</v>
      </c>
      <c r="D24" t="s">
        <v>233</v>
      </c>
      <c r="E24" s="5">
        <f t="shared" si="0"/>
        <v>46177.627268518518</v>
      </c>
      <c r="F24" s="6">
        <f t="shared" si="1"/>
        <v>46177</v>
      </c>
      <c r="G24" s="7">
        <f t="shared" si="2"/>
        <v>0.62726851851766696</v>
      </c>
      <c r="H24">
        <f t="shared" si="3"/>
        <v>6</v>
      </c>
      <c r="I24">
        <f t="shared" si="4"/>
        <v>2026</v>
      </c>
      <c r="J24">
        <f t="shared" si="5"/>
        <v>15</v>
      </c>
      <c r="K24" t="s">
        <v>234</v>
      </c>
      <c r="L24" t="s">
        <v>116</v>
      </c>
      <c r="M24" t="s">
        <v>117</v>
      </c>
      <c r="R24" t="s">
        <v>235</v>
      </c>
      <c r="T24" t="s">
        <v>119</v>
      </c>
      <c r="U24" t="s">
        <v>146</v>
      </c>
    </row>
    <row r="25" spans="1:21" x14ac:dyDescent="0.35">
      <c r="A25" t="s">
        <v>236</v>
      </c>
      <c r="B25" t="s">
        <v>21</v>
      </c>
      <c r="C25" t="s">
        <v>237</v>
      </c>
      <c r="D25" t="s">
        <v>238</v>
      </c>
      <c r="E25" s="5">
        <f t="shared" si="0"/>
        <v>46174.515150462968</v>
      </c>
      <c r="F25" s="6">
        <f t="shared" si="1"/>
        <v>46174</v>
      </c>
      <c r="G25" s="7">
        <f t="shared" si="2"/>
        <v>0.51515046296844957</v>
      </c>
      <c r="H25">
        <f t="shared" si="3"/>
        <v>6</v>
      </c>
      <c r="I25">
        <f t="shared" si="4"/>
        <v>2026</v>
      </c>
      <c r="J25">
        <f t="shared" si="5"/>
        <v>12</v>
      </c>
      <c r="K25" t="s">
        <v>239</v>
      </c>
      <c r="L25" t="s">
        <v>116</v>
      </c>
      <c r="M25" t="s">
        <v>117</v>
      </c>
      <c r="P25" t="b">
        <v>1</v>
      </c>
      <c r="R25" t="s">
        <v>240</v>
      </c>
      <c r="T25" t="s">
        <v>119</v>
      </c>
      <c r="U25" t="s">
        <v>146</v>
      </c>
    </row>
    <row r="26" spans="1:21" x14ac:dyDescent="0.35">
      <c r="A26" t="s">
        <v>241</v>
      </c>
      <c r="B26" t="s">
        <v>21</v>
      </c>
      <c r="C26" t="s">
        <v>242</v>
      </c>
      <c r="D26" t="s">
        <v>243</v>
      </c>
      <c r="E26" s="5">
        <f t="shared" si="0"/>
        <v>46161.747175925928</v>
      </c>
      <c r="F26" s="6">
        <f t="shared" si="1"/>
        <v>46161</v>
      </c>
      <c r="G26" s="7">
        <f t="shared" si="2"/>
        <v>0.74717592592787696</v>
      </c>
      <c r="H26">
        <f t="shared" si="3"/>
        <v>5</v>
      </c>
      <c r="I26">
        <f t="shared" si="4"/>
        <v>2026</v>
      </c>
      <c r="J26">
        <f t="shared" si="5"/>
        <v>17</v>
      </c>
      <c r="K26" t="s">
        <v>244</v>
      </c>
      <c r="L26" t="s">
        <v>116</v>
      </c>
      <c r="M26" t="s">
        <v>117</v>
      </c>
      <c r="R26" t="s">
        <v>245</v>
      </c>
      <c r="T26" t="s">
        <v>119</v>
      </c>
      <c r="U26" t="s">
        <v>146</v>
      </c>
    </row>
    <row r="27" spans="1:21" x14ac:dyDescent="0.35">
      <c r="A27" t="s">
        <v>246</v>
      </c>
      <c r="B27" t="s">
        <v>21</v>
      </c>
      <c r="C27" t="s">
        <v>247</v>
      </c>
      <c r="D27" t="s">
        <v>248</v>
      </c>
      <c r="E27" s="5">
        <f t="shared" si="0"/>
        <v>46160.593912037039</v>
      </c>
      <c r="F27" s="6">
        <f t="shared" si="1"/>
        <v>46160</v>
      </c>
      <c r="G27" s="7">
        <f t="shared" si="2"/>
        <v>0.59391203703853535</v>
      </c>
      <c r="H27">
        <f t="shared" si="3"/>
        <v>5</v>
      </c>
      <c r="I27">
        <f t="shared" si="4"/>
        <v>2026</v>
      </c>
      <c r="J27">
        <f t="shared" si="5"/>
        <v>14</v>
      </c>
      <c r="K27" t="s">
        <v>249</v>
      </c>
      <c r="L27" t="s">
        <v>116</v>
      </c>
      <c r="M27" t="s">
        <v>117</v>
      </c>
      <c r="P27" t="b">
        <v>1</v>
      </c>
      <c r="R27" t="s">
        <v>250</v>
      </c>
      <c r="S27">
        <v>0</v>
      </c>
      <c r="T27" t="s">
        <v>119</v>
      </c>
      <c r="U27" t="s">
        <v>146</v>
      </c>
    </row>
    <row r="28" spans="1:21" x14ac:dyDescent="0.35">
      <c r="A28" t="s">
        <v>251</v>
      </c>
      <c r="B28" t="s">
        <v>21</v>
      </c>
      <c r="C28" t="s">
        <v>252</v>
      </c>
      <c r="D28" t="s">
        <v>253</v>
      </c>
      <c r="E28" s="5">
        <f t="shared" si="0"/>
        <v>46154.654606481483</v>
      </c>
      <c r="F28" s="6">
        <f t="shared" si="1"/>
        <v>46154</v>
      </c>
      <c r="G28" s="7">
        <f t="shared" si="2"/>
        <v>0.65460648148291511</v>
      </c>
      <c r="H28">
        <f t="shared" si="3"/>
        <v>5</v>
      </c>
      <c r="I28">
        <f t="shared" si="4"/>
        <v>2026</v>
      </c>
      <c r="J28">
        <f t="shared" si="5"/>
        <v>15</v>
      </c>
      <c r="K28" t="s">
        <v>254</v>
      </c>
      <c r="L28" t="s">
        <v>116</v>
      </c>
      <c r="M28" t="s">
        <v>117</v>
      </c>
      <c r="R28" t="s">
        <v>255</v>
      </c>
      <c r="T28" t="s">
        <v>119</v>
      </c>
      <c r="U28" t="s">
        <v>146</v>
      </c>
    </row>
    <row r="29" spans="1:21" x14ac:dyDescent="0.35">
      <c r="A29" t="s">
        <v>256</v>
      </c>
      <c r="B29" t="s">
        <v>21</v>
      </c>
      <c r="C29" t="s">
        <v>257</v>
      </c>
      <c r="D29" t="s">
        <v>258</v>
      </c>
      <c r="E29" s="5">
        <f t="shared" si="0"/>
        <v>46139.532141203708</v>
      </c>
      <c r="F29" s="6">
        <f t="shared" si="1"/>
        <v>46139</v>
      </c>
      <c r="G29" s="7">
        <f t="shared" si="2"/>
        <v>0.53214120370830642</v>
      </c>
      <c r="H29">
        <f t="shared" si="3"/>
        <v>4</v>
      </c>
      <c r="I29">
        <f t="shared" si="4"/>
        <v>2026</v>
      </c>
      <c r="J29">
        <f t="shared" si="5"/>
        <v>12</v>
      </c>
      <c r="K29" t="s">
        <v>259</v>
      </c>
      <c r="L29" t="s">
        <v>116</v>
      </c>
      <c r="M29" t="s">
        <v>117</v>
      </c>
      <c r="R29" t="s">
        <v>260</v>
      </c>
      <c r="T29" t="s">
        <v>119</v>
      </c>
      <c r="U29" t="s">
        <v>146</v>
      </c>
    </row>
    <row r="30" spans="1:21" x14ac:dyDescent="0.35">
      <c r="A30" t="s">
        <v>261</v>
      </c>
      <c r="B30" t="s">
        <v>21</v>
      </c>
      <c r="C30" t="s">
        <v>262</v>
      </c>
      <c r="D30" t="s">
        <v>263</v>
      </c>
      <c r="E30" s="5">
        <f t="shared" si="0"/>
        <v>46124.580439814818</v>
      </c>
      <c r="F30" s="6">
        <f t="shared" si="1"/>
        <v>46124</v>
      </c>
      <c r="G30" s="7">
        <f t="shared" si="2"/>
        <v>0.58043981481750961</v>
      </c>
      <c r="H30">
        <f t="shared" si="3"/>
        <v>4</v>
      </c>
      <c r="I30">
        <f t="shared" si="4"/>
        <v>2026</v>
      </c>
      <c r="J30">
        <f t="shared" si="5"/>
        <v>13</v>
      </c>
      <c r="K30" t="s">
        <v>264</v>
      </c>
      <c r="L30" t="s">
        <v>116</v>
      </c>
      <c r="M30" t="s">
        <v>117</v>
      </c>
      <c r="R30" t="s">
        <v>265</v>
      </c>
      <c r="T30" t="s">
        <v>119</v>
      </c>
      <c r="U30" t="s">
        <v>146</v>
      </c>
    </row>
    <row r="31" spans="1:21" x14ac:dyDescent="0.35">
      <c r="A31" t="s">
        <v>266</v>
      </c>
      <c r="B31" t="s">
        <v>21</v>
      </c>
      <c r="C31" t="s">
        <v>267</v>
      </c>
      <c r="D31" t="s">
        <v>268</v>
      </c>
      <c r="E31" s="5">
        <f t="shared" si="0"/>
        <v>46110.418344907412</v>
      </c>
      <c r="F31" s="6">
        <f t="shared" si="1"/>
        <v>46110</v>
      </c>
      <c r="G31" s="7">
        <f t="shared" si="2"/>
        <v>0.41834490741166519</v>
      </c>
      <c r="H31">
        <f t="shared" si="3"/>
        <v>3</v>
      </c>
      <c r="I31">
        <f t="shared" si="4"/>
        <v>2026</v>
      </c>
      <c r="J31">
        <f t="shared" si="5"/>
        <v>10</v>
      </c>
      <c r="K31" t="s">
        <v>269</v>
      </c>
      <c r="L31" t="s">
        <v>116</v>
      </c>
      <c r="M31" t="s">
        <v>117</v>
      </c>
      <c r="R31" t="s">
        <v>270</v>
      </c>
      <c r="T31" t="s">
        <v>119</v>
      </c>
      <c r="U31" t="s">
        <v>146</v>
      </c>
    </row>
    <row r="32" spans="1:21" x14ac:dyDescent="0.35">
      <c r="A32" t="s">
        <v>271</v>
      </c>
      <c r="B32" t="s">
        <v>23</v>
      </c>
      <c r="C32" t="s">
        <v>272</v>
      </c>
      <c r="D32" t="s">
        <v>273</v>
      </c>
      <c r="E32" s="5">
        <f t="shared" si="0"/>
        <v>46194.564409722225</v>
      </c>
      <c r="F32" s="6">
        <f t="shared" si="1"/>
        <v>46194</v>
      </c>
      <c r="G32" s="7">
        <f t="shared" si="2"/>
        <v>0.56440972222480923</v>
      </c>
      <c r="H32">
        <f t="shared" si="3"/>
        <v>6</v>
      </c>
      <c r="I32">
        <f t="shared" si="4"/>
        <v>2026</v>
      </c>
      <c r="J32">
        <f t="shared" si="5"/>
        <v>13</v>
      </c>
      <c r="K32" t="s">
        <v>274</v>
      </c>
      <c r="L32" t="s">
        <v>116</v>
      </c>
      <c r="M32" t="s">
        <v>117</v>
      </c>
      <c r="R32" t="s">
        <v>275</v>
      </c>
      <c r="T32" t="s">
        <v>119</v>
      </c>
      <c r="U32" t="s">
        <v>146</v>
      </c>
    </row>
    <row r="33" spans="1:21" x14ac:dyDescent="0.35">
      <c r="A33" t="s">
        <v>276</v>
      </c>
      <c r="B33" t="s">
        <v>23</v>
      </c>
      <c r="C33" t="s">
        <v>277</v>
      </c>
      <c r="D33" t="s">
        <v>278</v>
      </c>
      <c r="E33" s="5">
        <f t="shared" si="0"/>
        <v>46188.619583333333</v>
      </c>
      <c r="F33" s="6">
        <f t="shared" si="1"/>
        <v>46188</v>
      </c>
      <c r="G33" s="7">
        <f t="shared" si="2"/>
        <v>0.61958333333313931</v>
      </c>
      <c r="H33">
        <f t="shared" si="3"/>
        <v>6</v>
      </c>
      <c r="I33">
        <f t="shared" si="4"/>
        <v>2026</v>
      </c>
      <c r="J33">
        <f t="shared" si="5"/>
        <v>14</v>
      </c>
      <c r="K33" t="s">
        <v>279</v>
      </c>
      <c r="L33" t="s">
        <v>116</v>
      </c>
      <c r="M33" t="s">
        <v>117</v>
      </c>
      <c r="T33" t="s">
        <v>119</v>
      </c>
      <c r="U33" t="s">
        <v>146</v>
      </c>
    </row>
    <row r="34" spans="1:21" x14ac:dyDescent="0.35">
      <c r="A34" t="s">
        <v>280</v>
      </c>
      <c r="B34" t="s">
        <v>23</v>
      </c>
      <c r="C34" t="s">
        <v>281</v>
      </c>
      <c r="D34" t="s">
        <v>282</v>
      </c>
      <c r="E34" s="5">
        <f t="shared" si="0"/>
        <v>46169.417858796296</v>
      </c>
      <c r="F34" s="6">
        <f t="shared" si="1"/>
        <v>46169</v>
      </c>
      <c r="G34" s="7">
        <f t="shared" si="2"/>
        <v>0.41785879629605915</v>
      </c>
      <c r="H34">
        <f t="shared" si="3"/>
        <v>5</v>
      </c>
      <c r="I34">
        <f t="shared" si="4"/>
        <v>2026</v>
      </c>
      <c r="J34">
        <f t="shared" si="5"/>
        <v>10</v>
      </c>
      <c r="K34" t="s">
        <v>283</v>
      </c>
      <c r="L34" t="s">
        <v>116</v>
      </c>
      <c r="M34" t="s">
        <v>117</v>
      </c>
      <c r="P34" t="b">
        <v>0</v>
      </c>
      <c r="R34" t="s">
        <v>284</v>
      </c>
      <c r="S34">
        <v>0</v>
      </c>
      <c r="T34" t="s">
        <v>119</v>
      </c>
      <c r="U34" t="s">
        <v>146</v>
      </c>
    </row>
    <row r="35" spans="1:21" x14ac:dyDescent="0.35">
      <c r="A35" t="s">
        <v>285</v>
      </c>
      <c r="B35" t="s">
        <v>23</v>
      </c>
      <c r="C35" t="s">
        <v>286</v>
      </c>
      <c r="D35" t="s">
        <v>287</v>
      </c>
      <c r="E35" s="5">
        <f t="shared" si="0"/>
        <v>46147.54219907408</v>
      </c>
      <c r="F35" s="6">
        <f t="shared" si="1"/>
        <v>46147</v>
      </c>
      <c r="G35" s="7">
        <f t="shared" si="2"/>
        <v>0.54219907407969004</v>
      </c>
      <c r="H35">
        <f t="shared" si="3"/>
        <v>5</v>
      </c>
      <c r="I35">
        <f t="shared" si="4"/>
        <v>2026</v>
      </c>
      <c r="J35">
        <f t="shared" si="5"/>
        <v>13</v>
      </c>
      <c r="K35" t="s">
        <v>288</v>
      </c>
      <c r="L35" t="s">
        <v>116</v>
      </c>
      <c r="M35" t="s">
        <v>117</v>
      </c>
      <c r="R35" t="s">
        <v>289</v>
      </c>
      <c r="T35" t="s">
        <v>119</v>
      </c>
      <c r="U35" t="s">
        <v>146</v>
      </c>
    </row>
    <row r="36" spans="1:21" x14ac:dyDescent="0.35">
      <c r="A36" t="s">
        <v>290</v>
      </c>
      <c r="B36" t="s">
        <v>23</v>
      </c>
      <c r="C36" t="s">
        <v>291</v>
      </c>
      <c r="D36" t="s">
        <v>292</v>
      </c>
      <c r="E36" s="5">
        <f t="shared" si="0"/>
        <v>46125.449745370373</v>
      </c>
      <c r="F36" s="6">
        <f t="shared" si="1"/>
        <v>46125</v>
      </c>
      <c r="G36" s="7">
        <f t="shared" si="2"/>
        <v>0.44974537037342088</v>
      </c>
      <c r="H36">
        <f t="shared" si="3"/>
        <v>4</v>
      </c>
      <c r="I36">
        <f t="shared" si="4"/>
        <v>2026</v>
      </c>
      <c r="J36">
        <f t="shared" si="5"/>
        <v>10</v>
      </c>
      <c r="K36" t="s">
        <v>293</v>
      </c>
      <c r="L36" t="s">
        <v>116</v>
      </c>
      <c r="M36" t="s">
        <v>294</v>
      </c>
      <c r="N36" t="s">
        <v>117</v>
      </c>
      <c r="O36" t="s">
        <v>295</v>
      </c>
      <c r="R36" t="s">
        <v>296</v>
      </c>
      <c r="T36" t="s">
        <v>119</v>
      </c>
      <c r="U36" t="s">
        <v>146</v>
      </c>
    </row>
    <row r="37" spans="1:21" x14ac:dyDescent="0.35">
      <c r="A37" t="s">
        <v>297</v>
      </c>
      <c r="B37" t="s">
        <v>23</v>
      </c>
      <c r="C37" t="s">
        <v>298</v>
      </c>
      <c r="D37" t="s">
        <v>299</v>
      </c>
      <c r="E37" s="5">
        <f t="shared" si="0"/>
        <v>46123.594027777777</v>
      </c>
      <c r="F37" s="6">
        <f t="shared" si="1"/>
        <v>46123</v>
      </c>
      <c r="G37" s="7">
        <f t="shared" si="2"/>
        <v>0.59402777777722804</v>
      </c>
      <c r="H37">
        <f t="shared" si="3"/>
        <v>4</v>
      </c>
      <c r="I37">
        <f t="shared" si="4"/>
        <v>2026</v>
      </c>
      <c r="J37">
        <f t="shared" si="5"/>
        <v>14</v>
      </c>
      <c r="K37" t="s">
        <v>300</v>
      </c>
      <c r="L37" t="s">
        <v>116</v>
      </c>
      <c r="M37" t="s">
        <v>117</v>
      </c>
      <c r="R37" t="s">
        <v>301</v>
      </c>
      <c r="T37" t="s">
        <v>119</v>
      </c>
      <c r="U37" t="s">
        <v>146</v>
      </c>
    </row>
    <row r="38" spans="1:21" x14ac:dyDescent="0.35">
      <c r="A38" t="s">
        <v>302</v>
      </c>
      <c r="B38" t="s">
        <v>23</v>
      </c>
      <c r="C38" t="s">
        <v>303</v>
      </c>
      <c r="D38" t="s">
        <v>304</v>
      </c>
      <c r="E38" s="5">
        <f t="shared" si="0"/>
        <v>46038.665844907402</v>
      </c>
      <c r="F38" s="6">
        <f t="shared" si="1"/>
        <v>46038</v>
      </c>
      <c r="G38" s="7">
        <f t="shared" si="2"/>
        <v>0.66584490740206093</v>
      </c>
      <c r="H38">
        <f t="shared" si="3"/>
        <v>1</v>
      </c>
      <c r="I38">
        <f t="shared" si="4"/>
        <v>2026</v>
      </c>
      <c r="J38">
        <f t="shared" si="5"/>
        <v>15</v>
      </c>
      <c r="K38" t="s">
        <v>305</v>
      </c>
      <c r="L38" t="s">
        <v>116</v>
      </c>
      <c r="M38" t="s">
        <v>117</v>
      </c>
      <c r="T38" t="s">
        <v>119</v>
      </c>
      <c r="U38" t="s">
        <v>120</v>
      </c>
    </row>
    <row r="39" spans="1:21" x14ac:dyDescent="0.35">
      <c r="A39" t="s">
        <v>306</v>
      </c>
      <c r="B39" t="s">
        <v>25</v>
      </c>
      <c r="C39" t="s">
        <v>307</v>
      </c>
      <c r="D39" t="s">
        <v>308</v>
      </c>
      <c r="E39" s="5">
        <f t="shared" si="0"/>
        <v>46190.870833333334</v>
      </c>
      <c r="F39" s="6">
        <f t="shared" si="1"/>
        <v>46190</v>
      </c>
      <c r="G39" s="7">
        <f t="shared" si="2"/>
        <v>0.87083333333430346</v>
      </c>
      <c r="H39">
        <f t="shared" si="3"/>
        <v>6</v>
      </c>
      <c r="I39">
        <f t="shared" si="4"/>
        <v>2026</v>
      </c>
      <c r="J39">
        <f t="shared" si="5"/>
        <v>20</v>
      </c>
      <c r="K39" t="s">
        <v>309</v>
      </c>
      <c r="L39" t="s">
        <v>116</v>
      </c>
      <c r="M39" t="s">
        <v>117</v>
      </c>
      <c r="P39" t="b">
        <v>0</v>
      </c>
      <c r="R39" t="s">
        <v>310</v>
      </c>
      <c r="T39" t="s">
        <v>119</v>
      </c>
      <c r="U39" t="s">
        <v>146</v>
      </c>
    </row>
    <row r="40" spans="1:21" x14ac:dyDescent="0.35">
      <c r="A40" t="s">
        <v>311</v>
      </c>
      <c r="B40" t="s">
        <v>25</v>
      </c>
      <c r="C40" t="s">
        <v>312</v>
      </c>
      <c r="D40" t="s">
        <v>313</v>
      </c>
      <c r="E40" s="5">
        <f t="shared" si="0"/>
        <v>46140.848611111112</v>
      </c>
      <c r="F40" s="6">
        <f t="shared" si="1"/>
        <v>46140</v>
      </c>
      <c r="G40" s="7">
        <f t="shared" si="2"/>
        <v>0.84861111111240461</v>
      </c>
      <c r="H40">
        <f t="shared" si="3"/>
        <v>4</v>
      </c>
      <c r="I40">
        <f t="shared" si="4"/>
        <v>2026</v>
      </c>
      <c r="J40">
        <f t="shared" si="5"/>
        <v>20</v>
      </c>
      <c r="K40" t="s">
        <v>314</v>
      </c>
      <c r="L40" t="s">
        <v>116</v>
      </c>
      <c r="M40" t="s">
        <v>117</v>
      </c>
      <c r="P40" t="b">
        <v>0</v>
      </c>
      <c r="R40" t="s">
        <v>315</v>
      </c>
      <c r="T40" t="s">
        <v>119</v>
      </c>
      <c r="U40" t="s">
        <v>146</v>
      </c>
    </row>
    <row r="41" spans="1:21" x14ac:dyDescent="0.35">
      <c r="A41" t="s">
        <v>316</v>
      </c>
      <c r="B41" t="s">
        <v>25</v>
      </c>
      <c r="C41" t="s">
        <v>317</v>
      </c>
      <c r="D41" t="s">
        <v>318</v>
      </c>
      <c r="E41" s="5">
        <f t="shared" si="0"/>
        <v>46136.28125</v>
      </c>
      <c r="F41" s="6">
        <f t="shared" si="1"/>
        <v>46136</v>
      </c>
      <c r="G41" s="7">
        <f t="shared" si="2"/>
        <v>0.28125</v>
      </c>
      <c r="H41">
        <f t="shared" si="3"/>
        <v>4</v>
      </c>
      <c r="I41">
        <f t="shared" si="4"/>
        <v>2026</v>
      </c>
      <c r="J41">
        <f t="shared" si="5"/>
        <v>6</v>
      </c>
      <c r="K41" t="s">
        <v>319</v>
      </c>
      <c r="L41" t="s">
        <v>116</v>
      </c>
      <c r="M41" t="s">
        <v>117</v>
      </c>
      <c r="P41" t="b">
        <v>0</v>
      </c>
      <c r="R41" t="s">
        <v>320</v>
      </c>
      <c r="T41" t="s">
        <v>119</v>
      </c>
      <c r="U41" t="s">
        <v>120</v>
      </c>
    </row>
    <row r="42" spans="1:21" x14ac:dyDescent="0.35">
      <c r="A42" t="s">
        <v>321</v>
      </c>
      <c r="B42" t="s">
        <v>25</v>
      </c>
      <c r="C42" t="s">
        <v>322</v>
      </c>
      <c r="D42" t="s">
        <v>323</v>
      </c>
      <c r="E42" s="5">
        <f t="shared" si="0"/>
        <v>46135.583333333336</v>
      </c>
      <c r="F42" s="6">
        <f t="shared" si="1"/>
        <v>46135</v>
      </c>
      <c r="G42" s="7">
        <f t="shared" si="2"/>
        <v>0.58333333333575865</v>
      </c>
      <c r="H42">
        <f t="shared" si="3"/>
        <v>4</v>
      </c>
      <c r="I42">
        <f t="shared" si="4"/>
        <v>2026</v>
      </c>
      <c r="J42">
        <f t="shared" si="5"/>
        <v>14</v>
      </c>
      <c r="K42" t="s">
        <v>324</v>
      </c>
      <c r="L42" t="s">
        <v>116</v>
      </c>
      <c r="M42" t="s">
        <v>117</v>
      </c>
      <c r="N42" t="s">
        <v>325</v>
      </c>
      <c r="P42" t="b">
        <v>0</v>
      </c>
      <c r="R42" t="s">
        <v>326</v>
      </c>
      <c r="T42" t="s">
        <v>119</v>
      </c>
      <c r="U42" t="s">
        <v>146</v>
      </c>
    </row>
    <row r="43" spans="1:21" x14ac:dyDescent="0.35">
      <c r="A43" t="s">
        <v>327</v>
      </c>
      <c r="B43" t="s">
        <v>25</v>
      </c>
      <c r="C43" t="s">
        <v>328</v>
      </c>
      <c r="D43" t="s">
        <v>329</v>
      </c>
      <c r="E43" s="5">
        <f t="shared" si="0"/>
        <v>46116.768750000003</v>
      </c>
      <c r="F43" s="6">
        <f t="shared" si="1"/>
        <v>46116</v>
      </c>
      <c r="G43" s="7">
        <f t="shared" si="2"/>
        <v>0.76875000000291038</v>
      </c>
      <c r="H43">
        <f t="shared" si="3"/>
        <v>4</v>
      </c>
      <c r="I43">
        <f t="shared" si="4"/>
        <v>2026</v>
      </c>
      <c r="J43">
        <f t="shared" si="5"/>
        <v>18</v>
      </c>
      <c r="K43" t="s">
        <v>330</v>
      </c>
      <c r="L43" t="s">
        <v>116</v>
      </c>
      <c r="M43" t="s">
        <v>117</v>
      </c>
      <c r="P43" t="b">
        <v>0</v>
      </c>
      <c r="R43" t="s">
        <v>331</v>
      </c>
      <c r="T43" t="s">
        <v>119</v>
      </c>
      <c r="U43" t="s">
        <v>120</v>
      </c>
    </row>
    <row r="44" spans="1:21" x14ac:dyDescent="0.35">
      <c r="A44" t="s">
        <v>332</v>
      </c>
      <c r="B44" t="s">
        <v>27</v>
      </c>
      <c r="C44" t="s">
        <v>333</v>
      </c>
      <c r="D44" t="s">
        <v>334</v>
      </c>
      <c r="E44" s="5">
        <f t="shared" si="0"/>
        <v>46193.550474537042</v>
      </c>
      <c r="F44" s="6">
        <f t="shared" si="1"/>
        <v>46193</v>
      </c>
      <c r="G44" s="7">
        <f t="shared" si="2"/>
        <v>0.55047453704173677</v>
      </c>
      <c r="H44">
        <f t="shared" si="3"/>
        <v>6</v>
      </c>
      <c r="I44">
        <f t="shared" si="4"/>
        <v>2026</v>
      </c>
      <c r="J44">
        <f t="shared" si="5"/>
        <v>13</v>
      </c>
      <c r="K44" t="s">
        <v>335</v>
      </c>
      <c r="L44" t="s">
        <v>116</v>
      </c>
      <c r="M44" t="s">
        <v>117</v>
      </c>
      <c r="P44" t="b">
        <v>0</v>
      </c>
      <c r="T44" t="s">
        <v>119</v>
      </c>
      <c r="U44" t="s">
        <v>146</v>
      </c>
    </row>
    <row r="45" spans="1:21" x14ac:dyDescent="0.35">
      <c r="A45" t="s">
        <v>336</v>
      </c>
      <c r="B45" t="s">
        <v>27</v>
      </c>
      <c r="C45" t="s">
        <v>337</v>
      </c>
      <c r="D45" t="s">
        <v>338</v>
      </c>
      <c r="E45" s="5">
        <f t="shared" si="0"/>
        <v>46164.873564814814</v>
      </c>
      <c r="F45" s="6">
        <f t="shared" si="1"/>
        <v>46164</v>
      </c>
      <c r="G45" s="7">
        <f t="shared" si="2"/>
        <v>0.87356481481401715</v>
      </c>
      <c r="H45">
        <f t="shared" si="3"/>
        <v>5</v>
      </c>
      <c r="I45">
        <f t="shared" si="4"/>
        <v>2026</v>
      </c>
      <c r="J45">
        <f t="shared" si="5"/>
        <v>20</v>
      </c>
      <c r="K45" t="s">
        <v>339</v>
      </c>
      <c r="L45" t="s">
        <v>116</v>
      </c>
      <c r="M45" t="s">
        <v>117</v>
      </c>
      <c r="P45" t="b">
        <v>0</v>
      </c>
      <c r="T45" t="s">
        <v>119</v>
      </c>
      <c r="U45" t="s">
        <v>146</v>
      </c>
    </row>
    <row r="46" spans="1:21" x14ac:dyDescent="0.35">
      <c r="A46" t="s">
        <v>340</v>
      </c>
      <c r="B46" t="s">
        <v>27</v>
      </c>
      <c r="C46" t="s">
        <v>341</v>
      </c>
      <c r="D46" t="s">
        <v>342</v>
      </c>
      <c r="E46" s="5">
        <f t="shared" si="0"/>
        <v>46150.616423611114</v>
      </c>
      <c r="F46" s="6">
        <f t="shared" si="1"/>
        <v>46150</v>
      </c>
      <c r="G46" s="7">
        <f t="shared" si="2"/>
        <v>0.61642361111444188</v>
      </c>
      <c r="H46">
        <f t="shared" si="3"/>
        <v>5</v>
      </c>
      <c r="I46">
        <f t="shared" si="4"/>
        <v>2026</v>
      </c>
      <c r="J46">
        <f t="shared" si="5"/>
        <v>14</v>
      </c>
      <c r="K46" t="s">
        <v>343</v>
      </c>
      <c r="L46" t="s">
        <v>116</v>
      </c>
      <c r="M46" t="s">
        <v>117</v>
      </c>
      <c r="P46" t="b">
        <v>0</v>
      </c>
      <c r="T46" t="s">
        <v>119</v>
      </c>
      <c r="U46" t="s">
        <v>146</v>
      </c>
    </row>
    <row r="47" spans="1:21" x14ac:dyDescent="0.35">
      <c r="A47" t="s">
        <v>344</v>
      </c>
      <c r="B47" t="s">
        <v>27</v>
      </c>
      <c r="C47" t="s">
        <v>345</v>
      </c>
      <c r="D47" t="s">
        <v>346</v>
      </c>
      <c r="E47" s="5">
        <f t="shared" si="0"/>
        <v>46110.642060185186</v>
      </c>
      <c r="F47" s="6">
        <f t="shared" si="1"/>
        <v>46110</v>
      </c>
      <c r="G47" s="7">
        <f t="shared" si="2"/>
        <v>0.64206018518598285</v>
      </c>
      <c r="H47">
        <f t="shared" si="3"/>
        <v>3</v>
      </c>
      <c r="I47">
        <f t="shared" si="4"/>
        <v>2026</v>
      </c>
      <c r="J47">
        <f t="shared" si="5"/>
        <v>15</v>
      </c>
      <c r="K47" t="s">
        <v>347</v>
      </c>
      <c r="L47" t="s">
        <v>116</v>
      </c>
      <c r="M47" t="s">
        <v>117</v>
      </c>
      <c r="N47" t="s">
        <v>168</v>
      </c>
      <c r="P47" t="b">
        <v>0</v>
      </c>
      <c r="T47" t="s">
        <v>119</v>
      </c>
      <c r="U47" t="s">
        <v>146</v>
      </c>
    </row>
    <row r="48" spans="1:21" x14ac:dyDescent="0.35">
      <c r="A48" t="s">
        <v>348</v>
      </c>
      <c r="B48" t="s">
        <v>29</v>
      </c>
      <c r="C48" t="s">
        <v>349</v>
      </c>
      <c r="D48" t="s">
        <v>350</v>
      </c>
      <c r="E48" s="5">
        <f t="shared" si="0"/>
        <v>46264.496527777781</v>
      </c>
      <c r="F48" s="6">
        <f t="shared" si="1"/>
        <v>46264</v>
      </c>
      <c r="G48" s="7">
        <f t="shared" si="2"/>
        <v>0.49652777778101154</v>
      </c>
      <c r="H48">
        <f t="shared" si="3"/>
        <v>8</v>
      </c>
      <c r="I48">
        <f t="shared" si="4"/>
        <v>2026</v>
      </c>
      <c r="J48">
        <f t="shared" si="5"/>
        <v>11</v>
      </c>
      <c r="K48" t="s">
        <v>351</v>
      </c>
      <c r="L48" t="s">
        <v>116</v>
      </c>
      <c r="M48" t="s">
        <v>117</v>
      </c>
      <c r="R48" t="s">
        <v>352</v>
      </c>
      <c r="T48" t="s">
        <v>119</v>
      </c>
      <c r="U48" t="s">
        <v>120</v>
      </c>
    </row>
    <row r="49" spans="1:21" x14ac:dyDescent="0.35">
      <c r="A49" t="s">
        <v>353</v>
      </c>
      <c r="B49" t="s">
        <v>29</v>
      </c>
      <c r="C49" t="s">
        <v>354</v>
      </c>
      <c r="D49" t="s">
        <v>355</v>
      </c>
      <c r="E49" s="5">
        <f t="shared" si="0"/>
        <v>46147.677083333336</v>
      </c>
      <c r="F49" s="6">
        <f t="shared" si="1"/>
        <v>46147</v>
      </c>
      <c r="G49" s="7">
        <f t="shared" si="2"/>
        <v>0.67708333333575865</v>
      </c>
      <c r="H49">
        <f t="shared" si="3"/>
        <v>5</v>
      </c>
      <c r="I49">
        <f t="shared" si="4"/>
        <v>2026</v>
      </c>
      <c r="J49">
        <f t="shared" si="5"/>
        <v>16</v>
      </c>
      <c r="K49" t="s">
        <v>356</v>
      </c>
      <c r="L49" t="s">
        <v>116</v>
      </c>
      <c r="M49" t="s">
        <v>117</v>
      </c>
      <c r="R49" t="s">
        <v>357</v>
      </c>
      <c r="T49" t="s">
        <v>119</v>
      </c>
      <c r="U49" t="s">
        <v>120</v>
      </c>
    </row>
    <row r="50" spans="1:21" x14ac:dyDescent="0.35">
      <c r="A50" t="s">
        <v>358</v>
      </c>
      <c r="B50" t="s">
        <v>29</v>
      </c>
      <c r="C50" t="s">
        <v>359</v>
      </c>
      <c r="D50" t="s">
        <v>360</v>
      </c>
      <c r="E50" s="5">
        <f t="shared" si="0"/>
        <v>46147.614583333336</v>
      </c>
      <c r="F50" s="6">
        <f t="shared" si="1"/>
        <v>46147</v>
      </c>
      <c r="G50" s="7">
        <f t="shared" si="2"/>
        <v>0.61458333333575865</v>
      </c>
      <c r="H50">
        <f t="shared" si="3"/>
        <v>5</v>
      </c>
      <c r="I50">
        <f t="shared" si="4"/>
        <v>2026</v>
      </c>
      <c r="J50">
        <f t="shared" si="5"/>
        <v>14</v>
      </c>
      <c r="K50" t="s">
        <v>361</v>
      </c>
      <c r="L50" t="s">
        <v>116</v>
      </c>
      <c r="M50" t="s">
        <v>117</v>
      </c>
      <c r="N50" t="s">
        <v>168</v>
      </c>
      <c r="R50" t="s">
        <v>362</v>
      </c>
      <c r="T50" t="s">
        <v>119</v>
      </c>
      <c r="U50" t="s">
        <v>120</v>
      </c>
    </row>
    <row r="51" spans="1:21" x14ac:dyDescent="0.35">
      <c r="A51" t="s">
        <v>363</v>
      </c>
      <c r="B51" t="s">
        <v>29</v>
      </c>
      <c r="C51" t="s">
        <v>364</v>
      </c>
      <c r="D51" t="s">
        <v>365</v>
      </c>
      <c r="E51" s="5">
        <f t="shared" si="0"/>
        <v>46147.59375</v>
      </c>
      <c r="F51" s="6">
        <f t="shared" si="1"/>
        <v>46147</v>
      </c>
      <c r="G51" s="7">
        <f t="shared" si="2"/>
        <v>0.59375</v>
      </c>
      <c r="H51">
        <f t="shared" si="3"/>
        <v>5</v>
      </c>
      <c r="I51">
        <f t="shared" si="4"/>
        <v>2026</v>
      </c>
      <c r="J51">
        <f t="shared" si="5"/>
        <v>14</v>
      </c>
      <c r="K51" t="s">
        <v>366</v>
      </c>
      <c r="L51" t="s">
        <v>116</v>
      </c>
      <c r="M51" t="s">
        <v>117</v>
      </c>
      <c r="R51" t="s">
        <v>367</v>
      </c>
      <c r="T51" t="s">
        <v>119</v>
      </c>
      <c r="U51" t="s">
        <v>120</v>
      </c>
    </row>
    <row r="52" spans="1:21" x14ac:dyDescent="0.35">
      <c r="A52" t="s">
        <v>368</v>
      </c>
      <c r="B52" t="s">
        <v>29</v>
      </c>
      <c r="C52" t="s">
        <v>369</v>
      </c>
      <c r="D52" t="s">
        <v>370</v>
      </c>
      <c r="E52" s="5">
        <f t="shared" si="0"/>
        <v>46140.543055555558</v>
      </c>
      <c r="F52" s="6">
        <f t="shared" si="1"/>
        <v>46140</v>
      </c>
      <c r="G52" s="7">
        <f t="shared" si="2"/>
        <v>0.5430555555576575</v>
      </c>
      <c r="H52">
        <f t="shared" si="3"/>
        <v>4</v>
      </c>
      <c r="I52">
        <f t="shared" si="4"/>
        <v>2026</v>
      </c>
      <c r="J52">
        <f t="shared" si="5"/>
        <v>13</v>
      </c>
      <c r="K52" t="s">
        <v>371</v>
      </c>
      <c r="L52" t="s">
        <v>116</v>
      </c>
      <c r="M52" t="s">
        <v>117</v>
      </c>
      <c r="R52" t="s">
        <v>372</v>
      </c>
      <c r="T52" t="s">
        <v>119</v>
      </c>
      <c r="U52" t="s">
        <v>120</v>
      </c>
    </row>
    <row r="53" spans="1:21" x14ac:dyDescent="0.35">
      <c r="A53" t="s">
        <v>373</v>
      </c>
      <c r="B53" t="s">
        <v>29</v>
      </c>
      <c r="C53" t="s">
        <v>374</v>
      </c>
      <c r="D53" t="s">
        <v>375</v>
      </c>
      <c r="E53" s="5">
        <f t="shared" si="0"/>
        <v>46126.61041666667</v>
      </c>
      <c r="F53" s="6">
        <f t="shared" si="1"/>
        <v>46126</v>
      </c>
      <c r="G53" s="7">
        <f t="shared" si="2"/>
        <v>0.61041666667006211</v>
      </c>
      <c r="H53">
        <f t="shared" si="3"/>
        <v>4</v>
      </c>
      <c r="I53">
        <f t="shared" si="4"/>
        <v>2026</v>
      </c>
      <c r="J53">
        <f t="shared" si="5"/>
        <v>14</v>
      </c>
      <c r="K53" t="s">
        <v>376</v>
      </c>
      <c r="L53" t="s">
        <v>116</v>
      </c>
      <c r="M53" t="s">
        <v>117</v>
      </c>
      <c r="R53" t="s">
        <v>377</v>
      </c>
      <c r="T53" t="s">
        <v>119</v>
      </c>
      <c r="U53" t="s">
        <v>120</v>
      </c>
    </row>
    <row r="54" spans="1:21" x14ac:dyDescent="0.35">
      <c r="A54" t="s">
        <v>378</v>
      </c>
      <c r="B54" t="s">
        <v>29</v>
      </c>
      <c r="C54" t="s">
        <v>379</v>
      </c>
      <c r="D54" t="s">
        <v>380</v>
      </c>
      <c r="E54" s="5">
        <f t="shared" si="0"/>
        <v>46124.643750000003</v>
      </c>
      <c r="F54" s="6">
        <f t="shared" si="1"/>
        <v>46124</v>
      </c>
      <c r="G54" s="7">
        <f t="shared" si="2"/>
        <v>0.64375000000291038</v>
      </c>
      <c r="H54">
        <f t="shared" si="3"/>
        <v>4</v>
      </c>
      <c r="I54">
        <f t="shared" si="4"/>
        <v>2026</v>
      </c>
      <c r="J54">
        <f t="shared" si="5"/>
        <v>15</v>
      </c>
      <c r="K54" t="s">
        <v>381</v>
      </c>
      <c r="L54" t="s">
        <v>116</v>
      </c>
      <c r="M54" t="s">
        <v>382</v>
      </c>
      <c r="N54" t="s">
        <v>117</v>
      </c>
      <c r="R54" t="s">
        <v>383</v>
      </c>
      <c r="T54" t="s">
        <v>119</v>
      </c>
      <c r="U54" t="s">
        <v>120</v>
      </c>
    </row>
    <row r="55" spans="1:21" x14ac:dyDescent="0.35">
      <c r="A55" t="s">
        <v>384</v>
      </c>
      <c r="B55" t="s">
        <v>31</v>
      </c>
      <c r="C55" t="s">
        <v>385</v>
      </c>
      <c r="D55" t="s">
        <v>386</v>
      </c>
      <c r="E55" s="5">
        <f t="shared" si="0"/>
        <v>46227.366666666669</v>
      </c>
      <c r="F55" s="6">
        <f t="shared" si="1"/>
        <v>46227</v>
      </c>
      <c r="G55" s="7">
        <f t="shared" si="2"/>
        <v>0.36666666666860692</v>
      </c>
      <c r="H55">
        <f t="shared" si="3"/>
        <v>7</v>
      </c>
      <c r="I55">
        <f t="shared" si="4"/>
        <v>2026</v>
      </c>
      <c r="J55">
        <f t="shared" si="5"/>
        <v>8</v>
      </c>
      <c r="K55" t="s">
        <v>387</v>
      </c>
      <c r="L55" t="s">
        <v>116</v>
      </c>
      <c r="M55" t="s">
        <v>117</v>
      </c>
      <c r="P55" t="b">
        <v>0</v>
      </c>
      <c r="R55" t="s">
        <v>388</v>
      </c>
      <c r="T55" t="s">
        <v>119</v>
      </c>
      <c r="U55" t="s">
        <v>120</v>
      </c>
    </row>
    <row r="56" spans="1:21" x14ac:dyDescent="0.35">
      <c r="A56" t="s">
        <v>389</v>
      </c>
      <c r="B56" t="s">
        <v>31</v>
      </c>
      <c r="C56" t="s">
        <v>390</v>
      </c>
      <c r="D56" t="s">
        <v>391</v>
      </c>
      <c r="E56" s="5">
        <f t="shared" si="0"/>
        <v>46220.715277777781</v>
      </c>
      <c r="F56" s="6">
        <f t="shared" si="1"/>
        <v>46220</v>
      </c>
      <c r="G56" s="7">
        <f t="shared" si="2"/>
        <v>0.71527777778101154</v>
      </c>
      <c r="H56">
        <f t="shared" si="3"/>
        <v>7</v>
      </c>
      <c r="I56">
        <f t="shared" si="4"/>
        <v>2026</v>
      </c>
      <c r="J56">
        <f t="shared" si="5"/>
        <v>17</v>
      </c>
      <c r="K56" t="s">
        <v>392</v>
      </c>
      <c r="L56" t="s">
        <v>116</v>
      </c>
      <c r="M56" t="s">
        <v>117</v>
      </c>
      <c r="P56" t="b">
        <v>0</v>
      </c>
      <c r="R56" t="s">
        <v>393</v>
      </c>
      <c r="T56" t="s">
        <v>119</v>
      </c>
      <c r="U56" t="s">
        <v>120</v>
      </c>
    </row>
    <row r="57" spans="1:21" x14ac:dyDescent="0.35">
      <c r="A57" t="s">
        <v>394</v>
      </c>
      <c r="B57" t="s">
        <v>31</v>
      </c>
      <c r="C57" t="s">
        <v>395</v>
      </c>
      <c r="D57" t="s">
        <v>396</v>
      </c>
      <c r="E57" s="5">
        <f t="shared" si="0"/>
        <v>46213.590277777781</v>
      </c>
      <c r="F57" s="6">
        <f t="shared" si="1"/>
        <v>46213</v>
      </c>
      <c r="G57" s="7">
        <f t="shared" si="2"/>
        <v>0.59027777778101154</v>
      </c>
      <c r="H57">
        <f t="shared" si="3"/>
        <v>7</v>
      </c>
      <c r="I57">
        <f t="shared" si="4"/>
        <v>2026</v>
      </c>
      <c r="J57">
        <f t="shared" si="5"/>
        <v>14</v>
      </c>
      <c r="K57" t="s">
        <v>397</v>
      </c>
      <c r="L57" t="s">
        <v>116</v>
      </c>
      <c r="M57" t="s">
        <v>117</v>
      </c>
      <c r="P57" t="b">
        <v>0</v>
      </c>
      <c r="R57" t="s">
        <v>398</v>
      </c>
      <c r="T57" t="s">
        <v>119</v>
      </c>
      <c r="U57" t="s">
        <v>120</v>
      </c>
    </row>
    <row r="58" spans="1:21" x14ac:dyDescent="0.35">
      <c r="A58" t="s">
        <v>399</v>
      </c>
      <c r="B58" t="s">
        <v>31</v>
      </c>
      <c r="C58" t="s">
        <v>400</v>
      </c>
      <c r="D58" t="s">
        <v>401</v>
      </c>
      <c r="E58" s="5">
        <f t="shared" si="0"/>
        <v>46177.634027777778</v>
      </c>
      <c r="F58" s="6">
        <f t="shared" si="1"/>
        <v>46177</v>
      </c>
      <c r="G58" s="7">
        <f t="shared" si="2"/>
        <v>0.63402777777810115</v>
      </c>
      <c r="H58">
        <f t="shared" si="3"/>
        <v>6</v>
      </c>
      <c r="I58">
        <f t="shared" si="4"/>
        <v>2026</v>
      </c>
      <c r="J58">
        <f t="shared" si="5"/>
        <v>15</v>
      </c>
      <c r="K58" t="s">
        <v>402</v>
      </c>
      <c r="L58" t="s">
        <v>116</v>
      </c>
      <c r="M58" t="s">
        <v>117</v>
      </c>
      <c r="P58" t="b">
        <v>0</v>
      </c>
      <c r="R58" t="s">
        <v>403</v>
      </c>
      <c r="T58" t="s">
        <v>119</v>
      </c>
      <c r="U58" t="s">
        <v>120</v>
      </c>
    </row>
    <row r="59" spans="1:21" x14ac:dyDescent="0.35">
      <c r="A59" t="s">
        <v>404</v>
      </c>
      <c r="B59" t="s">
        <v>31</v>
      </c>
      <c r="C59" t="s">
        <v>405</v>
      </c>
      <c r="D59" t="s">
        <v>406</v>
      </c>
      <c r="E59" s="5">
        <f t="shared" si="0"/>
        <v>46143.59652777778</v>
      </c>
      <c r="F59" s="6">
        <f t="shared" si="1"/>
        <v>46143</v>
      </c>
      <c r="G59" s="7">
        <f t="shared" si="2"/>
        <v>0.59652777777955635</v>
      </c>
      <c r="H59">
        <f t="shared" si="3"/>
        <v>5</v>
      </c>
      <c r="I59">
        <f t="shared" si="4"/>
        <v>2026</v>
      </c>
      <c r="J59">
        <f t="shared" si="5"/>
        <v>14</v>
      </c>
      <c r="K59" t="s">
        <v>407</v>
      </c>
      <c r="L59" t="s">
        <v>116</v>
      </c>
      <c r="M59" t="s">
        <v>117</v>
      </c>
      <c r="P59" t="b">
        <v>0</v>
      </c>
      <c r="R59" t="s">
        <v>408</v>
      </c>
      <c r="T59" t="s">
        <v>119</v>
      </c>
      <c r="U59" t="s">
        <v>120</v>
      </c>
    </row>
    <row r="60" spans="1:21" x14ac:dyDescent="0.35">
      <c r="A60" t="s">
        <v>409</v>
      </c>
      <c r="B60" t="s">
        <v>31</v>
      </c>
      <c r="C60" t="s">
        <v>410</v>
      </c>
      <c r="D60" t="s">
        <v>411</v>
      </c>
      <c r="E60" s="5">
        <f t="shared" si="0"/>
        <v>46138.847916666666</v>
      </c>
      <c r="F60" s="6">
        <f t="shared" si="1"/>
        <v>46138</v>
      </c>
      <c r="G60" s="7">
        <f t="shared" si="2"/>
        <v>0.84791666666569654</v>
      </c>
      <c r="H60">
        <f t="shared" si="3"/>
        <v>4</v>
      </c>
      <c r="I60">
        <f t="shared" si="4"/>
        <v>2026</v>
      </c>
      <c r="J60">
        <f t="shared" si="5"/>
        <v>20</v>
      </c>
      <c r="K60" t="s">
        <v>412</v>
      </c>
      <c r="L60" t="s">
        <v>116</v>
      </c>
      <c r="M60" t="s">
        <v>117</v>
      </c>
      <c r="P60" t="b">
        <v>0</v>
      </c>
      <c r="R60" t="s">
        <v>413</v>
      </c>
      <c r="T60" t="s">
        <v>119</v>
      </c>
      <c r="U60" t="s">
        <v>120</v>
      </c>
    </row>
    <row r="61" spans="1:21" x14ac:dyDescent="0.35">
      <c r="A61" t="s">
        <v>414</v>
      </c>
      <c r="B61" t="s">
        <v>31</v>
      </c>
      <c r="C61" t="s">
        <v>415</v>
      </c>
      <c r="D61" t="s">
        <v>416</v>
      </c>
      <c r="E61" s="5">
        <f t="shared" si="0"/>
        <v>46138.643750000003</v>
      </c>
      <c r="F61" s="6">
        <f t="shared" si="1"/>
        <v>46138</v>
      </c>
      <c r="G61" s="7">
        <f t="shared" si="2"/>
        <v>0.64375000000291038</v>
      </c>
      <c r="H61">
        <f t="shared" si="3"/>
        <v>4</v>
      </c>
      <c r="I61">
        <f t="shared" si="4"/>
        <v>2026</v>
      </c>
      <c r="J61">
        <f t="shared" si="5"/>
        <v>15</v>
      </c>
      <c r="K61" t="s">
        <v>417</v>
      </c>
      <c r="L61" t="s">
        <v>116</v>
      </c>
      <c r="M61" t="s">
        <v>117</v>
      </c>
      <c r="P61" t="b">
        <v>0</v>
      </c>
      <c r="R61" t="s">
        <v>418</v>
      </c>
      <c r="T61" t="s">
        <v>119</v>
      </c>
      <c r="U61" t="s">
        <v>146</v>
      </c>
    </row>
    <row r="62" spans="1:21" x14ac:dyDescent="0.35">
      <c r="A62" t="s">
        <v>419</v>
      </c>
      <c r="B62" t="s">
        <v>31</v>
      </c>
      <c r="C62" t="s">
        <v>420</v>
      </c>
      <c r="D62" t="s">
        <v>421</v>
      </c>
      <c r="E62" s="5">
        <f t="shared" si="0"/>
        <v>46122.547222222223</v>
      </c>
      <c r="F62" s="6">
        <f t="shared" si="1"/>
        <v>46122</v>
      </c>
      <c r="G62" s="7">
        <f t="shared" si="2"/>
        <v>0.54722222222335404</v>
      </c>
      <c r="H62">
        <f t="shared" si="3"/>
        <v>4</v>
      </c>
      <c r="I62">
        <f t="shared" si="4"/>
        <v>2026</v>
      </c>
      <c r="J62">
        <f t="shared" si="5"/>
        <v>13</v>
      </c>
      <c r="K62" t="s">
        <v>422</v>
      </c>
      <c r="L62" t="s">
        <v>116</v>
      </c>
      <c r="M62" t="s">
        <v>117</v>
      </c>
      <c r="P62" t="b">
        <v>0</v>
      </c>
      <c r="R62" t="s">
        <v>423</v>
      </c>
      <c r="T62" t="s">
        <v>119</v>
      </c>
      <c r="U62" t="s">
        <v>120</v>
      </c>
    </row>
    <row r="63" spans="1:21" x14ac:dyDescent="0.35">
      <c r="A63" t="s">
        <v>424</v>
      </c>
      <c r="B63" t="s">
        <v>31</v>
      </c>
      <c r="C63" t="s">
        <v>425</v>
      </c>
      <c r="D63" t="s">
        <v>426</v>
      </c>
      <c r="E63" s="5">
        <f t="shared" si="0"/>
        <v>46112.577083333337</v>
      </c>
      <c r="F63" s="6">
        <f t="shared" si="1"/>
        <v>46112</v>
      </c>
      <c r="G63" s="7">
        <f t="shared" si="2"/>
        <v>0.57708333333721384</v>
      </c>
      <c r="H63">
        <f t="shared" si="3"/>
        <v>3</v>
      </c>
      <c r="I63">
        <f t="shared" si="4"/>
        <v>2026</v>
      </c>
      <c r="J63">
        <f t="shared" si="5"/>
        <v>13</v>
      </c>
      <c r="K63" t="s">
        <v>427</v>
      </c>
      <c r="L63" t="s">
        <v>116</v>
      </c>
      <c r="M63" t="s">
        <v>428</v>
      </c>
      <c r="N63" t="s">
        <v>117</v>
      </c>
      <c r="O63" t="s">
        <v>168</v>
      </c>
      <c r="P63" t="b">
        <v>0</v>
      </c>
      <c r="R63" t="s">
        <v>429</v>
      </c>
      <c r="T63" t="s">
        <v>119</v>
      </c>
      <c r="U63" t="s">
        <v>120</v>
      </c>
    </row>
    <row r="64" spans="1:21" x14ac:dyDescent="0.35">
      <c r="A64" t="s">
        <v>430</v>
      </c>
      <c r="B64" t="s">
        <v>32</v>
      </c>
      <c r="C64" t="s">
        <v>431</v>
      </c>
      <c r="D64" t="s">
        <v>432</v>
      </c>
      <c r="E64" s="5">
        <f t="shared" si="0"/>
        <v>46219.620983796296</v>
      </c>
      <c r="F64" s="6">
        <f t="shared" si="1"/>
        <v>46219</v>
      </c>
      <c r="G64" s="7">
        <f t="shared" si="2"/>
        <v>0.62098379629605915</v>
      </c>
      <c r="H64">
        <f t="shared" si="3"/>
        <v>7</v>
      </c>
      <c r="I64">
        <f t="shared" si="4"/>
        <v>2026</v>
      </c>
      <c r="J64">
        <f t="shared" si="5"/>
        <v>14</v>
      </c>
      <c r="K64" t="s">
        <v>433</v>
      </c>
      <c r="L64" t="s">
        <v>116</v>
      </c>
      <c r="M64" t="s">
        <v>117</v>
      </c>
      <c r="R64" t="s">
        <v>434</v>
      </c>
      <c r="T64" t="s">
        <v>119</v>
      </c>
      <c r="U64" t="s">
        <v>146</v>
      </c>
    </row>
    <row r="65" spans="1:21" x14ac:dyDescent="0.35">
      <c r="A65" t="s">
        <v>435</v>
      </c>
      <c r="B65" t="s">
        <v>32</v>
      </c>
      <c r="C65" t="s">
        <v>436</v>
      </c>
      <c r="D65" t="s">
        <v>437</v>
      </c>
      <c r="E65" s="5">
        <f t="shared" si="0"/>
        <v>46140.688680555555</v>
      </c>
      <c r="F65" s="6">
        <f t="shared" si="1"/>
        <v>46140</v>
      </c>
      <c r="G65" s="7">
        <f t="shared" si="2"/>
        <v>0.68868055555503815</v>
      </c>
      <c r="H65">
        <f t="shared" si="3"/>
        <v>4</v>
      </c>
      <c r="I65">
        <f t="shared" si="4"/>
        <v>2026</v>
      </c>
      <c r="J65">
        <f t="shared" si="5"/>
        <v>16</v>
      </c>
      <c r="K65" t="s">
        <v>438</v>
      </c>
      <c r="L65" t="s">
        <v>116</v>
      </c>
      <c r="M65" t="s">
        <v>117</v>
      </c>
      <c r="R65" t="s">
        <v>439</v>
      </c>
      <c r="T65" t="s">
        <v>119</v>
      </c>
      <c r="U65" t="s">
        <v>146</v>
      </c>
    </row>
    <row r="66" spans="1:21" x14ac:dyDescent="0.35">
      <c r="A66" t="s">
        <v>440</v>
      </c>
      <c r="B66" t="s">
        <v>32</v>
      </c>
      <c r="C66" t="s">
        <v>441</v>
      </c>
      <c r="D66" t="s">
        <v>442</v>
      </c>
      <c r="E66" s="5">
        <f t="shared" ref="E66:E129" si="6">IF(D66="","",DATE(VALUE(LEFT(D66,4)),VALUE(MID(D66,6,2)),VALUE(MID(D66,9,2)))+TIME(VALUE(MID(D66,12,2)),VALUE(MID(D66,15,2)),VALUE(MID(D66,18,2)))-IF(AND(DATE(VALUE(LEFT(D66,4)),VALUE(MID(D66,6,2)),VALUE(MID(D66,9,2)))+TIME(VALUE(MID(D66,12,2)),VALUE(MID(D66,15,2)),VALUE(MID(D66,18,2)))&gt;=DATE(VALUE(LEFT(D66,4)),3,1)+MOD(8-WEEKDAY(DATE(VALUE(LEFT(D66,4)),3,1)),7)+7+TIME(7,0,0),DATE(VALUE(LEFT(D66,4)),3,1)+MOD(8-WEEKDAY(DATE(VALUE(LEFT(D66,4)),3,1)),7)+7+TIME(7,0,0)&lt;DATE(VALUE(LEFT(D66,4)),11,1)+MOD(8-WEEKDAY(DATE(VALUE(LEFT(D66,4)),11,1)),7)+TIME(6,0,0)), TIME(4,0,0),TIME(5,0,0)))</f>
        <v>46133.683969907412</v>
      </c>
      <c r="F66" s="6">
        <f t="shared" ref="F66:F129" si="7">IF(E66="","",INT(E66))</f>
        <v>46133</v>
      </c>
      <c r="G66" s="7">
        <f t="shared" ref="G66:G129" si="8">IF(E66="","",MOD(E66,1))</f>
        <v>0.68396990741166519</v>
      </c>
      <c r="H66">
        <f t="shared" ref="H66:H129" si="9">IF(E66="","",MONTH(E66))</f>
        <v>4</v>
      </c>
      <c r="I66">
        <f t="shared" ref="I66:I129" si="10">IF(E66="","",YEAR(E66))</f>
        <v>2026</v>
      </c>
      <c r="J66">
        <f t="shared" ref="J66:J129" si="11">IF(E66="","",HOUR(E66))</f>
        <v>16</v>
      </c>
      <c r="K66" t="s">
        <v>443</v>
      </c>
      <c r="L66" t="s">
        <v>116</v>
      </c>
      <c r="M66" t="s">
        <v>117</v>
      </c>
      <c r="R66" t="s">
        <v>444</v>
      </c>
      <c r="T66" t="s">
        <v>119</v>
      </c>
      <c r="U66" t="s">
        <v>146</v>
      </c>
    </row>
    <row r="67" spans="1:21" x14ac:dyDescent="0.35">
      <c r="A67" t="s">
        <v>445</v>
      </c>
      <c r="B67" t="s">
        <v>32</v>
      </c>
      <c r="C67" t="s">
        <v>446</v>
      </c>
      <c r="D67" t="s">
        <v>447</v>
      </c>
      <c r="E67" s="5">
        <f t="shared" si="6"/>
        <v>46125.511192129634</v>
      </c>
      <c r="F67" s="6">
        <f t="shared" si="7"/>
        <v>46125</v>
      </c>
      <c r="G67" s="7">
        <f t="shared" si="8"/>
        <v>0.51119212963385507</v>
      </c>
      <c r="H67">
        <f t="shared" si="9"/>
        <v>4</v>
      </c>
      <c r="I67">
        <f t="shared" si="10"/>
        <v>2026</v>
      </c>
      <c r="J67">
        <f t="shared" si="11"/>
        <v>12</v>
      </c>
      <c r="K67" t="s">
        <v>448</v>
      </c>
      <c r="L67" t="s">
        <v>116</v>
      </c>
      <c r="M67" t="s">
        <v>117</v>
      </c>
      <c r="R67" t="s">
        <v>449</v>
      </c>
      <c r="T67" t="s">
        <v>119</v>
      </c>
      <c r="U67" t="s">
        <v>146</v>
      </c>
    </row>
    <row r="68" spans="1:21" x14ac:dyDescent="0.35">
      <c r="A68" t="s">
        <v>450</v>
      </c>
      <c r="B68" t="s">
        <v>32</v>
      </c>
      <c r="C68" t="s">
        <v>451</v>
      </c>
      <c r="D68" t="s">
        <v>452</v>
      </c>
      <c r="E68" s="5">
        <f t="shared" si="6"/>
        <v>46124.756562499999</v>
      </c>
      <c r="F68" s="6">
        <f t="shared" si="7"/>
        <v>46124</v>
      </c>
      <c r="G68" s="7">
        <f t="shared" si="8"/>
        <v>0.75656249999883585</v>
      </c>
      <c r="H68">
        <f t="shared" si="9"/>
        <v>4</v>
      </c>
      <c r="I68">
        <f t="shared" si="10"/>
        <v>2026</v>
      </c>
      <c r="J68">
        <f t="shared" si="11"/>
        <v>18</v>
      </c>
      <c r="K68" t="s">
        <v>453</v>
      </c>
      <c r="L68" t="s">
        <v>116</v>
      </c>
      <c r="M68" t="s">
        <v>117</v>
      </c>
      <c r="R68" t="s">
        <v>454</v>
      </c>
      <c r="T68" t="s">
        <v>119</v>
      </c>
      <c r="U68" t="s">
        <v>146</v>
      </c>
    </row>
    <row r="69" spans="1:21" x14ac:dyDescent="0.35">
      <c r="A69" t="s">
        <v>455</v>
      </c>
      <c r="B69" t="s">
        <v>32</v>
      </c>
      <c r="C69" t="s">
        <v>456</v>
      </c>
      <c r="D69" t="s">
        <v>457</v>
      </c>
      <c r="E69" s="5">
        <f t="shared" si="6"/>
        <v>46111.576331018521</v>
      </c>
      <c r="F69" s="6">
        <f t="shared" si="7"/>
        <v>46111</v>
      </c>
      <c r="G69" s="7">
        <f t="shared" si="8"/>
        <v>0.57633101852115942</v>
      </c>
      <c r="H69">
        <f t="shared" si="9"/>
        <v>3</v>
      </c>
      <c r="I69">
        <f t="shared" si="10"/>
        <v>2026</v>
      </c>
      <c r="J69">
        <f t="shared" si="11"/>
        <v>13</v>
      </c>
      <c r="K69" t="s">
        <v>458</v>
      </c>
      <c r="L69" t="s">
        <v>116</v>
      </c>
      <c r="M69" t="s">
        <v>117</v>
      </c>
      <c r="R69" t="s">
        <v>459</v>
      </c>
      <c r="T69" t="s">
        <v>119</v>
      </c>
      <c r="U69" t="s">
        <v>146</v>
      </c>
    </row>
    <row r="70" spans="1:21" x14ac:dyDescent="0.35">
      <c r="A70" t="s">
        <v>460</v>
      </c>
      <c r="B70" t="s">
        <v>34</v>
      </c>
      <c r="C70" t="s">
        <v>461</v>
      </c>
      <c r="D70" t="s">
        <v>462</v>
      </c>
      <c r="E70" s="5">
        <f t="shared" si="6"/>
        <v>46246.593148148153</v>
      </c>
      <c r="F70" s="6">
        <f t="shared" si="7"/>
        <v>46246</v>
      </c>
      <c r="G70" s="7">
        <f t="shared" si="8"/>
        <v>0.59314814815297723</v>
      </c>
      <c r="H70">
        <f t="shared" si="9"/>
        <v>8</v>
      </c>
      <c r="I70">
        <f t="shared" si="10"/>
        <v>2026</v>
      </c>
      <c r="J70">
        <f t="shared" si="11"/>
        <v>14</v>
      </c>
      <c r="K70" t="s">
        <v>463</v>
      </c>
      <c r="L70" t="s">
        <v>116</v>
      </c>
      <c r="M70" t="s">
        <v>117</v>
      </c>
      <c r="P70" t="b">
        <v>1</v>
      </c>
      <c r="Q70">
        <v>0</v>
      </c>
      <c r="R70" t="s">
        <v>464</v>
      </c>
      <c r="S70">
        <v>0</v>
      </c>
      <c r="T70" t="s">
        <v>153</v>
      </c>
      <c r="U70" t="s">
        <v>146</v>
      </c>
    </row>
    <row r="71" spans="1:21" x14ac:dyDescent="0.35">
      <c r="A71" t="s">
        <v>465</v>
      </c>
      <c r="B71" t="s">
        <v>34</v>
      </c>
      <c r="C71" t="s">
        <v>466</v>
      </c>
      <c r="D71" t="s">
        <v>467</v>
      </c>
      <c r="E71" s="5">
        <f t="shared" si="6"/>
        <v>46147.694282407407</v>
      </c>
      <c r="F71" s="6">
        <f t="shared" si="7"/>
        <v>46147</v>
      </c>
      <c r="G71" s="7">
        <f t="shared" si="8"/>
        <v>0.69428240740671754</v>
      </c>
      <c r="H71">
        <f t="shared" si="9"/>
        <v>5</v>
      </c>
      <c r="I71">
        <f t="shared" si="10"/>
        <v>2026</v>
      </c>
      <c r="J71">
        <f t="shared" si="11"/>
        <v>16</v>
      </c>
      <c r="K71" t="s">
        <v>468</v>
      </c>
      <c r="L71" t="s">
        <v>116</v>
      </c>
      <c r="M71" t="s">
        <v>469</v>
      </c>
      <c r="N71" t="s">
        <v>117</v>
      </c>
      <c r="P71" t="b">
        <v>0</v>
      </c>
      <c r="Q71">
        <v>0</v>
      </c>
      <c r="R71" t="s">
        <v>470</v>
      </c>
      <c r="S71">
        <v>0</v>
      </c>
      <c r="T71" t="s">
        <v>153</v>
      </c>
      <c r="U71" t="s">
        <v>146</v>
      </c>
    </row>
    <row r="72" spans="1:21" x14ac:dyDescent="0.35">
      <c r="A72" t="s">
        <v>471</v>
      </c>
      <c r="B72" t="s">
        <v>34</v>
      </c>
      <c r="C72" t="s">
        <v>472</v>
      </c>
      <c r="D72" t="s">
        <v>473</v>
      </c>
      <c r="E72" s="5">
        <f t="shared" si="6"/>
        <v>46141.605972222227</v>
      </c>
      <c r="F72" s="6">
        <f t="shared" si="7"/>
        <v>46141</v>
      </c>
      <c r="G72" s="7">
        <f t="shared" si="8"/>
        <v>0.60597222222713754</v>
      </c>
      <c r="H72">
        <f t="shared" si="9"/>
        <v>4</v>
      </c>
      <c r="I72">
        <f t="shared" si="10"/>
        <v>2026</v>
      </c>
      <c r="J72">
        <f t="shared" si="11"/>
        <v>14</v>
      </c>
      <c r="K72" t="s">
        <v>474</v>
      </c>
      <c r="L72" t="s">
        <v>116</v>
      </c>
      <c r="M72" t="s">
        <v>117</v>
      </c>
      <c r="P72" t="b">
        <v>1</v>
      </c>
      <c r="Q72">
        <v>0</v>
      </c>
      <c r="R72" t="s">
        <v>475</v>
      </c>
      <c r="S72">
        <v>0</v>
      </c>
      <c r="T72" t="s">
        <v>153</v>
      </c>
      <c r="U72" t="s">
        <v>146</v>
      </c>
    </row>
    <row r="73" spans="1:21" x14ac:dyDescent="0.35">
      <c r="A73" t="s">
        <v>476</v>
      </c>
      <c r="B73" t="s">
        <v>34</v>
      </c>
      <c r="C73" t="s">
        <v>477</v>
      </c>
      <c r="D73" t="s">
        <v>478</v>
      </c>
      <c r="E73" s="5">
        <f t="shared" si="6"/>
        <v>46138.602025462962</v>
      </c>
      <c r="F73" s="6">
        <f t="shared" si="7"/>
        <v>46138</v>
      </c>
      <c r="G73" s="7">
        <f t="shared" si="8"/>
        <v>0.60202546296204673</v>
      </c>
      <c r="H73">
        <f t="shared" si="9"/>
        <v>4</v>
      </c>
      <c r="I73">
        <f t="shared" si="10"/>
        <v>2026</v>
      </c>
      <c r="J73">
        <f t="shared" si="11"/>
        <v>14</v>
      </c>
      <c r="K73" t="s">
        <v>479</v>
      </c>
      <c r="L73" t="s">
        <v>116</v>
      </c>
      <c r="M73" t="s">
        <v>117</v>
      </c>
      <c r="P73" t="b">
        <v>0</v>
      </c>
      <c r="Q73">
        <v>0</v>
      </c>
      <c r="R73" t="s">
        <v>480</v>
      </c>
      <c r="S73">
        <v>0</v>
      </c>
      <c r="T73" t="s">
        <v>153</v>
      </c>
      <c r="U73" t="s">
        <v>146</v>
      </c>
    </row>
    <row r="74" spans="1:21" x14ac:dyDescent="0.35">
      <c r="A74" t="s">
        <v>481</v>
      </c>
      <c r="B74" t="s">
        <v>34</v>
      </c>
      <c r="C74" t="s">
        <v>482</v>
      </c>
      <c r="D74" t="s">
        <v>483</v>
      </c>
      <c r="E74" s="5">
        <f t="shared" si="6"/>
        <v>46136.562789351854</v>
      </c>
      <c r="F74" s="6">
        <f t="shared" si="7"/>
        <v>46136</v>
      </c>
      <c r="G74" s="7">
        <f t="shared" si="8"/>
        <v>0.56278935185400769</v>
      </c>
      <c r="H74">
        <f t="shared" si="9"/>
        <v>4</v>
      </c>
      <c r="I74">
        <f t="shared" si="10"/>
        <v>2026</v>
      </c>
      <c r="J74">
        <f t="shared" si="11"/>
        <v>13</v>
      </c>
      <c r="K74" t="s">
        <v>484</v>
      </c>
      <c r="L74" t="s">
        <v>116</v>
      </c>
      <c r="M74" t="s">
        <v>117</v>
      </c>
      <c r="P74" t="b">
        <v>1</v>
      </c>
      <c r="Q74">
        <v>0</v>
      </c>
      <c r="R74" t="s">
        <v>485</v>
      </c>
      <c r="S74">
        <v>0</v>
      </c>
      <c r="T74" t="s">
        <v>153</v>
      </c>
      <c r="U74" t="s">
        <v>146</v>
      </c>
    </row>
    <row r="75" spans="1:21" x14ac:dyDescent="0.35">
      <c r="A75" t="s">
        <v>486</v>
      </c>
      <c r="B75" t="s">
        <v>34</v>
      </c>
      <c r="C75" t="s">
        <v>487</v>
      </c>
      <c r="D75" t="s">
        <v>488</v>
      </c>
      <c r="E75" s="5">
        <f t="shared" si="6"/>
        <v>46123.642025462963</v>
      </c>
      <c r="F75" s="6">
        <f t="shared" si="7"/>
        <v>46123</v>
      </c>
      <c r="G75" s="7">
        <f t="shared" si="8"/>
        <v>0.64202546296291985</v>
      </c>
      <c r="H75">
        <f t="shared" si="9"/>
        <v>4</v>
      </c>
      <c r="I75">
        <f t="shared" si="10"/>
        <v>2026</v>
      </c>
      <c r="J75">
        <f t="shared" si="11"/>
        <v>15</v>
      </c>
      <c r="K75" t="s">
        <v>489</v>
      </c>
      <c r="L75" t="s">
        <v>116</v>
      </c>
      <c r="M75" t="s">
        <v>117</v>
      </c>
      <c r="P75" t="b">
        <v>1</v>
      </c>
      <c r="Q75">
        <v>0</v>
      </c>
      <c r="R75" t="s">
        <v>490</v>
      </c>
      <c r="S75">
        <v>0</v>
      </c>
      <c r="T75" t="s">
        <v>153</v>
      </c>
      <c r="U75" t="s">
        <v>120</v>
      </c>
    </row>
    <row r="76" spans="1:21" x14ac:dyDescent="0.35">
      <c r="A76" t="s">
        <v>491</v>
      </c>
      <c r="B76" t="s">
        <v>34</v>
      </c>
      <c r="C76" t="s">
        <v>492</v>
      </c>
      <c r="D76" t="s">
        <v>493</v>
      </c>
      <c r="E76" s="5">
        <f t="shared" si="6"/>
        <v>46122.57030092593</v>
      </c>
      <c r="F76" s="6">
        <f t="shared" si="7"/>
        <v>46122</v>
      </c>
      <c r="G76" s="7">
        <f t="shared" si="8"/>
        <v>0.57030092593049631</v>
      </c>
      <c r="H76">
        <f t="shared" si="9"/>
        <v>4</v>
      </c>
      <c r="I76">
        <f t="shared" si="10"/>
        <v>2026</v>
      </c>
      <c r="J76">
        <f t="shared" si="11"/>
        <v>13</v>
      </c>
      <c r="K76" t="s">
        <v>494</v>
      </c>
      <c r="L76" t="s">
        <v>116</v>
      </c>
      <c r="M76" t="s">
        <v>469</v>
      </c>
      <c r="N76" t="s">
        <v>117</v>
      </c>
      <c r="P76" t="b">
        <v>1</v>
      </c>
      <c r="Q76">
        <v>0</v>
      </c>
      <c r="R76" t="s">
        <v>495</v>
      </c>
      <c r="S76">
        <v>0</v>
      </c>
      <c r="T76" t="s">
        <v>153</v>
      </c>
      <c r="U76" t="s">
        <v>146</v>
      </c>
    </row>
    <row r="77" spans="1:21" x14ac:dyDescent="0.35">
      <c r="A77" t="s">
        <v>496</v>
      </c>
      <c r="B77" t="s">
        <v>36</v>
      </c>
      <c r="C77" t="s">
        <v>497</v>
      </c>
      <c r="D77" t="s">
        <v>498</v>
      </c>
      <c r="E77" s="5">
        <f t="shared" si="6"/>
        <v>46209.566689814819</v>
      </c>
      <c r="F77" s="6">
        <f t="shared" si="7"/>
        <v>46209</v>
      </c>
      <c r="G77" s="7">
        <f t="shared" si="8"/>
        <v>0.56668981481925584</v>
      </c>
      <c r="H77">
        <f t="shared" si="9"/>
        <v>7</v>
      </c>
      <c r="I77">
        <f t="shared" si="10"/>
        <v>2026</v>
      </c>
      <c r="J77">
        <f t="shared" si="11"/>
        <v>13</v>
      </c>
      <c r="K77" t="s">
        <v>499</v>
      </c>
      <c r="L77" t="s">
        <v>116</v>
      </c>
      <c r="M77" t="s">
        <v>117</v>
      </c>
      <c r="R77" t="s">
        <v>500</v>
      </c>
      <c r="T77" t="s">
        <v>119</v>
      </c>
      <c r="U77" t="s">
        <v>146</v>
      </c>
    </row>
    <row r="78" spans="1:21" x14ac:dyDescent="0.35">
      <c r="A78" t="s">
        <v>501</v>
      </c>
      <c r="B78" t="s">
        <v>36</v>
      </c>
      <c r="C78" t="s">
        <v>502</v>
      </c>
      <c r="D78" t="s">
        <v>503</v>
      </c>
      <c r="E78" s="5">
        <f t="shared" si="6"/>
        <v>46176.078946759262</v>
      </c>
      <c r="F78" s="6">
        <f t="shared" si="7"/>
        <v>46176</v>
      </c>
      <c r="G78" s="7">
        <f t="shared" si="8"/>
        <v>7.8946759262180422E-2</v>
      </c>
      <c r="H78">
        <f t="shared" si="9"/>
        <v>6</v>
      </c>
      <c r="I78">
        <f t="shared" si="10"/>
        <v>2026</v>
      </c>
      <c r="J78">
        <f t="shared" si="11"/>
        <v>1</v>
      </c>
      <c r="K78" t="s">
        <v>504</v>
      </c>
      <c r="L78" t="s">
        <v>116</v>
      </c>
      <c r="M78" t="s">
        <v>117</v>
      </c>
      <c r="P78" t="b">
        <v>1</v>
      </c>
      <c r="R78" t="s">
        <v>505</v>
      </c>
      <c r="T78" t="s">
        <v>119</v>
      </c>
      <c r="U78" t="s">
        <v>146</v>
      </c>
    </row>
    <row r="79" spans="1:21" x14ac:dyDescent="0.35">
      <c r="A79" t="s">
        <v>506</v>
      </c>
      <c r="B79" t="s">
        <v>36</v>
      </c>
      <c r="C79" t="s">
        <v>507</v>
      </c>
      <c r="D79" t="s">
        <v>508</v>
      </c>
      <c r="E79" s="5">
        <f t="shared" si="6"/>
        <v>46124.494571759264</v>
      </c>
      <c r="F79" s="6">
        <f t="shared" si="7"/>
        <v>46124</v>
      </c>
      <c r="G79" s="7">
        <f t="shared" si="8"/>
        <v>0.49457175926363561</v>
      </c>
      <c r="H79">
        <f t="shared" si="9"/>
        <v>4</v>
      </c>
      <c r="I79">
        <f t="shared" si="10"/>
        <v>2026</v>
      </c>
      <c r="J79">
        <f t="shared" si="11"/>
        <v>11</v>
      </c>
      <c r="K79" t="s">
        <v>509</v>
      </c>
      <c r="L79" t="s">
        <v>116</v>
      </c>
      <c r="M79" t="s">
        <v>117</v>
      </c>
      <c r="R79" t="s">
        <v>510</v>
      </c>
      <c r="T79" t="s">
        <v>119</v>
      </c>
      <c r="U79" t="s">
        <v>146</v>
      </c>
    </row>
    <row r="80" spans="1:21" x14ac:dyDescent="0.35">
      <c r="A80" t="s">
        <v>511</v>
      </c>
      <c r="B80" t="s">
        <v>36</v>
      </c>
      <c r="C80" t="s">
        <v>512</v>
      </c>
      <c r="D80" t="s">
        <v>513</v>
      </c>
      <c r="E80" s="5">
        <f t="shared" si="6"/>
        <v>46112.416307870371</v>
      </c>
      <c r="F80" s="6">
        <f t="shared" si="7"/>
        <v>46112</v>
      </c>
      <c r="G80" s="7">
        <f t="shared" si="8"/>
        <v>0.41630787037138361</v>
      </c>
      <c r="H80">
        <f t="shared" si="9"/>
        <v>3</v>
      </c>
      <c r="I80">
        <f t="shared" si="10"/>
        <v>2026</v>
      </c>
      <c r="J80">
        <f t="shared" si="11"/>
        <v>9</v>
      </c>
      <c r="K80" t="s">
        <v>514</v>
      </c>
      <c r="L80" t="s">
        <v>116</v>
      </c>
      <c r="M80" t="s">
        <v>117</v>
      </c>
      <c r="P80" t="b">
        <v>1</v>
      </c>
      <c r="R80" t="s">
        <v>515</v>
      </c>
      <c r="T80" t="s">
        <v>119</v>
      </c>
      <c r="U80" t="s">
        <v>120</v>
      </c>
    </row>
    <row r="81" spans="1:21" x14ac:dyDescent="0.35">
      <c r="A81" t="s">
        <v>516</v>
      </c>
      <c r="B81" t="s">
        <v>36</v>
      </c>
      <c r="C81" t="s">
        <v>517</v>
      </c>
      <c r="D81" t="s">
        <v>518</v>
      </c>
      <c r="E81" s="5">
        <f t="shared" si="6"/>
        <v>46032.579942129625</v>
      </c>
      <c r="F81" s="6">
        <f t="shared" si="7"/>
        <v>46032</v>
      </c>
      <c r="G81" s="7">
        <f t="shared" si="8"/>
        <v>0.57994212962512393</v>
      </c>
      <c r="H81">
        <f t="shared" si="9"/>
        <v>1</v>
      </c>
      <c r="I81">
        <f t="shared" si="10"/>
        <v>2026</v>
      </c>
      <c r="J81">
        <f t="shared" si="11"/>
        <v>13</v>
      </c>
      <c r="K81" t="s">
        <v>519</v>
      </c>
      <c r="L81" t="s">
        <v>116</v>
      </c>
      <c r="M81" t="s">
        <v>117</v>
      </c>
      <c r="P81" t="b">
        <v>1</v>
      </c>
      <c r="T81" t="s">
        <v>119</v>
      </c>
      <c r="U81" t="s">
        <v>120</v>
      </c>
    </row>
    <row r="82" spans="1:21" x14ac:dyDescent="0.35">
      <c r="A82" t="s">
        <v>520</v>
      </c>
      <c r="B82" t="s">
        <v>38</v>
      </c>
      <c r="C82" t="s">
        <v>521</v>
      </c>
      <c r="D82" t="s">
        <v>522</v>
      </c>
      <c r="E82" s="5">
        <f t="shared" si="6"/>
        <v>46264.699722222227</v>
      </c>
      <c r="F82" s="6">
        <f t="shared" si="7"/>
        <v>46264</v>
      </c>
      <c r="G82" s="7">
        <f t="shared" si="8"/>
        <v>0.69972222222713754</v>
      </c>
      <c r="H82">
        <f t="shared" si="9"/>
        <v>8</v>
      </c>
      <c r="I82">
        <f t="shared" si="10"/>
        <v>2026</v>
      </c>
      <c r="J82">
        <f t="shared" si="11"/>
        <v>16</v>
      </c>
      <c r="K82" t="s">
        <v>523</v>
      </c>
      <c r="L82" t="s">
        <v>116</v>
      </c>
      <c r="M82" t="s">
        <v>117</v>
      </c>
      <c r="P82" t="b">
        <v>0</v>
      </c>
      <c r="R82" t="s">
        <v>524</v>
      </c>
      <c r="T82" t="s">
        <v>119</v>
      </c>
      <c r="U82" t="s">
        <v>120</v>
      </c>
    </row>
    <row r="83" spans="1:21" x14ac:dyDescent="0.35">
      <c r="A83" t="s">
        <v>525</v>
      </c>
      <c r="B83" t="s">
        <v>38</v>
      </c>
      <c r="C83" t="s">
        <v>526</v>
      </c>
      <c r="D83" t="s">
        <v>527</v>
      </c>
      <c r="E83" s="5">
        <f t="shared" si="6"/>
        <v>46249.688067129631</v>
      </c>
      <c r="F83" s="6">
        <f t="shared" si="7"/>
        <v>46249</v>
      </c>
      <c r="G83" s="7">
        <f t="shared" si="8"/>
        <v>0.68806712963123573</v>
      </c>
      <c r="H83">
        <f t="shared" si="9"/>
        <v>8</v>
      </c>
      <c r="I83">
        <f t="shared" si="10"/>
        <v>2026</v>
      </c>
      <c r="J83">
        <f t="shared" si="11"/>
        <v>16</v>
      </c>
      <c r="K83" t="s">
        <v>528</v>
      </c>
      <c r="L83" t="s">
        <v>116</v>
      </c>
      <c r="M83" t="s">
        <v>117</v>
      </c>
      <c r="P83" t="b">
        <v>0</v>
      </c>
      <c r="R83" t="s">
        <v>529</v>
      </c>
      <c r="T83" t="s">
        <v>119</v>
      </c>
      <c r="U83" t="s">
        <v>146</v>
      </c>
    </row>
    <row r="84" spans="1:21" x14ac:dyDescent="0.35">
      <c r="A84" t="s">
        <v>530</v>
      </c>
      <c r="B84" t="s">
        <v>38</v>
      </c>
      <c r="C84" t="s">
        <v>531</v>
      </c>
      <c r="D84" t="s">
        <v>532</v>
      </c>
      <c r="E84" s="5">
        <f t="shared" si="6"/>
        <v>46248.587037037039</v>
      </c>
      <c r="F84" s="6">
        <f t="shared" si="7"/>
        <v>46248</v>
      </c>
      <c r="G84" s="7">
        <f t="shared" si="8"/>
        <v>0.58703703703940846</v>
      </c>
      <c r="H84">
        <f t="shared" si="9"/>
        <v>8</v>
      </c>
      <c r="I84">
        <f t="shared" si="10"/>
        <v>2026</v>
      </c>
      <c r="J84">
        <f t="shared" si="11"/>
        <v>14</v>
      </c>
      <c r="K84" t="s">
        <v>533</v>
      </c>
      <c r="L84" t="s">
        <v>116</v>
      </c>
      <c r="M84" t="s">
        <v>117</v>
      </c>
      <c r="P84" t="b">
        <v>0</v>
      </c>
      <c r="R84" t="s">
        <v>534</v>
      </c>
      <c r="T84" t="s">
        <v>119</v>
      </c>
      <c r="U84" t="s">
        <v>120</v>
      </c>
    </row>
    <row r="85" spans="1:21" x14ac:dyDescent="0.35">
      <c r="A85" t="s">
        <v>535</v>
      </c>
      <c r="B85" t="s">
        <v>38</v>
      </c>
      <c r="C85" t="s">
        <v>536</v>
      </c>
      <c r="D85" t="s">
        <v>537</v>
      </c>
      <c r="E85" s="5">
        <f t="shared" si="6"/>
        <v>46248.586550925931</v>
      </c>
      <c r="F85" s="6">
        <f t="shared" si="7"/>
        <v>46248</v>
      </c>
      <c r="G85" s="7">
        <f t="shared" si="8"/>
        <v>0.58655092593107838</v>
      </c>
      <c r="H85">
        <f t="shared" si="9"/>
        <v>8</v>
      </c>
      <c r="I85">
        <f t="shared" si="10"/>
        <v>2026</v>
      </c>
      <c r="J85">
        <f t="shared" si="11"/>
        <v>14</v>
      </c>
      <c r="K85" t="s">
        <v>538</v>
      </c>
      <c r="L85" t="s">
        <v>116</v>
      </c>
      <c r="M85" t="s">
        <v>117</v>
      </c>
      <c r="P85" t="b">
        <v>0</v>
      </c>
      <c r="R85" t="s">
        <v>539</v>
      </c>
      <c r="T85" t="s">
        <v>119</v>
      </c>
      <c r="U85" t="s">
        <v>120</v>
      </c>
    </row>
    <row r="86" spans="1:21" x14ac:dyDescent="0.35">
      <c r="A86" t="s">
        <v>540</v>
      </c>
      <c r="B86" t="s">
        <v>38</v>
      </c>
      <c r="C86" t="s">
        <v>541</v>
      </c>
      <c r="D86" t="s">
        <v>542</v>
      </c>
      <c r="E86" s="5">
        <f t="shared" si="6"/>
        <v>46246.545891203707</v>
      </c>
      <c r="F86" s="6">
        <f t="shared" si="7"/>
        <v>46246</v>
      </c>
      <c r="G86" s="7">
        <f t="shared" si="8"/>
        <v>0.54589120370656019</v>
      </c>
      <c r="H86">
        <f t="shared" si="9"/>
        <v>8</v>
      </c>
      <c r="I86">
        <f t="shared" si="10"/>
        <v>2026</v>
      </c>
      <c r="J86">
        <f t="shared" si="11"/>
        <v>13</v>
      </c>
      <c r="K86" t="s">
        <v>543</v>
      </c>
      <c r="L86" t="s">
        <v>116</v>
      </c>
      <c r="M86" t="s">
        <v>117</v>
      </c>
      <c r="P86" t="b">
        <v>0</v>
      </c>
      <c r="R86" t="s">
        <v>544</v>
      </c>
      <c r="T86" t="s">
        <v>119</v>
      </c>
      <c r="U86" t="s">
        <v>120</v>
      </c>
    </row>
    <row r="87" spans="1:21" x14ac:dyDescent="0.35">
      <c r="A87" t="s">
        <v>545</v>
      </c>
      <c r="B87" t="s">
        <v>38</v>
      </c>
      <c r="C87" t="s">
        <v>546</v>
      </c>
      <c r="D87" t="s">
        <v>547</v>
      </c>
      <c r="E87" s="5">
        <f t="shared" si="6"/>
        <v>46241.660960648151</v>
      </c>
      <c r="F87" s="6">
        <f t="shared" si="7"/>
        <v>46241</v>
      </c>
      <c r="G87" s="7">
        <f t="shared" si="8"/>
        <v>0.66096064815064892</v>
      </c>
      <c r="H87">
        <f t="shared" si="9"/>
        <v>8</v>
      </c>
      <c r="I87">
        <f t="shared" si="10"/>
        <v>2026</v>
      </c>
      <c r="J87">
        <f t="shared" si="11"/>
        <v>15</v>
      </c>
      <c r="K87" t="s">
        <v>548</v>
      </c>
      <c r="L87" t="s">
        <v>116</v>
      </c>
      <c r="M87" t="s">
        <v>117</v>
      </c>
      <c r="P87" t="b">
        <v>0</v>
      </c>
      <c r="R87" t="s">
        <v>549</v>
      </c>
      <c r="T87" t="s">
        <v>119</v>
      </c>
      <c r="U87" t="s">
        <v>120</v>
      </c>
    </row>
    <row r="88" spans="1:21" x14ac:dyDescent="0.35">
      <c r="A88" t="s">
        <v>550</v>
      </c>
      <c r="B88" t="s">
        <v>38</v>
      </c>
      <c r="C88" t="s">
        <v>551</v>
      </c>
      <c r="D88" t="s">
        <v>552</v>
      </c>
      <c r="E88" s="5">
        <f t="shared" si="6"/>
        <v>46241.601574074077</v>
      </c>
      <c r="F88" s="6">
        <f t="shared" si="7"/>
        <v>46241</v>
      </c>
      <c r="G88" s="7">
        <f t="shared" si="8"/>
        <v>0.60157407407677965</v>
      </c>
      <c r="H88">
        <f t="shared" si="9"/>
        <v>8</v>
      </c>
      <c r="I88">
        <f t="shared" si="10"/>
        <v>2026</v>
      </c>
      <c r="J88">
        <f t="shared" si="11"/>
        <v>14</v>
      </c>
      <c r="K88" t="s">
        <v>553</v>
      </c>
      <c r="L88" t="s">
        <v>116</v>
      </c>
      <c r="M88" t="s">
        <v>117</v>
      </c>
      <c r="P88" t="b">
        <v>0</v>
      </c>
      <c r="R88" t="s">
        <v>554</v>
      </c>
      <c r="T88" t="s">
        <v>119</v>
      </c>
      <c r="U88" t="s">
        <v>120</v>
      </c>
    </row>
    <row r="89" spans="1:21" x14ac:dyDescent="0.35">
      <c r="A89" t="s">
        <v>555</v>
      </c>
      <c r="B89" t="s">
        <v>38</v>
      </c>
      <c r="C89" t="s">
        <v>556</v>
      </c>
      <c r="D89" t="s">
        <v>557</v>
      </c>
      <c r="E89" s="5">
        <f t="shared" si="6"/>
        <v>46241.480451388888</v>
      </c>
      <c r="F89" s="6">
        <f t="shared" si="7"/>
        <v>46241</v>
      </c>
      <c r="G89" s="7">
        <f t="shared" si="8"/>
        <v>0.4804513888884685</v>
      </c>
      <c r="H89">
        <f t="shared" si="9"/>
        <v>8</v>
      </c>
      <c r="I89">
        <f t="shared" si="10"/>
        <v>2026</v>
      </c>
      <c r="J89">
        <f t="shared" si="11"/>
        <v>11</v>
      </c>
      <c r="K89" t="s">
        <v>558</v>
      </c>
      <c r="L89" t="s">
        <v>116</v>
      </c>
      <c r="M89" t="s">
        <v>117</v>
      </c>
      <c r="P89" t="b">
        <v>0</v>
      </c>
      <c r="R89" t="s">
        <v>559</v>
      </c>
      <c r="T89" t="s">
        <v>119</v>
      </c>
      <c r="U89" t="s">
        <v>120</v>
      </c>
    </row>
    <row r="90" spans="1:21" x14ac:dyDescent="0.35">
      <c r="A90" t="s">
        <v>560</v>
      </c>
      <c r="B90" t="s">
        <v>38</v>
      </c>
      <c r="C90" t="s">
        <v>561</v>
      </c>
      <c r="D90" t="s">
        <v>562</v>
      </c>
      <c r="E90" s="5">
        <f t="shared" si="6"/>
        <v>46231.518043981487</v>
      </c>
      <c r="F90" s="6">
        <f t="shared" si="7"/>
        <v>46231</v>
      </c>
      <c r="G90" s="7">
        <f t="shared" si="8"/>
        <v>0.51804398148669861</v>
      </c>
      <c r="H90">
        <f t="shared" si="9"/>
        <v>7</v>
      </c>
      <c r="I90">
        <f t="shared" si="10"/>
        <v>2026</v>
      </c>
      <c r="J90">
        <f t="shared" si="11"/>
        <v>12</v>
      </c>
      <c r="K90" t="s">
        <v>563</v>
      </c>
      <c r="L90" t="s">
        <v>116</v>
      </c>
      <c r="M90" t="s">
        <v>117</v>
      </c>
      <c r="P90" t="b">
        <v>0</v>
      </c>
      <c r="R90" t="s">
        <v>564</v>
      </c>
      <c r="T90" t="s">
        <v>119</v>
      </c>
      <c r="U90" t="s">
        <v>120</v>
      </c>
    </row>
    <row r="91" spans="1:21" x14ac:dyDescent="0.35">
      <c r="A91" t="s">
        <v>565</v>
      </c>
      <c r="B91" t="s">
        <v>38</v>
      </c>
      <c r="C91" t="s">
        <v>566</v>
      </c>
      <c r="D91" t="s">
        <v>567</v>
      </c>
      <c r="E91" s="5">
        <f t="shared" si="6"/>
        <v>46230.786261574074</v>
      </c>
      <c r="F91" s="6">
        <f t="shared" si="7"/>
        <v>46230</v>
      </c>
      <c r="G91" s="7">
        <f t="shared" si="8"/>
        <v>0.78626157407416031</v>
      </c>
      <c r="H91">
        <f t="shared" si="9"/>
        <v>7</v>
      </c>
      <c r="I91">
        <f t="shared" si="10"/>
        <v>2026</v>
      </c>
      <c r="J91">
        <f t="shared" si="11"/>
        <v>18</v>
      </c>
      <c r="K91" t="s">
        <v>568</v>
      </c>
      <c r="L91" t="s">
        <v>116</v>
      </c>
      <c r="M91" t="s">
        <v>117</v>
      </c>
      <c r="P91" t="b">
        <v>0</v>
      </c>
      <c r="R91" t="s">
        <v>569</v>
      </c>
      <c r="T91" t="s">
        <v>119</v>
      </c>
      <c r="U91" t="s">
        <v>120</v>
      </c>
    </row>
    <row r="92" spans="1:21" x14ac:dyDescent="0.35">
      <c r="A92" t="s">
        <v>570</v>
      </c>
      <c r="B92" t="s">
        <v>38</v>
      </c>
      <c r="C92" t="s">
        <v>571</v>
      </c>
      <c r="D92" t="s">
        <v>572</v>
      </c>
      <c r="E92" s="5">
        <f t="shared" si="6"/>
        <v>46230.758831018524</v>
      </c>
      <c r="F92" s="6">
        <f t="shared" si="7"/>
        <v>46230</v>
      </c>
      <c r="G92" s="7">
        <f t="shared" si="8"/>
        <v>0.75883101852377877</v>
      </c>
      <c r="H92">
        <f t="shared" si="9"/>
        <v>7</v>
      </c>
      <c r="I92">
        <f t="shared" si="10"/>
        <v>2026</v>
      </c>
      <c r="J92">
        <f t="shared" si="11"/>
        <v>18</v>
      </c>
      <c r="K92" t="s">
        <v>573</v>
      </c>
      <c r="L92" t="s">
        <v>116</v>
      </c>
      <c r="M92" t="s">
        <v>117</v>
      </c>
      <c r="P92" t="b">
        <v>0</v>
      </c>
      <c r="R92" t="s">
        <v>574</v>
      </c>
      <c r="T92" t="s">
        <v>119</v>
      </c>
      <c r="U92" t="s">
        <v>120</v>
      </c>
    </row>
    <row r="93" spans="1:21" x14ac:dyDescent="0.35">
      <c r="A93" t="s">
        <v>575</v>
      </c>
      <c r="B93" t="s">
        <v>38</v>
      </c>
      <c r="C93" t="s">
        <v>576</v>
      </c>
      <c r="D93" t="s">
        <v>577</v>
      </c>
      <c r="E93" s="5">
        <f t="shared" si="6"/>
        <v>46228.767256944448</v>
      </c>
      <c r="F93" s="6">
        <f t="shared" si="7"/>
        <v>46228</v>
      </c>
      <c r="G93" s="7">
        <f t="shared" si="8"/>
        <v>0.76725694444758119</v>
      </c>
      <c r="H93">
        <f t="shared" si="9"/>
        <v>7</v>
      </c>
      <c r="I93">
        <f t="shared" si="10"/>
        <v>2026</v>
      </c>
      <c r="J93">
        <f t="shared" si="11"/>
        <v>18</v>
      </c>
      <c r="K93" t="s">
        <v>578</v>
      </c>
      <c r="L93" t="s">
        <v>116</v>
      </c>
      <c r="M93" t="s">
        <v>117</v>
      </c>
      <c r="P93" t="b">
        <v>0</v>
      </c>
      <c r="R93" t="s">
        <v>579</v>
      </c>
      <c r="T93" t="s">
        <v>119</v>
      </c>
      <c r="U93" t="s">
        <v>120</v>
      </c>
    </row>
    <row r="94" spans="1:21" x14ac:dyDescent="0.35">
      <c r="A94" t="s">
        <v>580</v>
      </c>
      <c r="B94" t="s">
        <v>38</v>
      </c>
      <c r="C94" t="s">
        <v>581</v>
      </c>
      <c r="D94" t="s">
        <v>582</v>
      </c>
      <c r="E94" s="5">
        <f t="shared" si="6"/>
        <v>46228.582164351858</v>
      </c>
      <c r="F94" s="6">
        <f t="shared" si="7"/>
        <v>46228</v>
      </c>
      <c r="G94" s="7">
        <f t="shared" si="8"/>
        <v>0.58216435185750015</v>
      </c>
      <c r="H94">
        <f t="shared" si="9"/>
        <v>7</v>
      </c>
      <c r="I94">
        <f t="shared" si="10"/>
        <v>2026</v>
      </c>
      <c r="J94">
        <f t="shared" si="11"/>
        <v>13</v>
      </c>
      <c r="K94" t="s">
        <v>583</v>
      </c>
      <c r="L94" t="s">
        <v>116</v>
      </c>
      <c r="M94" t="s">
        <v>117</v>
      </c>
      <c r="P94" t="b">
        <v>0</v>
      </c>
      <c r="R94" t="s">
        <v>584</v>
      </c>
      <c r="T94" t="s">
        <v>119</v>
      </c>
      <c r="U94" t="s">
        <v>120</v>
      </c>
    </row>
    <row r="95" spans="1:21" x14ac:dyDescent="0.35">
      <c r="A95" t="s">
        <v>585</v>
      </c>
      <c r="B95" t="s">
        <v>38</v>
      </c>
      <c r="C95" t="s">
        <v>586</v>
      </c>
      <c r="D95" t="s">
        <v>587</v>
      </c>
      <c r="E95" s="5">
        <f t="shared" si="6"/>
        <v>46226.846030092594</v>
      </c>
      <c r="F95" s="6">
        <f t="shared" si="7"/>
        <v>46226</v>
      </c>
      <c r="G95" s="7">
        <f t="shared" si="8"/>
        <v>0.84603009259444661</v>
      </c>
      <c r="H95">
        <f t="shared" si="9"/>
        <v>7</v>
      </c>
      <c r="I95">
        <f t="shared" si="10"/>
        <v>2026</v>
      </c>
      <c r="J95">
        <f t="shared" si="11"/>
        <v>20</v>
      </c>
      <c r="K95" t="s">
        <v>588</v>
      </c>
      <c r="L95" t="s">
        <v>116</v>
      </c>
      <c r="M95" t="s">
        <v>117</v>
      </c>
      <c r="P95" t="b">
        <v>0</v>
      </c>
      <c r="R95" t="s">
        <v>589</v>
      </c>
      <c r="T95" t="s">
        <v>119</v>
      </c>
      <c r="U95" t="s">
        <v>120</v>
      </c>
    </row>
    <row r="96" spans="1:21" x14ac:dyDescent="0.35">
      <c r="A96" t="s">
        <v>590</v>
      </c>
      <c r="B96" t="s">
        <v>38</v>
      </c>
      <c r="C96" t="s">
        <v>591</v>
      </c>
      <c r="D96" t="s">
        <v>592</v>
      </c>
      <c r="E96" s="5">
        <f t="shared" si="6"/>
        <v>46224.500138888892</v>
      </c>
      <c r="F96" s="6">
        <f t="shared" si="7"/>
        <v>46224</v>
      </c>
      <c r="G96" s="7">
        <f t="shared" si="8"/>
        <v>0.500138888892252</v>
      </c>
      <c r="H96">
        <f t="shared" si="9"/>
        <v>7</v>
      </c>
      <c r="I96">
        <f t="shared" si="10"/>
        <v>2026</v>
      </c>
      <c r="J96">
        <f t="shared" si="11"/>
        <v>12</v>
      </c>
      <c r="K96" t="s">
        <v>593</v>
      </c>
      <c r="L96" t="s">
        <v>116</v>
      </c>
      <c r="M96" t="s">
        <v>117</v>
      </c>
      <c r="P96" t="b">
        <v>0</v>
      </c>
      <c r="R96" t="s">
        <v>594</v>
      </c>
      <c r="T96" t="s">
        <v>119</v>
      </c>
      <c r="U96" t="s">
        <v>120</v>
      </c>
    </row>
    <row r="97" spans="1:21" x14ac:dyDescent="0.35">
      <c r="A97" t="s">
        <v>595</v>
      </c>
      <c r="B97" t="s">
        <v>38</v>
      </c>
      <c r="C97" t="s">
        <v>596</v>
      </c>
      <c r="D97" t="s">
        <v>597</v>
      </c>
      <c r="E97" s="5">
        <f t="shared" si="6"/>
        <v>46220.706354166672</v>
      </c>
      <c r="F97" s="6">
        <f t="shared" si="7"/>
        <v>46220</v>
      </c>
      <c r="G97" s="7">
        <f t="shared" si="8"/>
        <v>0.70635416667209938</v>
      </c>
      <c r="H97">
        <f t="shared" si="9"/>
        <v>7</v>
      </c>
      <c r="I97">
        <f t="shared" si="10"/>
        <v>2026</v>
      </c>
      <c r="J97">
        <f t="shared" si="11"/>
        <v>16</v>
      </c>
      <c r="K97" t="s">
        <v>598</v>
      </c>
      <c r="L97" t="s">
        <v>116</v>
      </c>
      <c r="M97" t="s">
        <v>117</v>
      </c>
      <c r="P97" t="b">
        <v>0</v>
      </c>
      <c r="R97" t="s">
        <v>599</v>
      </c>
      <c r="T97" t="s">
        <v>119</v>
      </c>
      <c r="U97" t="s">
        <v>120</v>
      </c>
    </row>
    <row r="98" spans="1:21" x14ac:dyDescent="0.35">
      <c r="A98" t="s">
        <v>600</v>
      </c>
      <c r="B98" t="s">
        <v>38</v>
      </c>
      <c r="C98" t="s">
        <v>601</v>
      </c>
      <c r="D98" t="s">
        <v>602</v>
      </c>
      <c r="E98" s="5">
        <f t="shared" si="6"/>
        <v>46220.491620370376</v>
      </c>
      <c r="F98" s="6">
        <f t="shared" si="7"/>
        <v>46220</v>
      </c>
      <c r="G98" s="7">
        <f t="shared" si="8"/>
        <v>0.49162037037604023</v>
      </c>
      <c r="H98">
        <f t="shared" si="9"/>
        <v>7</v>
      </c>
      <c r="I98">
        <f t="shared" si="10"/>
        <v>2026</v>
      </c>
      <c r="J98">
        <f t="shared" si="11"/>
        <v>11</v>
      </c>
      <c r="K98" t="s">
        <v>603</v>
      </c>
      <c r="L98" t="s">
        <v>116</v>
      </c>
      <c r="M98" t="s">
        <v>117</v>
      </c>
      <c r="P98" t="b">
        <v>0</v>
      </c>
      <c r="R98" t="s">
        <v>604</v>
      </c>
      <c r="T98" t="s">
        <v>119</v>
      </c>
      <c r="U98" t="s">
        <v>120</v>
      </c>
    </row>
    <row r="99" spans="1:21" x14ac:dyDescent="0.35">
      <c r="A99" t="s">
        <v>605</v>
      </c>
      <c r="B99" t="s">
        <v>38</v>
      </c>
      <c r="C99" t="s">
        <v>606</v>
      </c>
      <c r="D99" t="s">
        <v>607</v>
      </c>
      <c r="E99" s="5">
        <f t="shared" si="6"/>
        <v>46220.481481481482</v>
      </c>
      <c r="F99" s="6">
        <f t="shared" si="7"/>
        <v>46220</v>
      </c>
      <c r="G99" s="7">
        <f t="shared" si="8"/>
        <v>0.48148148148175096</v>
      </c>
      <c r="H99">
        <f t="shared" si="9"/>
        <v>7</v>
      </c>
      <c r="I99">
        <f t="shared" si="10"/>
        <v>2026</v>
      </c>
      <c r="J99">
        <f t="shared" si="11"/>
        <v>11</v>
      </c>
      <c r="K99" t="s">
        <v>608</v>
      </c>
      <c r="L99" t="s">
        <v>116</v>
      </c>
      <c r="M99" t="s">
        <v>117</v>
      </c>
      <c r="P99" t="b">
        <v>0</v>
      </c>
      <c r="R99" t="s">
        <v>609</v>
      </c>
      <c r="T99" t="s">
        <v>119</v>
      </c>
      <c r="U99" t="s">
        <v>120</v>
      </c>
    </row>
    <row r="100" spans="1:21" x14ac:dyDescent="0.35">
      <c r="A100" t="s">
        <v>610</v>
      </c>
      <c r="B100" t="s">
        <v>38</v>
      </c>
      <c r="C100" t="s">
        <v>611</v>
      </c>
      <c r="D100" t="s">
        <v>612</v>
      </c>
      <c r="E100" s="5">
        <f t="shared" si="6"/>
        <v>46219.731203703705</v>
      </c>
      <c r="F100" s="6">
        <f t="shared" si="7"/>
        <v>46219</v>
      </c>
      <c r="G100" s="7">
        <f t="shared" si="8"/>
        <v>0.73120370370452292</v>
      </c>
      <c r="H100">
        <f t="shared" si="9"/>
        <v>7</v>
      </c>
      <c r="I100">
        <f t="shared" si="10"/>
        <v>2026</v>
      </c>
      <c r="J100">
        <f t="shared" si="11"/>
        <v>17</v>
      </c>
      <c r="K100" t="s">
        <v>613</v>
      </c>
      <c r="L100" t="s">
        <v>116</v>
      </c>
      <c r="M100" t="s">
        <v>117</v>
      </c>
      <c r="P100" t="b">
        <v>0</v>
      </c>
      <c r="R100" t="s">
        <v>614</v>
      </c>
      <c r="T100" t="s">
        <v>119</v>
      </c>
      <c r="U100" t="s">
        <v>120</v>
      </c>
    </row>
    <row r="101" spans="1:21" x14ac:dyDescent="0.35">
      <c r="A101" t="s">
        <v>615</v>
      </c>
      <c r="B101" t="s">
        <v>38</v>
      </c>
      <c r="C101" t="s">
        <v>616</v>
      </c>
      <c r="D101" t="s">
        <v>617</v>
      </c>
      <c r="E101" s="5">
        <f t="shared" si="6"/>
        <v>46219.697395833333</v>
      </c>
      <c r="F101" s="6">
        <f t="shared" si="7"/>
        <v>46219</v>
      </c>
      <c r="G101" s="7">
        <f t="shared" si="8"/>
        <v>0.69739583333284827</v>
      </c>
      <c r="H101">
        <f t="shared" si="9"/>
        <v>7</v>
      </c>
      <c r="I101">
        <f t="shared" si="10"/>
        <v>2026</v>
      </c>
      <c r="J101">
        <f t="shared" si="11"/>
        <v>16</v>
      </c>
      <c r="K101" t="s">
        <v>618</v>
      </c>
      <c r="L101" t="s">
        <v>116</v>
      </c>
      <c r="M101" t="s">
        <v>117</v>
      </c>
      <c r="P101" t="b">
        <v>0</v>
      </c>
      <c r="R101" t="s">
        <v>619</v>
      </c>
      <c r="T101" t="s">
        <v>119</v>
      </c>
      <c r="U101" t="s">
        <v>120</v>
      </c>
    </row>
    <row r="102" spans="1:21" x14ac:dyDescent="0.35">
      <c r="A102" t="s">
        <v>620</v>
      </c>
      <c r="B102" t="s">
        <v>38</v>
      </c>
      <c r="C102" t="s">
        <v>621</v>
      </c>
      <c r="D102" t="s">
        <v>622</v>
      </c>
      <c r="E102" s="5">
        <f t="shared" si="6"/>
        <v>46219.537731481483</v>
      </c>
      <c r="F102" s="6">
        <f t="shared" si="7"/>
        <v>46219</v>
      </c>
      <c r="G102" s="7">
        <f t="shared" si="8"/>
        <v>0.53773148148320615</v>
      </c>
      <c r="H102">
        <f t="shared" si="9"/>
        <v>7</v>
      </c>
      <c r="I102">
        <f t="shared" si="10"/>
        <v>2026</v>
      </c>
      <c r="J102">
        <f t="shared" si="11"/>
        <v>12</v>
      </c>
      <c r="K102" t="s">
        <v>623</v>
      </c>
      <c r="L102" t="s">
        <v>116</v>
      </c>
      <c r="M102" t="s">
        <v>117</v>
      </c>
      <c r="P102" t="b">
        <v>0</v>
      </c>
      <c r="R102" t="s">
        <v>624</v>
      </c>
      <c r="T102" t="s">
        <v>119</v>
      </c>
      <c r="U102" t="s">
        <v>120</v>
      </c>
    </row>
    <row r="103" spans="1:21" x14ac:dyDescent="0.35">
      <c r="A103" t="s">
        <v>625</v>
      </c>
      <c r="B103" t="s">
        <v>38</v>
      </c>
      <c r="C103" t="s">
        <v>626</v>
      </c>
      <c r="D103" t="s">
        <v>627</v>
      </c>
      <c r="E103" s="5">
        <f t="shared" si="6"/>
        <v>46215.819143518522</v>
      </c>
      <c r="F103" s="6">
        <f t="shared" si="7"/>
        <v>46215</v>
      </c>
      <c r="G103" s="7">
        <f t="shared" si="8"/>
        <v>0.8191435185217415</v>
      </c>
      <c r="H103">
        <f t="shared" si="9"/>
        <v>7</v>
      </c>
      <c r="I103">
        <f t="shared" si="10"/>
        <v>2026</v>
      </c>
      <c r="J103">
        <f t="shared" si="11"/>
        <v>19</v>
      </c>
      <c r="K103" t="s">
        <v>628</v>
      </c>
      <c r="L103" t="s">
        <v>116</v>
      </c>
      <c r="M103" t="s">
        <v>117</v>
      </c>
      <c r="P103" t="b">
        <v>0</v>
      </c>
      <c r="R103" t="s">
        <v>629</v>
      </c>
      <c r="T103" t="s">
        <v>119</v>
      </c>
      <c r="U103" t="s">
        <v>120</v>
      </c>
    </row>
    <row r="104" spans="1:21" x14ac:dyDescent="0.35">
      <c r="A104" t="s">
        <v>630</v>
      </c>
      <c r="B104" t="s">
        <v>38</v>
      </c>
      <c r="C104" t="s">
        <v>631</v>
      </c>
      <c r="D104" t="s">
        <v>632</v>
      </c>
      <c r="E104" s="5">
        <f t="shared" si="6"/>
        <v>46208.62295138889</v>
      </c>
      <c r="F104" s="6">
        <f t="shared" si="7"/>
        <v>46208</v>
      </c>
      <c r="G104" s="7">
        <f t="shared" si="8"/>
        <v>0.62295138889021473</v>
      </c>
      <c r="H104">
        <f t="shared" si="9"/>
        <v>7</v>
      </c>
      <c r="I104">
        <f t="shared" si="10"/>
        <v>2026</v>
      </c>
      <c r="J104">
        <f t="shared" si="11"/>
        <v>14</v>
      </c>
      <c r="K104" t="s">
        <v>633</v>
      </c>
      <c r="L104" t="s">
        <v>116</v>
      </c>
      <c r="M104" t="s">
        <v>117</v>
      </c>
      <c r="P104" t="b">
        <v>0</v>
      </c>
      <c r="R104" t="s">
        <v>634</v>
      </c>
      <c r="T104" t="s">
        <v>119</v>
      </c>
      <c r="U104" t="s">
        <v>120</v>
      </c>
    </row>
    <row r="105" spans="1:21" x14ac:dyDescent="0.35">
      <c r="A105" t="s">
        <v>635</v>
      </c>
      <c r="B105" t="s">
        <v>38</v>
      </c>
      <c r="C105" t="s">
        <v>636</v>
      </c>
      <c r="D105" t="s">
        <v>637</v>
      </c>
      <c r="E105" s="5">
        <f t="shared" si="6"/>
        <v>46207.647222222222</v>
      </c>
      <c r="F105" s="6">
        <f t="shared" si="7"/>
        <v>46207</v>
      </c>
      <c r="G105" s="7">
        <f t="shared" si="8"/>
        <v>0.64722222222189885</v>
      </c>
      <c r="H105">
        <f t="shared" si="9"/>
        <v>7</v>
      </c>
      <c r="I105">
        <f t="shared" si="10"/>
        <v>2026</v>
      </c>
      <c r="J105">
        <f t="shared" si="11"/>
        <v>15</v>
      </c>
      <c r="K105" t="s">
        <v>638</v>
      </c>
      <c r="L105" t="s">
        <v>116</v>
      </c>
      <c r="M105" t="s">
        <v>117</v>
      </c>
      <c r="P105" t="b">
        <v>0</v>
      </c>
      <c r="R105" t="s">
        <v>639</v>
      </c>
      <c r="T105" t="s">
        <v>119</v>
      </c>
      <c r="U105" t="s">
        <v>120</v>
      </c>
    </row>
    <row r="106" spans="1:21" x14ac:dyDescent="0.35">
      <c r="A106" t="s">
        <v>640</v>
      </c>
      <c r="B106" t="s">
        <v>38</v>
      </c>
      <c r="C106" t="s">
        <v>641</v>
      </c>
      <c r="D106" t="s">
        <v>642</v>
      </c>
      <c r="E106" s="5">
        <f t="shared" si="6"/>
        <v>46207.583495370374</v>
      </c>
      <c r="F106" s="6">
        <f t="shared" si="7"/>
        <v>46207</v>
      </c>
      <c r="G106" s="7">
        <f t="shared" si="8"/>
        <v>0.583495370374294</v>
      </c>
      <c r="H106">
        <f t="shared" si="9"/>
        <v>7</v>
      </c>
      <c r="I106">
        <f t="shared" si="10"/>
        <v>2026</v>
      </c>
      <c r="J106">
        <f t="shared" si="11"/>
        <v>14</v>
      </c>
      <c r="K106" t="s">
        <v>643</v>
      </c>
      <c r="L106" t="s">
        <v>116</v>
      </c>
      <c r="M106" t="s">
        <v>117</v>
      </c>
      <c r="P106" t="b">
        <v>0</v>
      </c>
      <c r="R106" t="s">
        <v>644</v>
      </c>
      <c r="T106" t="s">
        <v>119</v>
      </c>
      <c r="U106" t="s">
        <v>120</v>
      </c>
    </row>
    <row r="107" spans="1:21" x14ac:dyDescent="0.35">
      <c r="A107" t="s">
        <v>645</v>
      </c>
      <c r="B107" t="s">
        <v>38</v>
      </c>
      <c r="C107" t="s">
        <v>646</v>
      </c>
      <c r="D107" t="s">
        <v>647</v>
      </c>
      <c r="E107" s="5">
        <f t="shared" si="6"/>
        <v>46207.544861111113</v>
      </c>
      <c r="F107" s="6">
        <f t="shared" si="7"/>
        <v>46207</v>
      </c>
      <c r="G107" s="7">
        <f t="shared" si="8"/>
        <v>0.54486111111327773</v>
      </c>
      <c r="H107">
        <f t="shared" si="9"/>
        <v>7</v>
      </c>
      <c r="I107">
        <f t="shared" si="10"/>
        <v>2026</v>
      </c>
      <c r="J107">
        <f t="shared" si="11"/>
        <v>13</v>
      </c>
      <c r="K107" t="s">
        <v>648</v>
      </c>
      <c r="L107" t="s">
        <v>116</v>
      </c>
      <c r="M107" t="s">
        <v>117</v>
      </c>
      <c r="P107" t="b">
        <v>0</v>
      </c>
      <c r="R107" t="s">
        <v>649</v>
      </c>
      <c r="T107" t="s">
        <v>119</v>
      </c>
      <c r="U107" t="s">
        <v>120</v>
      </c>
    </row>
    <row r="108" spans="1:21" x14ac:dyDescent="0.35">
      <c r="A108" t="s">
        <v>650</v>
      </c>
      <c r="B108" t="s">
        <v>38</v>
      </c>
      <c r="C108" t="s">
        <v>651</v>
      </c>
      <c r="D108" t="s">
        <v>652</v>
      </c>
      <c r="E108" s="5">
        <f t="shared" si="6"/>
        <v>46207.460648148153</v>
      </c>
      <c r="F108" s="6">
        <f t="shared" si="7"/>
        <v>46207</v>
      </c>
      <c r="G108" s="7">
        <f t="shared" si="8"/>
        <v>0.46064814815326827</v>
      </c>
      <c r="H108">
        <f t="shared" si="9"/>
        <v>7</v>
      </c>
      <c r="I108">
        <f t="shared" si="10"/>
        <v>2026</v>
      </c>
      <c r="J108">
        <f t="shared" si="11"/>
        <v>11</v>
      </c>
      <c r="K108" t="s">
        <v>653</v>
      </c>
      <c r="L108" t="s">
        <v>116</v>
      </c>
      <c r="M108" t="s">
        <v>117</v>
      </c>
      <c r="P108" t="b">
        <v>0</v>
      </c>
      <c r="R108" t="s">
        <v>654</v>
      </c>
      <c r="T108" t="s">
        <v>119</v>
      </c>
      <c r="U108" t="s">
        <v>120</v>
      </c>
    </row>
    <row r="109" spans="1:21" x14ac:dyDescent="0.35">
      <c r="A109" t="s">
        <v>655</v>
      </c>
      <c r="B109" t="s">
        <v>38</v>
      </c>
      <c r="C109" t="s">
        <v>656</v>
      </c>
      <c r="D109" t="s">
        <v>657</v>
      </c>
      <c r="E109" s="5">
        <f t="shared" si="6"/>
        <v>46206.585231481484</v>
      </c>
      <c r="F109" s="6">
        <f t="shared" si="7"/>
        <v>46206</v>
      </c>
      <c r="G109" s="7">
        <f t="shared" si="8"/>
        <v>0.58523148148378823</v>
      </c>
      <c r="H109">
        <f t="shared" si="9"/>
        <v>7</v>
      </c>
      <c r="I109">
        <f t="shared" si="10"/>
        <v>2026</v>
      </c>
      <c r="J109">
        <f t="shared" si="11"/>
        <v>14</v>
      </c>
      <c r="K109" t="s">
        <v>658</v>
      </c>
      <c r="L109" t="s">
        <v>116</v>
      </c>
      <c r="M109" t="s">
        <v>117</v>
      </c>
      <c r="P109" t="b">
        <v>0</v>
      </c>
      <c r="R109" t="s">
        <v>659</v>
      </c>
      <c r="T109" t="s">
        <v>119</v>
      </c>
      <c r="U109" t="s">
        <v>120</v>
      </c>
    </row>
    <row r="110" spans="1:21" x14ac:dyDescent="0.35">
      <c r="A110" t="s">
        <v>660</v>
      </c>
      <c r="B110" t="s">
        <v>38</v>
      </c>
      <c r="C110" t="s">
        <v>661</v>
      </c>
      <c r="D110" t="s">
        <v>662</v>
      </c>
      <c r="E110" s="5">
        <f t="shared" si="6"/>
        <v>46206.252951388895</v>
      </c>
      <c r="F110" s="6">
        <f t="shared" si="7"/>
        <v>46206</v>
      </c>
      <c r="G110" s="7">
        <f t="shared" si="8"/>
        <v>0.25295138889487134</v>
      </c>
      <c r="H110">
        <f t="shared" si="9"/>
        <v>7</v>
      </c>
      <c r="I110">
        <f t="shared" si="10"/>
        <v>2026</v>
      </c>
      <c r="J110">
        <f t="shared" si="11"/>
        <v>6</v>
      </c>
      <c r="K110" t="s">
        <v>663</v>
      </c>
      <c r="L110" t="s">
        <v>116</v>
      </c>
      <c r="M110" t="s">
        <v>117</v>
      </c>
      <c r="P110" t="b">
        <v>0</v>
      </c>
      <c r="R110" t="s">
        <v>664</v>
      </c>
      <c r="T110" t="s">
        <v>119</v>
      </c>
      <c r="U110" t="s">
        <v>120</v>
      </c>
    </row>
    <row r="111" spans="1:21" x14ac:dyDescent="0.35">
      <c r="A111" t="s">
        <v>665</v>
      </c>
      <c r="B111" t="s">
        <v>38</v>
      </c>
      <c r="C111" t="s">
        <v>666</v>
      </c>
      <c r="D111" t="s">
        <v>667</v>
      </c>
      <c r="E111" s="5">
        <f t="shared" si="6"/>
        <v>46205.578287037039</v>
      </c>
      <c r="F111" s="6">
        <f t="shared" si="7"/>
        <v>46205</v>
      </c>
      <c r="G111" s="7">
        <f t="shared" si="8"/>
        <v>0.57828703703853535</v>
      </c>
      <c r="H111">
        <f t="shared" si="9"/>
        <v>7</v>
      </c>
      <c r="I111">
        <f t="shared" si="10"/>
        <v>2026</v>
      </c>
      <c r="J111">
        <f t="shared" si="11"/>
        <v>13</v>
      </c>
      <c r="K111" t="s">
        <v>668</v>
      </c>
      <c r="L111" t="s">
        <v>116</v>
      </c>
      <c r="M111" t="s">
        <v>117</v>
      </c>
      <c r="P111" t="b">
        <v>0</v>
      </c>
      <c r="R111" t="s">
        <v>669</v>
      </c>
      <c r="T111" t="s">
        <v>119</v>
      </c>
      <c r="U111" t="s">
        <v>120</v>
      </c>
    </row>
    <row r="112" spans="1:21" x14ac:dyDescent="0.35">
      <c r="A112" t="s">
        <v>670</v>
      </c>
      <c r="B112" t="s">
        <v>38</v>
      </c>
      <c r="C112" t="s">
        <v>671</v>
      </c>
      <c r="D112" t="s">
        <v>672</v>
      </c>
      <c r="E112" s="5">
        <f t="shared" si="6"/>
        <v>46204.936053240745</v>
      </c>
      <c r="F112" s="6">
        <f t="shared" si="7"/>
        <v>46204</v>
      </c>
      <c r="G112" s="7">
        <f t="shared" si="8"/>
        <v>0.93605324074451346</v>
      </c>
      <c r="H112">
        <f t="shared" si="9"/>
        <v>7</v>
      </c>
      <c r="I112">
        <f t="shared" si="10"/>
        <v>2026</v>
      </c>
      <c r="J112">
        <f t="shared" si="11"/>
        <v>22</v>
      </c>
      <c r="K112" t="s">
        <v>673</v>
      </c>
      <c r="L112" t="s">
        <v>116</v>
      </c>
      <c r="M112" t="s">
        <v>117</v>
      </c>
      <c r="P112" t="b">
        <v>0</v>
      </c>
      <c r="R112" t="s">
        <v>674</v>
      </c>
      <c r="T112" t="s">
        <v>119</v>
      </c>
      <c r="U112" t="s">
        <v>120</v>
      </c>
    </row>
    <row r="113" spans="1:21" x14ac:dyDescent="0.35">
      <c r="A113" t="s">
        <v>675</v>
      </c>
      <c r="B113" t="s">
        <v>38</v>
      </c>
      <c r="C113" t="s">
        <v>676</v>
      </c>
      <c r="D113" t="s">
        <v>677</v>
      </c>
      <c r="E113" s="5">
        <f t="shared" si="6"/>
        <v>46195.147523148153</v>
      </c>
      <c r="F113" s="6">
        <f t="shared" si="7"/>
        <v>46195</v>
      </c>
      <c r="G113" s="7">
        <f t="shared" si="8"/>
        <v>0.14752314815268619</v>
      </c>
      <c r="H113">
        <f t="shared" si="9"/>
        <v>6</v>
      </c>
      <c r="I113">
        <f t="shared" si="10"/>
        <v>2026</v>
      </c>
      <c r="J113">
        <f t="shared" si="11"/>
        <v>3</v>
      </c>
      <c r="K113" t="s">
        <v>678</v>
      </c>
      <c r="L113" t="s">
        <v>116</v>
      </c>
      <c r="M113" t="s">
        <v>117</v>
      </c>
      <c r="P113" t="b">
        <v>0</v>
      </c>
      <c r="R113" t="s">
        <v>679</v>
      </c>
      <c r="T113" t="s">
        <v>119</v>
      </c>
      <c r="U113" t="s">
        <v>120</v>
      </c>
    </row>
    <row r="114" spans="1:21" x14ac:dyDescent="0.35">
      <c r="A114" t="s">
        <v>680</v>
      </c>
      <c r="B114" t="s">
        <v>38</v>
      </c>
      <c r="C114" t="s">
        <v>681</v>
      </c>
      <c r="D114" t="s">
        <v>682</v>
      </c>
      <c r="E114" s="5">
        <f t="shared" si="6"/>
        <v>46194.687650462962</v>
      </c>
      <c r="F114" s="6">
        <f t="shared" si="7"/>
        <v>46194</v>
      </c>
      <c r="G114" s="7">
        <f t="shared" si="8"/>
        <v>0.68765046296175569</v>
      </c>
      <c r="H114">
        <f t="shared" si="9"/>
        <v>6</v>
      </c>
      <c r="I114">
        <f t="shared" si="10"/>
        <v>2026</v>
      </c>
      <c r="J114">
        <f t="shared" si="11"/>
        <v>16</v>
      </c>
      <c r="K114" t="s">
        <v>683</v>
      </c>
      <c r="L114" t="s">
        <v>116</v>
      </c>
      <c r="M114" t="s">
        <v>117</v>
      </c>
      <c r="P114" t="b">
        <v>0</v>
      </c>
      <c r="R114" t="s">
        <v>684</v>
      </c>
      <c r="T114" t="s">
        <v>119</v>
      </c>
      <c r="U114" t="s">
        <v>120</v>
      </c>
    </row>
    <row r="115" spans="1:21" x14ac:dyDescent="0.35">
      <c r="A115" t="s">
        <v>685</v>
      </c>
      <c r="B115" t="s">
        <v>38</v>
      </c>
      <c r="C115" t="s">
        <v>686</v>
      </c>
      <c r="D115" t="s">
        <v>687</v>
      </c>
      <c r="E115" s="5">
        <f t="shared" si="6"/>
        <v>46194.671331018522</v>
      </c>
      <c r="F115" s="6">
        <f t="shared" si="7"/>
        <v>46194</v>
      </c>
      <c r="G115" s="7">
        <f t="shared" si="8"/>
        <v>0.67133101852232357</v>
      </c>
      <c r="H115">
        <f t="shared" si="9"/>
        <v>6</v>
      </c>
      <c r="I115">
        <f t="shared" si="10"/>
        <v>2026</v>
      </c>
      <c r="J115">
        <f t="shared" si="11"/>
        <v>16</v>
      </c>
      <c r="K115" t="s">
        <v>688</v>
      </c>
      <c r="L115" t="s">
        <v>116</v>
      </c>
      <c r="M115" t="s">
        <v>117</v>
      </c>
      <c r="N115" t="s">
        <v>174</v>
      </c>
      <c r="P115" t="b">
        <v>0</v>
      </c>
      <c r="R115" t="s">
        <v>689</v>
      </c>
      <c r="T115" t="s">
        <v>119</v>
      </c>
      <c r="U115" t="s">
        <v>120</v>
      </c>
    </row>
    <row r="116" spans="1:21" x14ac:dyDescent="0.35">
      <c r="A116" t="s">
        <v>690</v>
      </c>
      <c r="B116" t="s">
        <v>38</v>
      </c>
      <c r="C116" t="s">
        <v>691</v>
      </c>
      <c r="D116" t="s">
        <v>692</v>
      </c>
      <c r="E116" s="5">
        <f t="shared" si="6"/>
        <v>46194.574826388889</v>
      </c>
      <c r="F116" s="6">
        <f t="shared" si="7"/>
        <v>46194</v>
      </c>
      <c r="G116" s="7">
        <f t="shared" si="8"/>
        <v>0.57482638888905058</v>
      </c>
      <c r="H116">
        <f t="shared" si="9"/>
        <v>6</v>
      </c>
      <c r="I116">
        <f t="shared" si="10"/>
        <v>2026</v>
      </c>
      <c r="J116">
        <f t="shared" si="11"/>
        <v>13</v>
      </c>
      <c r="K116" t="s">
        <v>693</v>
      </c>
      <c r="L116" t="s">
        <v>116</v>
      </c>
      <c r="M116" t="s">
        <v>117</v>
      </c>
      <c r="P116" t="b">
        <v>0</v>
      </c>
      <c r="R116" t="s">
        <v>694</v>
      </c>
      <c r="T116" t="s">
        <v>119</v>
      </c>
      <c r="U116" t="s">
        <v>120</v>
      </c>
    </row>
    <row r="117" spans="1:21" x14ac:dyDescent="0.35">
      <c r="A117" t="s">
        <v>695</v>
      </c>
      <c r="B117" t="s">
        <v>38</v>
      </c>
      <c r="C117" t="s">
        <v>696</v>
      </c>
      <c r="D117" t="s">
        <v>697</v>
      </c>
      <c r="E117" s="5">
        <f t="shared" si="6"/>
        <v>46194.547407407408</v>
      </c>
      <c r="F117" s="6">
        <f t="shared" si="7"/>
        <v>46194</v>
      </c>
      <c r="G117" s="7">
        <f t="shared" si="8"/>
        <v>0.54740740740817273</v>
      </c>
      <c r="H117">
        <f t="shared" si="9"/>
        <v>6</v>
      </c>
      <c r="I117">
        <f t="shared" si="10"/>
        <v>2026</v>
      </c>
      <c r="J117">
        <f t="shared" si="11"/>
        <v>13</v>
      </c>
      <c r="K117" t="s">
        <v>698</v>
      </c>
      <c r="L117" t="s">
        <v>116</v>
      </c>
      <c r="M117" t="s">
        <v>117</v>
      </c>
      <c r="P117" t="b">
        <v>0</v>
      </c>
      <c r="R117" t="s">
        <v>699</v>
      </c>
      <c r="T117" t="s">
        <v>119</v>
      </c>
      <c r="U117" t="s">
        <v>120</v>
      </c>
    </row>
    <row r="118" spans="1:21" x14ac:dyDescent="0.35">
      <c r="A118" t="s">
        <v>700</v>
      </c>
      <c r="B118" t="s">
        <v>38</v>
      </c>
      <c r="C118" t="s">
        <v>701</v>
      </c>
      <c r="D118" t="s">
        <v>702</v>
      </c>
      <c r="E118" s="5">
        <f t="shared" si="6"/>
        <v>46191.675740740742</v>
      </c>
      <c r="F118" s="6">
        <f t="shared" si="7"/>
        <v>46191</v>
      </c>
      <c r="G118" s="7">
        <f t="shared" si="8"/>
        <v>0.67574074074218515</v>
      </c>
      <c r="H118">
        <f t="shared" si="9"/>
        <v>6</v>
      </c>
      <c r="I118">
        <f t="shared" si="10"/>
        <v>2026</v>
      </c>
      <c r="J118">
        <f t="shared" si="11"/>
        <v>16</v>
      </c>
      <c r="K118" t="s">
        <v>703</v>
      </c>
      <c r="L118" t="s">
        <v>116</v>
      </c>
      <c r="M118" t="s">
        <v>117</v>
      </c>
      <c r="P118" t="b">
        <v>0</v>
      </c>
      <c r="R118" t="s">
        <v>704</v>
      </c>
      <c r="T118" t="s">
        <v>119</v>
      </c>
      <c r="U118" t="s">
        <v>120</v>
      </c>
    </row>
    <row r="119" spans="1:21" x14ac:dyDescent="0.35">
      <c r="A119" t="s">
        <v>705</v>
      </c>
      <c r="B119" t="s">
        <v>38</v>
      </c>
      <c r="C119" t="s">
        <v>706</v>
      </c>
      <c r="D119" t="s">
        <v>707</v>
      </c>
      <c r="E119" s="5">
        <f t="shared" si="6"/>
        <v>46190.502222222225</v>
      </c>
      <c r="F119" s="6">
        <f t="shared" si="7"/>
        <v>46190</v>
      </c>
      <c r="G119" s="7">
        <f t="shared" si="8"/>
        <v>0.50222222222510027</v>
      </c>
      <c r="H119">
        <f t="shared" si="9"/>
        <v>6</v>
      </c>
      <c r="I119">
        <f t="shared" si="10"/>
        <v>2026</v>
      </c>
      <c r="J119">
        <f t="shared" si="11"/>
        <v>12</v>
      </c>
      <c r="K119" t="s">
        <v>708</v>
      </c>
      <c r="L119" t="s">
        <v>116</v>
      </c>
      <c r="M119" t="s">
        <v>117</v>
      </c>
      <c r="P119" t="b">
        <v>0</v>
      </c>
      <c r="R119" t="s">
        <v>709</v>
      </c>
      <c r="T119" t="s">
        <v>119</v>
      </c>
      <c r="U119" t="s">
        <v>120</v>
      </c>
    </row>
    <row r="120" spans="1:21" x14ac:dyDescent="0.35">
      <c r="A120" t="s">
        <v>710</v>
      </c>
      <c r="B120" t="s">
        <v>38</v>
      </c>
      <c r="C120" t="s">
        <v>711</v>
      </c>
      <c r="D120" t="s">
        <v>712</v>
      </c>
      <c r="E120" s="5">
        <f t="shared" si="6"/>
        <v>46190.428854166668</v>
      </c>
      <c r="F120" s="6">
        <f t="shared" si="7"/>
        <v>46190</v>
      </c>
      <c r="G120" s="7">
        <f t="shared" si="8"/>
        <v>0.42885416666831588</v>
      </c>
      <c r="H120">
        <f t="shared" si="9"/>
        <v>6</v>
      </c>
      <c r="I120">
        <f t="shared" si="10"/>
        <v>2026</v>
      </c>
      <c r="J120">
        <f t="shared" si="11"/>
        <v>10</v>
      </c>
      <c r="K120" t="s">
        <v>713</v>
      </c>
      <c r="L120" t="s">
        <v>116</v>
      </c>
      <c r="M120" t="s">
        <v>117</v>
      </c>
      <c r="P120" t="b">
        <v>0</v>
      </c>
      <c r="R120" t="s">
        <v>714</v>
      </c>
      <c r="T120" t="s">
        <v>119</v>
      </c>
      <c r="U120" t="s">
        <v>120</v>
      </c>
    </row>
    <row r="121" spans="1:21" x14ac:dyDescent="0.35">
      <c r="A121" t="s">
        <v>715</v>
      </c>
      <c r="B121" t="s">
        <v>38</v>
      </c>
      <c r="C121" t="s">
        <v>716</v>
      </c>
      <c r="D121" t="s">
        <v>717</v>
      </c>
      <c r="E121" s="5">
        <f t="shared" si="6"/>
        <v>46189.767673611117</v>
      </c>
      <c r="F121" s="6">
        <f t="shared" si="7"/>
        <v>46189</v>
      </c>
      <c r="G121" s="7">
        <f t="shared" si="8"/>
        <v>0.76767361111706123</v>
      </c>
      <c r="H121">
        <f t="shared" si="9"/>
        <v>6</v>
      </c>
      <c r="I121">
        <f t="shared" si="10"/>
        <v>2026</v>
      </c>
      <c r="J121">
        <f t="shared" si="11"/>
        <v>18</v>
      </c>
      <c r="K121" t="s">
        <v>718</v>
      </c>
      <c r="L121" t="s">
        <v>116</v>
      </c>
      <c r="M121" t="s">
        <v>117</v>
      </c>
      <c r="P121" t="b">
        <v>0</v>
      </c>
      <c r="R121" t="s">
        <v>719</v>
      </c>
      <c r="T121" t="s">
        <v>119</v>
      </c>
      <c r="U121" t="s">
        <v>120</v>
      </c>
    </row>
    <row r="122" spans="1:21" x14ac:dyDescent="0.35">
      <c r="A122" t="s">
        <v>720</v>
      </c>
      <c r="B122" t="s">
        <v>38</v>
      </c>
      <c r="C122" t="s">
        <v>721</v>
      </c>
      <c r="D122" t="s">
        <v>722</v>
      </c>
      <c r="E122" s="5">
        <f t="shared" si="6"/>
        <v>46189.613842592596</v>
      </c>
      <c r="F122" s="6">
        <f t="shared" si="7"/>
        <v>46189</v>
      </c>
      <c r="G122" s="7">
        <f t="shared" si="8"/>
        <v>0.61384259259648388</v>
      </c>
      <c r="H122">
        <f t="shared" si="9"/>
        <v>6</v>
      </c>
      <c r="I122">
        <f t="shared" si="10"/>
        <v>2026</v>
      </c>
      <c r="J122">
        <f t="shared" si="11"/>
        <v>14</v>
      </c>
      <c r="K122" t="s">
        <v>723</v>
      </c>
      <c r="L122" t="s">
        <v>116</v>
      </c>
      <c r="M122" t="s">
        <v>117</v>
      </c>
      <c r="P122" t="b">
        <v>0</v>
      </c>
      <c r="R122" t="s">
        <v>724</v>
      </c>
      <c r="T122" t="s">
        <v>119</v>
      </c>
      <c r="U122" t="s">
        <v>120</v>
      </c>
    </row>
    <row r="123" spans="1:21" x14ac:dyDescent="0.35">
      <c r="A123" t="s">
        <v>725</v>
      </c>
      <c r="B123" t="s">
        <v>38</v>
      </c>
      <c r="C123" t="s">
        <v>726</v>
      </c>
      <c r="D123" t="s">
        <v>727</v>
      </c>
      <c r="E123" s="5">
        <f t="shared" si="6"/>
        <v>46189.538252314815</v>
      </c>
      <c r="F123" s="6">
        <f t="shared" si="7"/>
        <v>46189</v>
      </c>
      <c r="G123" s="7">
        <f t="shared" si="8"/>
        <v>0.53825231481459923</v>
      </c>
      <c r="H123">
        <f t="shared" si="9"/>
        <v>6</v>
      </c>
      <c r="I123">
        <f t="shared" si="10"/>
        <v>2026</v>
      </c>
      <c r="J123">
        <f t="shared" si="11"/>
        <v>12</v>
      </c>
      <c r="K123" t="s">
        <v>728</v>
      </c>
      <c r="L123" t="s">
        <v>116</v>
      </c>
      <c r="M123" t="s">
        <v>117</v>
      </c>
      <c r="P123" t="b">
        <v>0</v>
      </c>
      <c r="R123" t="s">
        <v>729</v>
      </c>
      <c r="T123" t="s">
        <v>119</v>
      </c>
      <c r="U123" t="s">
        <v>120</v>
      </c>
    </row>
    <row r="124" spans="1:21" x14ac:dyDescent="0.35">
      <c r="A124" t="s">
        <v>730</v>
      </c>
      <c r="B124" t="s">
        <v>38</v>
      </c>
      <c r="C124" t="s">
        <v>731</v>
      </c>
      <c r="D124" t="s">
        <v>732</v>
      </c>
      <c r="E124" s="5">
        <f t="shared" si="6"/>
        <v>46189.537916666668</v>
      </c>
      <c r="F124" s="6">
        <f t="shared" si="7"/>
        <v>46189</v>
      </c>
      <c r="G124" s="7">
        <f t="shared" si="8"/>
        <v>0.53791666666802485</v>
      </c>
      <c r="H124">
        <f t="shared" si="9"/>
        <v>6</v>
      </c>
      <c r="I124">
        <f t="shared" si="10"/>
        <v>2026</v>
      </c>
      <c r="J124">
        <f t="shared" si="11"/>
        <v>12</v>
      </c>
      <c r="K124" t="s">
        <v>733</v>
      </c>
      <c r="L124" t="s">
        <v>116</v>
      </c>
      <c r="M124" t="s">
        <v>117</v>
      </c>
      <c r="P124" t="b">
        <v>0</v>
      </c>
      <c r="R124" t="s">
        <v>734</v>
      </c>
      <c r="T124" t="s">
        <v>119</v>
      </c>
      <c r="U124" t="s">
        <v>120</v>
      </c>
    </row>
    <row r="125" spans="1:21" x14ac:dyDescent="0.35">
      <c r="A125" t="s">
        <v>735</v>
      </c>
      <c r="B125" t="s">
        <v>38</v>
      </c>
      <c r="C125" t="s">
        <v>736</v>
      </c>
      <c r="D125" t="s">
        <v>737</v>
      </c>
      <c r="E125" s="5">
        <f t="shared" si="6"/>
        <v>46187.970763888894</v>
      </c>
      <c r="F125" s="6">
        <f t="shared" si="7"/>
        <v>46187</v>
      </c>
      <c r="G125" s="7">
        <f t="shared" si="8"/>
        <v>0.97076388889399823</v>
      </c>
      <c r="H125">
        <f t="shared" si="9"/>
        <v>6</v>
      </c>
      <c r="I125">
        <f t="shared" si="10"/>
        <v>2026</v>
      </c>
      <c r="J125">
        <f t="shared" si="11"/>
        <v>23</v>
      </c>
      <c r="K125" t="s">
        <v>738</v>
      </c>
      <c r="L125" t="s">
        <v>116</v>
      </c>
      <c r="M125" t="s">
        <v>117</v>
      </c>
      <c r="P125" t="b">
        <v>0</v>
      </c>
      <c r="R125" t="s">
        <v>739</v>
      </c>
      <c r="T125" t="s">
        <v>119</v>
      </c>
      <c r="U125" t="s">
        <v>120</v>
      </c>
    </row>
    <row r="126" spans="1:21" x14ac:dyDescent="0.35">
      <c r="A126" t="s">
        <v>740</v>
      </c>
      <c r="B126" t="s">
        <v>38</v>
      </c>
      <c r="C126" t="s">
        <v>741</v>
      </c>
      <c r="D126" t="s">
        <v>742</v>
      </c>
      <c r="E126" s="5">
        <f t="shared" si="6"/>
        <v>46187.428391203706</v>
      </c>
      <c r="F126" s="6">
        <f t="shared" si="7"/>
        <v>46187</v>
      </c>
      <c r="G126" s="7">
        <f t="shared" si="8"/>
        <v>0.42839120370626915</v>
      </c>
      <c r="H126">
        <f t="shared" si="9"/>
        <v>6</v>
      </c>
      <c r="I126">
        <f t="shared" si="10"/>
        <v>2026</v>
      </c>
      <c r="J126">
        <f t="shared" si="11"/>
        <v>10</v>
      </c>
      <c r="K126" t="s">
        <v>743</v>
      </c>
      <c r="L126" t="s">
        <v>116</v>
      </c>
      <c r="M126" t="s">
        <v>117</v>
      </c>
      <c r="P126" t="b">
        <v>0</v>
      </c>
      <c r="R126" t="s">
        <v>744</v>
      </c>
      <c r="T126" t="s">
        <v>119</v>
      </c>
      <c r="U126" t="s">
        <v>120</v>
      </c>
    </row>
    <row r="127" spans="1:21" x14ac:dyDescent="0.35">
      <c r="A127" t="s">
        <v>745</v>
      </c>
      <c r="B127" t="s">
        <v>38</v>
      </c>
      <c r="C127" t="s">
        <v>746</v>
      </c>
      <c r="D127" t="s">
        <v>747</v>
      </c>
      <c r="E127" s="5">
        <f t="shared" si="6"/>
        <v>46186.632303240745</v>
      </c>
      <c r="F127" s="6">
        <f t="shared" si="7"/>
        <v>46186</v>
      </c>
      <c r="G127" s="7">
        <f t="shared" si="8"/>
        <v>0.63230324074538657</v>
      </c>
      <c r="H127">
        <f t="shared" si="9"/>
        <v>6</v>
      </c>
      <c r="I127">
        <f t="shared" si="10"/>
        <v>2026</v>
      </c>
      <c r="J127">
        <f t="shared" si="11"/>
        <v>15</v>
      </c>
      <c r="K127" t="s">
        <v>748</v>
      </c>
      <c r="L127" t="s">
        <v>116</v>
      </c>
      <c r="M127" t="s">
        <v>117</v>
      </c>
      <c r="P127" t="b">
        <v>0</v>
      </c>
      <c r="R127" t="s">
        <v>749</v>
      </c>
      <c r="T127" t="s">
        <v>119</v>
      </c>
      <c r="U127" t="s">
        <v>120</v>
      </c>
    </row>
    <row r="128" spans="1:21" x14ac:dyDescent="0.35">
      <c r="A128" t="s">
        <v>750</v>
      </c>
      <c r="B128" t="s">
        <v>38</v>
      </c>
      <c r="C128" t="s">
        <v>751</v>
      </c>
      <c r="D128" t="s">
        <v>752</v>
      </c>
      <c r="E128" s="5">
        <f t="shared" si="6"/>
        <v>46184.624016203707</v>
      </c>
      <c r="F128" s="6">
        <f t="shared" si="7"/>
        <v>46184</v>
      </c>
      <c r="G128" s="7">
        <f t="shared" si="8"/>
        <v>0.62401620370656019</v>
      </c>
      <c r="H128">
        <f t="shared" si="9"/>
        <v>6</v>
      </c>
      <c r="I128">
        <f t="shared" si="10"/>
        <v>2026</v>
      </c>
      <c r="J128">
        <f t="shared" si="11"/>
        <v>14</v>
      </c>
      <c r="K128" t="s">
        <v>753</v>
      </c>
      <c r="L128" t="s">
        <v>116</v>
      </c>
      <c r="M128" t="s">
        <v>117</v>
      </c>
      <c r="P128" t="b">
        <v>0</v>
      </c>
      <c r="R128" t="s">
        <v>754</v>
      </c>
      <c r="T128" t="s">
        <v>119</v>
      </c>
      <c r="U128" t="s">
        <v>120</v>
      </c>
    </row>
    <row r="129" spans="1:21" x14ac:dyDescent="0.35">
      <c r="A129" t="s">
        <v>755</v>
      </c>
      <c r="B129" t="s">
        <v>38</v>
      </c>
      <c r="C129" t="s">
        <v>756</v>
      </c>
      <c r="D129" t="s">
        <v>757</v>
      </c>
      <c r="E129" s="5">
        <f t="shared" si="6"/>
        <v>46184.347361111111</v>
      </c>
      <c r="F129" s="6">
        <f t="shared" si="7"/>
        <v>46184</v>
      </c>
      <c r="G129" s="7">
        <f t="shared" si="8"/>
        <v>0.34736111111124046</v>
      </c>
      <c r="H129">
        <f t="shared" si="9"/>
        <v>6</v>
      </c>
      <c r="I129">
        <f t="shared" si="10"/>
        <v>2026</v>
      </c>
      <c r="J129">
        <f t="shared" si="11"/>
        <v>8</v>
      </c>
      <c r="K129" t="s">
        <v>758</v>
      </c>
      <c r="L129" t="s">
        <v>116</v>
      </c>
      <c r="M129" t="s">
        <v>117</v>
      </c>
      <c r="P129" t="b">
        <v>0</v>
      </c>
      <c r="R129" t="s">
        <v>759</v>
      </c>
      <c r="T129" t="s">
        <v>119</v>
      </c>
      <c r="U129" t="s">
        <v>120</v>
      </c>
    </row>
    <row r="130" spans="1:21" x14ac:dyDescent="0.35">
      <c r="A130" t="s">
        <v>760</v>
      </c>
      <c r="B130" t="s">
        <v>38</v>
      </c>
      <c r="C130" t="s">
        <v>761</v>
      </c>
      <c r="D130" t="s">
        <v>762</v>
      </c>
      <c r="E130" s="5">
        <f t="shared" ref="E130:E193" si="12">IF(D130="","",DATE(VALUE(LEFT(D130,4)),VALUE(MID(D130,6,2)),VALUE(MID(D130,9,2)))+TIME(VALUE(MID(D130,12,2)),VALUE(MID(D130,15,2)),VALUE(MID(D130,18,2)))-IF(AND(DATE(VALUE(LEFT(D130,4)),VALUE(MID(D130,6,2)),VALUE(MID(D130,9,2)))+TIME(VALUE(MID(D130,12,2)),VALUE(MID(D130,15,2)),VALUE(MID(D130,18,2)))&gt;=DATE(VALUE(LEFT(D130,4)),3,1)+MOD(8-WEEKDAY(DATE(VALUE(LEFT(D130,4)),3,1)),7)+7+TIME(7,0,0),DATE(VALUE(LEFT(D130,4)),3,1)+MOD(8-WEEKDAY(DATE(VALUE(LEFT(D130,4)),3,1)),7)+7+TIME(7,0,0)&lt;DATE(VALUE(LEFT(D130,4)),11,1)+MOD(8-WEEKDAY(DATE(VALUE(LEFT(D130,4)),11,1)),7)+TIME(6,0,0)), TIME(4,0,0),TIME(5,0,0)))</f>
        <v>46183.526053240741</v>
      </c>
      <c r="F130" s="6">
        <f t="shared" ref="F130:F193" si="13">IF(E130="","",INT(E130))</f>
        <v>46183</v>
      </c>
      <c r="G130" s="7">
        <f t="shared" ref="G130:G193" si="14">IF(E130="","",MOD(E130,1))</f>
        <v>0.526053240741021</v>
      </c>
      <c r="H130">
        <f t="shared" ref="H130:H193" si="15">IF(E130="","",MONTH(E130))</f>
        <v>6</v>
      </c>
      <c r="I130">
        <f t="shared" ref="I130:I193" si="16">IF(E130="","",YEAR(E130))</f>
        <v>2026</v>
      </c>
      <c r="J130">
        <f t="shared" ref="J130:J193" si="17">IF(E130="","",HOUR(E130))</f>
        <v>12</v>
      </c>
      <c r="K130" t="s">
        <v>763</v>
      </c>
      <c r="L130" t="s">
        <v>116</v>
      </c>
      <c r="M130" t="s">
        <v>117</v>
      </c>
      <c r="P130" t="b">
        <v>0</v>
      </c>
      <c r="R130" t="s">
        <v>764</v>
      </c>
      <c r="T130" t="s">
        <v>119</v>
      </c>
      <c r="U130" t="s">
        <v>120</v>
      </c>
    </row>
    <row r="131" spans="1:21" x14ac:dyDescent="0.35">
      <c r="A131" t="s">
        <v>765</v>
      </c>
      <c r="B131" t="s">
        <v>38</v>
      </c>
      <c r="C131" t="s">
        <v>766</v>
      </c>
      <c r="D131" t="s">
        <v>767</v>
      </c>
      <c r="E131" s="5">
        <f t="shared" si="12"/>
        <v>46182.493657407409</v>
      </c>
      <c r="F131" s="6">
        <f t="shared" si="13"/>
        <v>46182</v>
      </c>
      <c r="G131" s="7">
        <f t="shared" si="14"/>
        <v>0.49365740740904585</v>
      </c>
      <c r="H131">
        <f t="shared" si="15"/>
        <v>6</v>
      </c>
      <c r="I131">
        <f t="shared" si="16"/>
        <v>2026</v>
      </c>
      <c r="J131">
        <f t="shared" si="17"/>
        <v>11</v>
      </c>
      <c r="K131" t="s">
        <v>768</v>
      </c>
      <c r="L131" t="s">
        <v>116</v>
      </c>
      <c r="M131" t="s">
        <v>117</v>
      </c>
      <c r="P131" t="b">
        <v>0</v>
      </c>
      <c r="R131" t="s">
        <v>769</v>
      </c>
      <c r="T131" t="s">
        <v>119</v>
      </c>
      <c r="U131" t="s">
        <v>120</v>
      </c>
    </row>
    <row r="132" spans="1:21" x14ac:dyDescent="0.35">
      <c r="A132" t="s">
        <v>770</v>
      </c>
      <c r="B132" t="s">
        <v>38</v>
      </c>
      <c r="C132" t="s">
        <v>771</v>
      </c>
      <c r="D132" t="s">
        <v>772</v>
      </c>
      <c r="E132" s="5">
        <f t="shared" si="12"/>
        <v>46180.450555555559</v>
      </c>
      <c r="F132" s="6">
        <f t="shared" si="13"/>
        <v>46180</v>
      </c>
      <c r="G132" s="7">
        <f t="shared" si="14"/>
        <v>0.45055555555882165</v>
      </c>
      <c r="H132">
        <f t="shared" si="15"/>
        <v>6</v>
      </c>
      <c r="I132">
        <f t="shared" si="16"/>
        <v>2026</v>
      </c>
      <c r="J132">
        <f t="shared" si="17"/>
        <v>10</v>
      </c>
      <c r="K132" t="s">
        <v>773</v>
      </c>
      <c r="L132" t="s">
        <v>116</v>
      </c>
      <c r="M132" t="s">
        <v>117</v>
      </c>
      <c r="P132" t="b">
        <v>0</v>
      </c>
      <c r="R132" t="s">
        <v>774</v>
      </c>
      <c r="T132" t="s">
        <v>119</v>
      </c>
      <c r="U132" t="s">
        <v>120</v>
      </c>
    </row>
    <row r="133" spans="1:21" x14ac:dyDescent="0.35">
      <c r="A133" t="s">
        <v>775</v>
      </c>
      <c r="B133" t="s">
        <v>38</v>
      </c>
      <c r="C133" t="s">
        <v>776</v>
      </c>
      <c r="D133" t="s">
        <v>777</v>
      </c>
      <c r="E133" s="5">
        <f t="shared" si="12"/>
        <v>46178.822523148148</v>
      </c>
      <c r="F133" s="6">
        <f t="shared" si="13"/>
        <v>46178</v>
      </c>
      <c r="G133" s="7">
        <f t="shared" si="14"/>
        <v>0.82252314814832062</v>
      </c>
      <c r="H133">
        <f t="shared" si="15"/>
        <v>6</v>
      </c>
      <c r="I133">
        <f t="shared" si="16"/>
        <v>2026</v>
      </c>
      <c r="J133">
        <f t="shared" si="17"/>
        <v>19</v>
      </c>
      <c r="K133" t="s">
        <v>778</v>
      </c>
      <c r="L133" t="s">
        <v>116</v>
      </c>
      <c r="M133" t="s">
        <v>117</v>
      </c>
      <c r="P133" t="b">
        <v>0</v>
      </c>
      <c r="R133" t="s">
        <v>779</v>
      </c>
      <c r="T133" t="s">
        <v>119</v>
      </c>
      <c r="U133" t="s">
        <v>120</v>
      </c>
    </row>
    <row r="134" spans="1:21" x14ac:dyDescent="0.35">
      <c r="A134" t="s">
        <v>780</v>
      </c>
      <c r="B134" t="s">
        <v>38</v>
      </c>
      <c r="C134" t="s">
        <v>781</v>
      </c>
      <c r="D134" t="s">
        <v>782</v>
      </c>
      <c r="E134" s="5">
        <f t="shared" si="12"/>
        <v>46178.636655092596</v>
      </c>
      <c r="F134" s="6">
        <f t="shared" si="13"/>
        <v>46178</v>
      </c>
      <c r="G134" s="7">
        <f t="shared" si="14"/>
        <v>0.63665509259590181</v>
      </c>
      <c r="H134">
        <f t="shared" si="15"/>
        <v>6</v>
      </c>
      <c r="I134">
        <f t="shared" si="16"/>
        <v>2026</v>
      </c>
      <c r="J134">
        <f t="shared" si="17"/>
        <v>15</v>
      </c>
      <c r="K134" t="s">
        <v>783</v>
      </c>
      <c r="L134" t="s">
        <v>116</v>
      </c>
      <c r="M134" t="s">
        <v>117</v>
      </c>
      <c r="P134" t="b">
        <v>0</v>
      </c>
      <c r="R134" t="s">
        <v>784</v>
      </c>
      <c r="T134" t="s">
        <v>119</v>
      </c>
      <c r="U134" t="s">
        <v>120</v>
      </c>
    </row>
    <row r="135" spans="1:21" x14ac:dyDescent="0.35">
      <c r="A135" t="s">
        <v>785</v>
      </c>
      <c r="B135" t="s">
        <v>38</v>
      </c>
      <c r="C135" t="s">
        <v>786</v>
      </c>
      <c r="D135" t="s">
        <v>787</v>
      </c>
      <c r="E135" s="5">
        <f t="shared" si="12"/>
        <v>46176.749618055561</v>
      </c>
      <c r="F135" s="6">
        <f t="shared" si="13"/>
        <v>46176</v>
      </c>
      <c r="G135" s="7">
        <f t="shared" si="14"/>
        <v>0.74961805556085892</v>
      </c>
      <c r="H135">
        <f t="shared" si="15"/>
        <v>6</v>
      </c>
      <c r="I135">
        <f t="shared" si="16"/>
        <v>2026</v>
      </c>
      <c r="J135">
        <f t="shared" si="17"/>
        <v>17</v>
      </c>
      <c r="K135" t="s">
        <v>788</v>
      </c>
      <c r="L135" t="s">
        <v>116</v>
      </c>
      <c r="M135" t="s">
        <v>117</v>
      </c>
      <c r="P135" t="b">
        <v>0</v>
      </c>
      <c r="R135" t="s">
        <v>789</v>
      </c>
      <c r="T135" t="s">
        <v>119</v>
      </c>
      <c r="U135" t="s">
        <v>120</v>
      </c>
    </row>
    <row r="136" spans="1:21" x14ac:dyDescent="0.35">
      <c r="A136" t="s">
        <v>790</v>
      </c>
      <c r="B136" t="s">
        <v>38</v>
      </c>
      <c r="C136" t="s">
        <v>791</v>
      </c>
      <c r="D136" t="s">
        <v>792</v>
      </c>
      <c r="E136" s="5">
        <f t="shared" si="12"/>
        <v>46174.329247685186</v>
      </c>
      <c r="F136" s="6">
        <f t="shared" si="13"/>
        <v>46174</v>
      </c>
      <c r="G136" s="7">
        <f t="shared" si="14"/>
        <v>0.32924768518569181</v>
      </c>
      <c r="H136">
        <f t="shared" si="15"/>
        <v>6</v>
      </c>
      <c r="I136">
        <f t="shared" si="16"/>
        <v>2026</v>
      </c>
      <c r="J136">
        <f t="shared" si="17"/>
        <v>7</v>
      </c>
      <c r="K136" t="s">
        <v>793</v>
      </c>
      <c r="L136" t="s">
        <v>116</v>
      </c>
      <c r="M136" t="s">
        <v>117</v>
      </c>
      <c r="P136" t="b">
        <v>0</v>
      </c>
      <c r="R136" t="s">
        <v>794</v>
      </c>
      <c r="T136" t="s">
        <v>119</v>
      </c>
      <c r="U136" t="s">
        <v>120</v>
      </c>
    </row>
    <row r="137" spans="1:21" x14ac:dyDescent="0.35">
      <c r="A137" t="s">
        <v>795</v>
      </c>
      <c r="B137" t="s">
        <v>38</v>
      </c>
      <c r="C137" t="s">
        <v>796</v>
      </c>
      <c r="D137" t="s">
        <v>797</v>
      </c>
      <c r="E137" s="5">
        <f t="shared" si="12"/>
        <v>46170.570335648154</v>
      </c>
      <c r="F137" s="6">
        <f t="shared" si="13"/>
        <v>46170</v>
      </c>
      <c r="G137" s="7">
        <f t="shared" si="14"/>
        <v>0.5703356481535593</v>
      </c>
      <c r="H137">
        <f t="shared" si="15"/>
        <v>5</v>
      </c>
      <c r="I137">
        <f t="shared" si="16"/>
        <v>2026</v>
      </c>
      <c r="J137">
        <f t="shared" si="17"/>
        <v>13</v>
      </c>
      <c r="K137" t="s">
        <v>798</v>
      </c>
      <c r="L137" t="s">
        <v>116</v>
      </c>
      <c r="M137" t="s">
        <v>117</v>
      </c>
      <c r="P137" t="b">
        <v>0</v>
      </c>
      <c r="R137" t="s">
        <v>799</v>
      </c>
      <c r="T137" t="s">
        <v>119</v>
      </c>
      <c r="U137" t="s">
        <v>120</v>
      </c>
    </row>
    <row r="138" spans="1:21" x14ac:dyDescent="0.35">
      <c r="A138" t="s">
        <v>800</v>
      </c>
      <c r="B138" t="s">
        <v>38</v>
      </c>
      <c r="C138" t="s">
        <v>801</v>
      </c>
      <c r="D138" t="s">
        <v>802</v>
      </c>
      <c r="E138" s="5">
        <f t="shared" si="12"/>
        <v>46169.573726851857</v>
      </c>
      <c r="F138" s="6">
        <f t="shared" si="13"/>
        <v>46169</v>
      </c>
      <c r="G138" s="7">
        <f t="shared" si="14"/>
        <v>0.57372685185691807</v>
      </c>
      <c r="H138">
        <f t="shared" si="15"/>
        <v>5</v>
      </c>
      <c r="I138">
        <f t="shared" si="16"/>
        <v>2026</v>
      </c>
      <c r="J138">
        <f t="shared" si="17"/>
        <v>13</v>
      </c>
      <c r="K138" t="s">
        <v>803</v>
      </c>
      <c r="L138" t="s">
        <v>116</v>
      </c>
      <c r="M138" t="s">
        <v>117</v>
      </c>
      <c r="P138" t="b">
        <v>0</v>
      </c>
      <c r="R138" t="s">
        <v>804</v>
      </c>
      <c r="T138" t="s">
        <v>119</v>
      </c>
      <c r="U138" t="s">
        <v>120</v>
      </c>
    </row>
    <row r="139" spans="1:21" x14ac:dyDescent="0.35">
      <c r="A139" t="s">
        <v>805</v>
      </c>
      <c r="B139" t="s">
        <v>38</v>
      </c>
      <c r="C139" t="s">
        <v>806</v>
      </c>
      <c r="D139" t="s">
        <v>807</v>
      </c>
      <c r="E139" s="5">
        <f t="shared" si="12"/>
        <v>46165.769259259265</v>
      </c>
      <c r="F139" s="6">
        <f t="shared" si="13"/>
        <v>46165</v>
      </c>
      <c r="G139" s="7">
        <f t="shared" si="14"/>
        <v>0.76925925926479977</v>
      </c>
      <c r="H139">
        <f t="shared" si="15"/>
        <v>5</v>
      </c>
      <c r="I139">
        <f t="shared" si="16"/>
        <v>2026</v>
      </c>
      <c r="J139">
        <f t="shared" si="17"/>
        <v>18</v>
      </c>
      <c r="K139" t="s">
        <v>808</v>
      </c>
      <c r="L139" t="s">
        <v>116</v>
      </c>
      <c r="M139" t="s">
        <v>117</v>
      </c>
      <c r="P139" t="b">
        <v>0</v>
      </c>
      <c r="R139" t="s">
        <v>809</v>
      </c>
      <c r="T139" t="s">
        <v>119</v>
      </c>
      <c r="U139" t="s">
        <v>120</v>
      </c>
    </row>
    <row r="140" spans="1:21" x14ac:dyDescent="0.35">
      <c r="A140" t="s">
        <v>810</v>
      </c>
      <c r="B140" t="s">
        <v>38</v>
      </c>
      <c r="C140" t="s">
        <v>811</v>
      </c>
      <c r="D140" t="s">
        <v>812</v>
      </c>
      <c r="E140" s="5">
        <f t="shared" si="12"/>
        <v>46165.681006944447</v>
      </c>
      <c r="F140" s="6">
        <f t="shared" si="13"/>
        <v>46165</v>
      </c>
      <c r="G140" s="7">
        <f t="shared" si="14"/>
        <v>0.68100694444729015</v>
      </c>
      <c r="H140">
        <f t="shared" si="15"/>
        <v>5</v>
      </c>
      <c r="I140">
        <f t="shared" si="16"/>
        <v>2026</v>
      </c>
      <c r="J140">
        <f t="shared" si="17"/>
        <v>16</v>
      </c>
      <c r="K140" t="s">
        <v>813</v>
      </c>
      <c r="L140" t="s">
        <v>116</v>
      </c>
      <c r="M140" t="s">
        <v>117</v>
      </c>
      <c r="P140" t="b">
        <v>0</v>
      </c>
      <c r="R140" t="s">
        <v>814</v>
      </c>
      <c r="T140" t="s">
        <v>119</v>
      </c>
      <c r="U140" t="s">
        <v>120</v>
      </c>
    </row>
    <row r="141" spans="1:21" x14ac:dyDescent="0.35">
      <c r="A141" t="s">
        <v>815</v>
      </c>
      <c r="B141" t="s">
        <v>38</v>
      </c>
      <c r="C141" t="s">
        <v>816</v>
      </c>
      <c r="D141" t="s">
        <v>817</v>
      </c>
      <c r="E141" s="5">
        <f t="shared" si="12"/>
        <v>46161.700613425928</v>
      </c>
      <c r="F141" s="6">
        <f t="shared" si="13"/>
        <v>46161</v>
      </c>
      <c r="G141" s="7">
        <f t="shared" si="14"/>
        <v>0.700613425928168</v>
      </c>
      <c r="H141">
        <f t="shared" si="15"/>
        <v>5</v>
      </c>
      <c r="I141">
        <f t="shared" si="16"/>
        <v>2026</v>
      </c>
      <c r="J141">
        <f t="shared" si="17"/>
        <v>16</v>
      </c>
      <c r="K141" t="s">
        <v>818</v>
      </c>
      <c r="L141" t="s">
        <v>116</v>
      </c>
      <c r="M141" t="s">
        <v>117</v>
      </c>
      <c r="P141" t="b">
        <v>0</v>
      </c>
      <c r="R141" t="s">
        <v>819</v>
      </c>
      <c r="T141" t="s">
        <v>119</v>
      </c>
      <c r="U141" t="s">
        <v>120</v>
      </c>
    </row>
    <row r="142" spans="1:21" x14ac:dyDescent="0.35">
      <c r="A142" t="s">
        <v>820</v>
      </c>
      <c r="B142" t="s">
        <v>38</v>
      </c>
      <c r="C142" t="s">
        <v>821</v>
      </c>
      <c r="D142" t="s">
        <v>822</v>
      </c>
      <c r="E142" s="5">
        <f t="shared" si="12"/>
        <v>46161.69295138889</v>
      </c>
      <c r="F142" s="6">
        <f t="shared" si="13"/>
        <v>46161</v>
      </c>
      <c r="G142" s="7">
        <f t="shared" si="14"/>
        <v>0.69295138888992369</v>
      </c>
      <c r="H142">
        <f t="shared" si="15"/>
        <v>5</v>
      </c>
      <c r="I142">
        <f t="shared" si="16"/>
        <v>2026</v>
      </c>
      <c r="J142">
        <f t="shared" si="17"/>
        <v>16</v>
      </c>
      <c r="K142" t="s">
        <v>823</v>
      </c>
      <c r="L142" t="s">
        <v>116</v>
      </c>
      <c r="M142" t="s">
        <v>117</v>
      </c>
      <c r="P142" t="b">
        <v>0</v>
      </c>
      <c r="R142" t="s">
        <v>824</v>
      </c>
      <c r="T142" t="s">
        <v>119</v>
      </c>
      <c r="U142" t="s">
        <v>120</v>
      </c>
    </row>
    <row r="143" spans="1:21" x14ac:dyDescent="0.35">
      <c r="A143" t="s">
        <v>825</v>
      </c>
      <c r="B143" t="s">
        <v>38</v>
      </c>
      <c r="C143" t="s">
        <v>826</v>
      </c>
      <c r="D143" t="s">
        <v>827</v>
      </c>
      <c r="E143" s="5">
        <f t="shared" si="12"/>
        <v>46161.650763888894</v>
      </c>
      <c r="F143" s="6">
        <f t="shared" si="13"/>
        <v>46161</v>
      </c>
      <c r="G143" s="7">
        <f t="shared" si="14"/>
        <v>0.65076388889428927</v>
      </c>
      <c r="H143">
        <f t="shared" si="15"/>
        <v>5</v>
      </c>
      <c r="I143">
        <f t="shared" si="16"/>
        <v>2026</v>
      </c>
      <c r="J143">
        <f t="shared" si="17"/>
        <v>15</v>
      </c>
      <c r="K143" t="s">
        <v>828</v>
      </c>
      <c r="L143" t="s">
        <v>116</v>
      </c>
      <c r="M143" t="s">
        <v>117</v>
      </c>
      <c r="P143" t="b">
        <v>0</v>
      </c>
      <c r="R143" t="s">
        <v>829</v>
      </c>
      <c r="T143" t="s">
        <v>119</v>
      </c>
      <c r="U143" t="s">
        <v>120</v>
      </c>
    </row>
    <row r="144" spans="1:21" x14ac:dyDescent="0.35">
      <c r="A144" t="s">
        <v>830</v>
      </c>
      <c r="B144" t="s">
        <v>38</v>
      </c>
      <c r="C144" t="s">
        <v>831</v>
      </c>
      <c r="D144" t="s">
        <v>832</v>
      </c>
      <c r="E144" s="5">
        <f t="shared" si="12"/>
        <v>46161.604594907411</v>
      </c>
      <c r="F144" s="6">
        <f t="shared" si="13"/>
        <v>46161</v>
      </c>
      <c r="G144" s="7">
        <f t="shared" si="14"/>
        <v>0.60459490741050104</v>
      </c>
      <c r="H144">
        <f t="shared" si="15"/>
        <v>5</v>
      </c>
      <c r="I144">
        <f t="shared" si="16"/>
        <v>2026</v>
      </c>
      <c r="J144">
        <f t="shared" si="17"/>
        <v>14</v>
      </c>
      <c r="K144" t="s">
        <v>833</v>
      </c>
      <c r="L144" t="s">
        <v>116</v>
      </c>
      <c r="M144" t="s">
        <v>117</v>
      </c>
      <c r="P144" t="b">
        <v>0</v>
      </c>
      <c r="R144" t="s">
        <v>834</v>
      </c>
      <c r="T144" t="s">
        <v>119</v>
      </c>
      <c r="U144" t="s">
        <v>120</v>
      </c>
    </row>
    <row r="145" spans="1:21" x14ac:dyDescent="0.35">
      <c r="A145" t="s">
        <v>835</v>
      </c>
      <c r="B145" t="s">
        <v>38</v>
      </c>
      <c r="C145" t="s">
        <v>836</v>
      </c>
      <c r="D145" t="s">
        <v>837</v>
      </c>
      <c r="E145" s="5">
        <f t="shared" si="12"/>
        <v>46161.545648148152</v>
      </c>
      <c r="F145" s="6">
        <f t="shared" si="13"/>
        <v>46161</v>
      </c>
      <c r="G145" s="7">
        <f t="shared" si="14"/>
        <v>0.54564814815239515</v>
      </c>
      <c r="H145">
        <f t="shared" si="15"/>
        <v>5</v>
      </c>
      <c r="I145">
        <f t="shared" si="16"/>
        <v>2026</v>
      </c>
      <c r="J145">
        <f t="shared" si="17"/>
        <v>13</v>
      </c>
      <c r="K145" t="s">
        <v>838</v>
      </c>
      <c r="L145" t="s">
        <v>116</v>
      </c>
      <c r="M145" t="s">
        <v>117</v>
      </c>
      <c r="P145" t="b">
        <v>0</v>
      </c>
      <c r="R145" t="s">
        <v>839</v>
      </c>
      <c r="T145" t="s">
        <v>119</v>
      </c>
      <c r="U145" t="s">
        <v>120</v>
      </c>
    </row>
    <row r="146" spans="1:21" x14ac:dyDescent="0.35">
      <c r="A146" t="s">
        <v>840</v>
      </c>
      <c r="B146" t="s">
        <v>38</v>
      </c>
      <c r="C146" t="s">
        <v>841</v>
      </c>
      <c r="D146" t="s">
        <v>842</v>
      </c>
      <c r="E146" s="5">
        <f t="shared" si="12"/>
        <v>46161.544456018521</v>
      </c>
      <c r="F146" s="6">
        <f t="shared" si="13"/>
        <v>46161</v>
      </c>
      <c r="G146" s="7">
        <f t="shared" si="14"/>
        <v>0.54445601852057735</v>
      </c>
      <c r="H146">
        <f t="shared" si="15"/>
        <v>5</v>
      </c>
      <c r="I146">
        <f t="shared" si="16"/>
        <v>2026</v>
      </c>
      <c r="J146">
        <f t="shared" si="17"/>
        <v>13</v>
      </c>
      <c r="K146" t="s">
        <v>843</v>
      </c>
      <c r="L146" t="s">
        <v>116</v>
      </c>
      <c r="M146" t="s">
        <v>117</v>
      </c>
      <c r="P146" t="b">
        <v>0</v>
      </c>
      <c r="R146" t="s">
        <v>844</v>
      </c>
      <c r="T146" t="s">
        <v>119</v>
      </c>
      <c r="U146" t="s">
        <v>120</v>
      </c>
    </row>
    <row r="147" spans="1:21" x14ac:dyDescent="0.35">
      <c r="A147" t="s">
        <v>845</v>
      </c>
      <c r="B147" t="s">
        <v>38</v>
      </c>
      <c r="C147" t="s">
        <v>846</v>
      </c>
      <c r="D147" t="s">
        <v>847</v>
      </c>
      <c r="E147" s="5">
        <f t="shared" si="12"/>
        <v>46160.593009259261</v>
      </c>
      <c r="F147" s="6">
        <f t="shared" si="13"/>
        <v>46160</v>
      </c>
      <c r="G147" s="7">
        <f t="shared" si="14"/>
        <v>0.59300925926072523</v>
      </c>
      <c r="H147">
        <f t="shared" si="15"/>
        <v>5</v>
      </c>
      <c r="I147">
        <f t="shared" si="16"/>
        <v>2026</v>
      </c>
      <c r="J147">
        <f t="shared" si="17"/>
        <v>14</v>
      </c>
      <c r="K147" t="s">
        <v>848</v>
      </c>
      <c r="L147" t="s">
        <v>116</v>
      </c>
      <c r="M147" t="s">
        <v>117</v>
      </c>
      <c r="P147" t="b">
        <v>0</v>
      </c>
      <c r="R147" t="s">
        <v>849</v>
      </c>
      <c r="T147" t="s">
        <v>119</v>
      </c>
      <c r="U147" t="s">
        <v>120</v>
      </c>
    </row>
    <row r="148" spans="1:21" x14ac:dyDescent="0.35">
      <c r="A148" t="s">
        <v>850</v>
      </c>
      <c r="B148" t="s">
        <v>38</v>
      </c>
      <c r="C148" t="s">
        <v>851</v>
      </c>
      <c r="D148" t="s">
        <v>852</v>
      </c>
      <c r="E148" s="5">
        <f t="shared" si="12"/>
        <v>46159.600138888891</v>
      </c>
      <c r="F148" s="6">
        <f t="shared" si="13"/>
        <v>46159</v>
      </c>
      <c r="G148" s="7">
        <f t="shared" si="14"/>
        <v>0.60013888889079681</v>
      </c>
      <c r="H148">
        <f t="shared" si="15"/>
        <v>5</v>
      </c>
      <c r="I148">
        <f t="shared" si="16"/>
        <v>2026</v>
      </c>
      <c r="J148">
        <f t="shared" si="17"/>
        <v>14</v>
      </c>
      <c r="K148" t="s">
        <v>853</v>
      </c>
      <c r="L148" t="s">
        <v>116</v>
      </c>
      <c r="M148" t="s">
        <v>117</v>
      </c>
      <c r="P148" t="b">
        <v>0</v>
      </c>
      <c r="R148" t="s">
        <v>854</v>
      </c>
      <c r="T148" t="s">
        <v>119</v>
      </c>
      <c r="U148" t="s">
        <v>120</v>
      </c>
    </row>
    <row r="149" spans="1:21" x14ac:dyDescent="0.35">
      <c r="A149" t="s">
        <v>855</v>
      </c>
      <c r="B149" t="s">
        <v>38</v>
      </c>
      <c r="C149" t="s">
        <v>856</v>
      </c>
      <c r="D149" t="s">
        <v>857</v>
      </c>
      <c r="E149" s="5">
        <f t="shared" si="12"/>
        <v>46150.716620370375</v>
      </c>
      <c r="F149" s="6">
        <f t="shared" si="13"/>
        <v>46150</v>
      </c>
      <c r="G149" s="7">
        <f t="shared" si="14"/>
        <v>0.71662037037458504</v>
      </c>
      <c r="H149">
        <f t="shared" si="15"/>
        <v>5</v>
      </c>
      <c r="I149">
        <f t="shared" si="16"/>
        <v>2026</v>
      </c>
      <c r="J149">
        <f t="shared" si="17"/>
        <v>17</v>
      </c>
      <c r="K149" t="s">
        <v>858</v>
      </c>
      <c r="L149" t="s">
        <v>116</v>
      </c>
      <c r="M149" t="s">
        <v>117</v>
      </c>
      <c r="P149" t="b">
        <v>0</v>
      </c>
      <c r="R149" t="s">
        <v>859</v>
      </c>
      <c r="T149" t="s">
        <v>119</v>
      </c>
      <c r="U149" t="s">
        <v>120</v>
      </c>
    </row>
    <row r="150" spans="1:21" x14ac:dyDescent="0.35">
      <c r="A150" t="s">
        <v>860</v>
      </c>
      <c r="B150" t="s">
        <v>38</v>
      </c>
      <c r="C150" t="s">
        <v>861</v>
      </c>
      <c r="D150" t="s">
        <v>862</v>
      </c>
      <c r="E150" s="5">
        <f t="shared" si="12"/>
        <v>46150.566354166673</v>
      </c>
      <c r="F150" s="6">
        <f t="shared" si="13"/>
        <v>46150</v>
      </c>
      <c r="G150" s="7">
        <f t="shared" si="14"/>
        <v>0.56635416667268146</v>
      </c>
      <c r="H150">
        <f t="shared" si="15"/>
        <v>5</v>
      </c>
      <c r="I150">
        <f t="shared" si="16"/>
        <v>2026</v>
      </c>
      <c r="J150">
        <f t="shared" si="17"/>
        <v>13</v>
      </c>
      <c r="K150" t="s">
        <v>863</v>
      </c>
      <c r="L150" t="s">
        <v>116</v>
      </c>
      <c r="M150" t="s">
        <v>117</v>
      </c>
      <c r="P150" t="b">
        <v>0</v>
      </c>
      <c r="R150" t="s">
        <v>864</v>
      </c>
      <c r="T150" t="s">
        <v>119</v>
      </c>
      <c r="U150" t="s">
        <v>120</v>
      </c>
    </row>
    <row r="151" spans="1:21" x14ac:dyDescent="0.35">
      <c r="A151" t="s">
        <v>865</v>
      </c>
      <c r="B151" t="s">
        <v>38</v>
      </c>
      <c r="C151" t="s">
        <v>866</v>
      </c>
      <c r="D151" t="s">
        <v>867</v>
      </c>
      <c r="E151" s="5">
        <f t="shared" si="12"/>
        <v>46150.542870370373</v>
      </c>
      <c r="F151" s="6">
        <f t="shared" si="13"/>
        <v>46150</v>
      </c>
      <c r="G151" s="7">
        <f t="shared" si="14"/>
        <v>0.54287037037283881</v>
      </c>
      <c r="H151">
        <f t="shared" si="15"/>
        <v>5</v>
      </c>
      <c r="I151">
        <f t="shared" si="16"/>
        <v>2026</v>
      </c>
      <c r="J151">
        <f t="shared" si="17"/>
        <v>13</v>
      </c>
      <c r="K151" t="s">
        <v>868</v>
      </c>
      <c r="L151" t="s">
        <v>116</v>
      </c>
      <c r="M151" t="s">
        <v>117</v>
      </c>
      <c r="P151" t="b">
        <v>0</v>
      </c>
      <c r="R151" t="s">
        <v>869</v>
      </c>
      <c r="T151" t="s">
        <v>119</v>
      </c>
      <c r="U151" t="s">
        <v>120</v>
      </c>
    </row>
    <row r="152" spans="1:21" x14ac:dyDescent="0.35">
      <c r="A152" t="s">
        <v>870</v>
      </c>
      <c r="B152" t="s">
        <v>38</v>
      </c>
      <c r="C152" t="s">
        <v>871</v>
      </c>
      <c r="D152" t="s">
        <v>872</v>
      </c>
      <c r="E152" s="5">
        <f t="shared" si="12"/>
        <v>46149.783900462964</v>
      </c>
      <c r="F152" s="6">
        <f t="shared" si="13"/>
        <v>46149</v>
      </c>
      <c r="G152" s="7">
        <f t="shared" si="14"/>
        <v>0.783900462964084</v>
      </c>
      <c r="H152">
        <f t="shared" si="15"/>
        <v>5</v>
      </c>
      <c r="I152">
        <f t="shared" si="16"/>
        <v>2026</v>
      </c>
      <c r="J152">
        <f t="shared" si="17"/>
        <v>18</v>
      </c>
      <c r="K152" t="s">
        <v>873</v>
      </c>
      <c r="L152" t="s">
        <v>116</v>
      </c>
      <c r="M152" t="s">
        <v>117</v>
      </c>
      <c r="P152" t="b">
        <v>0</v>
      </c>
      <c r="R152" t="s">
        <v>874</v>
      </c>
      <c r="T152" t="s">
        <v>119</v>
      </c>
      <c r="U152" t="s">
        <v>120</v>
      </c>
    </row>
    <row r="153" spans="1:21" x14ac:dyDescent="0.35">
      <c r="A153" t="s">
        <v>875</v>
      </c>
      <c r="B153" t="s">
        <v>38</v>
      </c>
      <c r="C153" t="s">
        <v>876</v>
      </c>
      <c r="D153" t="s">
        <v>877</v>
      </c>
      <c r="E153" s="5">
        <f t="shared" si="12"/>
        <v>46148.557592592595</v>
      </c>
      <c r="F153" s="6">
        <f t="shared" si="13"/>
        <v>46148</v>
      </c>
      <c r="G153" s="7">
        <f t="shared" si="14"/>
        <v>0.55759259259502869</v>
      </c>
      <c r="H153">
        <f t="shared" si="15"/>
        <v>5</v>
      </c>
      <c r="I153">
        <f t="shared" si="16"/>
        <v>2026</v>
      </c>
      <c r="J153">
        <f t="shared" si="17"/>
        <v>13</v>
      </c>
      <c r="K153" t="s">
        <v>878</v>
      </c>
      <c r="L153" t="s">
        <v>116</v>
      </c>
      <c r="M153" t="s">
        <v>117</v>
      </c>
      <c r="P153" t="b">
        <v>0</v>
      </c>
      <c r="R153" t="s">
        <v>879</v>
      </c>
      <c r="T153" t="s">
        <v>119</v>
      </c>
      <c r="U153" t="s">
        <v>120</v>
      </c>
    </row>
    <row r="154" spans="1:21" x14ac:dyDescent="0.35">
      <c r="A154" t="s">
        <v>880</v>
      </c>
      <c r="B154" t="s">
        <v>38</v>
      </c>
      <c r="C154" t="s">
        <v>881</v>
      </c>
      <c r="D154" t="s">
        <v>882</v>
      </c>
      <c r="E154" s="5">
        <f t="shared" si="12"/>
        <v>46147.923206018524</v>
      </c>
      <c r="F154" s="6">
        <f t="shared" si="13"/>
        <v>46147</v>
      </c>
      <c r="G154" s="7">
        <f t="shared" si="14"/>
        <v>0.9232060185240698</v>
      </c>
      <c r="H154">
        <f t="shared" si="15"/>
        <v>5</v>
      </c>
      <c r="I154">
        <f t="shared" si="16"/>
        <v>2026</v>
      </c>
      <c r="J154">
        <f t="shared" si="17"/>
        <v>22</v>
      </c>
      <c r="K154" t="s">
        <v>883</v>
      </c>
      <c r="L154" t="s">
        <v>116</v>
      </c>
      <c r="M154" t="s">
        <v>117</v>
      </c>
      <c r="P154" t="b">
        <v>0</v>
      </c>
      <c r="R154" t="s">
        <v>884</v>
      </c>
      <c r="T154" t="s">
        <v>119</v>
      </c>
      <c r="U154" t="s">
        <v>146</v>
      </c>
    </row>
    <row r="155" spans="1:21" x14ac:dyDescent="0.35">
      <c r="A155" t="s">
        <v>885</v>
      </c>
      <c r="B155" t="s">
        <v>38</v>
      </c>
      <c r="C155" t="s">
        <v>886</v>
      </c>
      <c r="D155" t="s">
        <v>887</v>
      </c>
      <c r="E155" s="5">
        <f t="shared" si="12"/>
        <v>46147.907812500001</v>
      </c>
      <c r="F155" s="6">
        <f t="shared" si="13"/>
        <v>46147</v>
      </c>
      <c r="G155" s="7">
        <f t="shared" si="14"/>
        <v>0.90781250000145519</v>
      </c>
      <c r="H155">
        <f t="shared" si="15"/>
        <v>5</v>
      </c>
      <c r="I155">
        <f t="shared" si="16"/>
        <v>2026</v>
      </c>
      <c r="J155">
        <f t="shared" si="17"/>
        <v>21</v>
      </c>
      <c r="K155" t="s">
        <v>888</v>
      </c>
      <c r="L155" t="s">
        <v>116</v>
      </c>
      <c r="M155" t="s">
        <v>117</v>
      </c>
      <c r="P155" t="b">
        <v>0</v>
      </c>
      <c r="R155" t="s">
        <v>889</v>
      </c>
      <c r="T155" t="s">
        <v>119</v>
      </c>
      <c r="U155" t="s">
        <v>146</v>
      </c>
    </row>
    <row r="156" spans="1:21" x14ac:dyDescent="0.35">
      <c r="A156" t="s">
        <v>890</v>
      </c>
      <c r="B156" t="s">
        <v>38</v>
      </c>
      <c r="C156" t="s">
        <v>891</v>
      </c>
      <c r="D156" t="s">
        <v>892</v>
      </c>
      <c r="E156" s="5">
        <f t="shared" si="12"/>
        <v>46147.849050925928</v>
      </c>
      <c r="F156" s="6">
        <f t="shared" si="13"/>
        <v>46147</v>
      </c>
      <c r="G156" s="7">
        <f t="shared" si="14"/>
        <v>0.849050925928168</v>
      </c>
      <c r="H156">
        <f t="shared" si="15"/>
        <v>5</v>
      </c>
      <c r="I156">
        <f t="shared" si="16"/>
        <v>2026</v>
      </c>
      <c r="J156">
        <f t="shared" si="17"/>
        <v>20</v>
      </c>
      <c r="K156" t="s">
        <v>893</v>
      </c>
      <c r="L156" t="s">
        <v>116</v>
      </c>
      <c r="M156" t="s">
        <v>117</v>
      </c>
      <c r="P156" t="b">
        <v>0</v>
      </c>
      <c r="R156" t="s">
        <v>894</v>
      </c>
      <c r="T156" t="s">
        <v>119</v>
      </c>
      <c r="U156" t="s">
        <v>120</v>
      </c>
    </row>
    <row r="157" spans="1:21" x14ac:dyDescent="0.35">
      <c r="A157" t="s">
        <v>895</v>
      </c>
      <c r="B157" t="s">
        <v>38</v>
      </c>
      <c r="C157" t="s">
        <v>896</v>
      </c>
      <c r="D157" t="s">
        <v>897</v>
      </c>
      <c r="E157" s="5">
        <f t="shared" si="12"/>
        <v>46147.642407407409</v>
      </c>
      <c r="F157" s="6">
        <f t="shared" si="13"/>
        <v>46147</v>
      </c>
      <c r="G157" s="7">
        <f t="shared" si="14"/>
        <v>0.64240740740933688</v>
      </c>
      <c r="H157">
        <f t="shared" si="15"/>
        <v>5</v>
      </c>
      <c r="I157">
        <f t="shared" si="16"/>
        <v>2026</v>
      </c>
      <c r="J157">
        <f t="shared" si="17"/>
        <v>15</v>
      </c>
      <c r="K157" t="s">
        <v>898</v>
      </c>
      <c r="L157" t="s">
        <v>116</v>
      </c>
      <c r="M157" t="s">
        <v>117</v>
      </c>
      <c r="P157" t="b">
        <v>0</v>
      </c>
      <c r="R157" t="s">
        <v>899</v>
      </c>
      <c r="T157" t="s">
        <v>119</v>
      </c>
      <c r="U157" t="s">
        <v>120</v>
      </c>
    </row>
    <row r="158" spans="1:21" x14ac:dyDescent="0.35">
      <c r="A158" t="s">
        <v>900</v>
      </c>
      <c r="B158" t="s">
        <v>38</v>
      </c>
      <c r="C158" t="s">
        <v>901</v>
      </c>
      <c r="D158" t="s">
        <v>902</v>
      </c>
      <c r="E158" s="5">
        <f t="shared" si="12"/>
        <v>46147.632002314815</v>
      </c>
      <c r="F158" s="6">
        <f t="shared" si="13"/>
        <v>46147</v>
      </c>
      <c r="G158" s="7">
        <f t="shared" si="14"/>
        <v>0.63200231481459923</v>
      </c>
      <c r="H158">
        <f t="shared" si="15"/>
        <v>5</v>
      </c>
      <c r="I158">
        <f t="shared" si="16"/>
        <v>2026</v>
      </c>
      <c r="J158">
        <f t="shared" si="17"/>
        <v>15</v>
      </c>
      <c r="K158" t="s">
        <v>903</v>
      </c>
      <c r="L158" t="s">
        <v>116</v>
      </c>
      <c r="M158" t="s">
        <v>117</v>
      </c>
      <c r="P158" t="b">
        <v>0</v>
      </c>
      <c r="R158" t="s">
        <v>904</v>
      </c>
      <c r="T158" t="s">
        <v>119</v>
      </c>
      <c r="U158" t="s">
        <v>120</v>
      </c>
    </row>
    <row r="159" spans="1:21" x14ac:dyDescent="0.35">
      <c r="A159" t="s">
        <v>905</v>
      </c>
      <c r="B159" t="s">
        <v>38</v>
      </c>
      <c r="C159" t="s">
        <v>906</v>
      </c>
      <c r="D159" t="s">
        <v>907</v>
      </c>
      <c r="E159" s="5">
        <f t="shared" si="12"/>
        <v>46147.21197916667</v>
      </c>
      <c r="F159" s="6">
        <f t="shared" si="13"/>
        <v>46147</v>
      </c>
      <c r="G159" s="7">
        <f t="shared" si="14"/>
        <v>0.21197916667006211</v>
      </c>
      <c r="H159">
        <f t="shared" si="15"/>
        <v>5</v>
      </c>
      <c r="I159">
        <f t="shared" si="16"/>
        <v>2026</v>
      </c>
      <c r="J159">
        <f t="shared" si="17"/>
        <v>5</v>
      </c>
      <c r="K159" t="s">
        <v>908</v>
      </c>
      <c r="L159" t="s">
        <v>116</v>
      </c>
      <c r="M159" t="s">
        <v>117</v>
      </c>
      <c r="P159" t="b">
        <v>0</v>
      </c>
      <c r="R159" t="s">
        <v>909</v>
      </c>
      <c r="T159" t="s">
        <v>119</v>
      </c>
      <c r="U159" t="s">
        <v>120</v>
      </c>
    </row>
    <row r="160" spans="1:21" x14ac:dyDescent="0.35">
      <c r="A160" t="s">
        <v>910</v>
      </c>
      <c r="B160" t="s">
        <v>38</v>
      </c>
      <c r="C160" t="s">
        <v>911</v>
      </c>
      <c r="D160" t="s">
        <v>912</v>
      </c>
      <c r="E160" s="5">
        <f t="shared" si="12"/>
        <v>46146.787118055559</v>
      </c>
      <c r="F160" s="6">
        <f t="shared" si="13"/>
        <v>46146</v>
      </c>
      <c r="G160" s="7">
        <f t="shared" si="14"/>
        <v>0.78711805555940373</v>
      </c>
      <c r="H160">
        <f t="shared" si="15"/>
        <v>5</v>
      </c>
      <c r="I160">
        <f t="shared" si="16"/>
        <v>2026</v>
      </c>
      <c r="J160">
        <f t="shared" si="17"/>
        <v>18</v>
      </c>
      <c r="K160" t="s">
        <v>913</v>
      </c>
      <c r="L160" t="s">
        <v>116</v>
      </c>
      <c r="M160" t="s">
        <v>117</v>
      </c>
      <c r="P160" t="b">
        <v>0</v>
      </c>
      <c r="R160" t="s">
        <v>914</v>
      </c>
      <c r="T160" t="s">
        <v>119</v>
      </c>
      <c r="U160" t="s">
        <v>120</v>
      </c>
    </row>
    <row r="161" spans="1:21" x14ac:dyDescent="0.35">
      <c r="A161" t="s">
        <v>915</v>
      </c>
      <c r="B161" t="s">
        <v>38</v>
      </c>
      <c r="C161" t="s">
        <v>916</v>
      </c>
      <c r="D161" t="s">
        <v>917</v>
      </c>
      <c r="E161" s="5">
        <f t="shared" si="12"/>
        <v>46146.600451388891</v>
      </c>
      <c r="F161" s="6">
        <f t="shared" si="13"/>
        <v>46146</v>
      </c>
      <c r="G161" s="7">
        <f t="shared" si="14"/>
        <v>0.60045138889108784</v>
      </c>
      <c r="H161">
        <f t="shared" si="15"/>
        <v>5</v>
      </c>
      <c r="I161">
        <f t="shared" si="16"/>
        <v>2026</v>
      </c>
      <c r="J161">
        <f t="shared" si="17"/>
        <v>14</v>
      </c>
      <c r="K161" t="s">
        <v>918</v>
      </c>
      <c r="L161" t="s">
        <v>116</v>
      </c>
      <c r="M161" t="s">
        <v>117</v>
      </c>
      <c r="P161" t="b">
        <v>0</v>
      </c>
      <c r="R161" t="s">
        <v>919</v>
      </c>
      <c r="T161" t="s">
        <v>119</v>
      </c>
      <c r="U161" t="s">
        <v>120</v>
      </c>
    </row>
    <row r="162" spans="1:21" x14ac:dyDescent="0.35">
      <c r="A162" t="s">
        <v>920</v>
      </c>
      <c r="B162" t="s">
        <v>38</v>
      </c>
      <c r="C162" t="s">
        <v>921</v>
      </c>
      <c r="D162" t="s">
        <v>922</v>
      </c>
      <c r="E162" s="5">
        <f t="shared" si="12"/>
        <v>46146.565775462965</v>
      </c>
      <c r="F162" s="6">
        <f t="shared" si="13"/>
        <v>46146</v>
      </c>
      <c r="G162" s="7">
        <f t="shared" si="14"/>
        <v>0.56577546296466608</v>
      </c>
      <c r="H162">
        <f t="shared" si="15"/>
        <v>5</v>
      </c>
      <c r="I162">
        <f t="shared" si="16"/>
        <v>2026</v>
      </c>
      <c r="J162">
        <f t="shared" si="17"/>
        <v>13</v>
      </c>
      <c r="K162" t="s">
        <v>923</v>
      </c>
      <c r="L162" t="s">
        <v>116</v>
      </c>
      <c r="M162" t="s">
        <v>117</v>
      </c>
      <c r="P162" t="b">
        <v>0</v>
      </c>
      <c r="R162" t="s">
        <v>924</v>
      </c>
      <c r="T162" t="s">
        <v>119</v>
      </c>
      <c r="U162" t="s">
        <v>120</v>
      </c>
    </row>
    <row r="163" spans="1:21" x14ac:dyDescent="0.35">
      <c r="A163" t="s">
        <v>925</v>
      </c>
      <c r="B163" t="s">
        <v>38</v>
      </c>
      <c r="C163" t="s">
        <v>926</v>
      </c>
      <c r="D163" t="s">
        <v>927</v>
      </c>
      <c r="E163" s="5">
        <f t="shared" si="12"/>
        <v>46146.526307870372</v>
      </c>
      <c r="F163" s="6">
        <f t="shared" si="13"/>
        <v>46146</v>
      </c>
      <c r="G163" s="7">
        <f t="shared" si="14"/>
        <v>0.52630787037196569</v>
      </c>
      <c r="H163">
        <f t="shared" si="15"/>
        <v>5</v>
      </c>
      <c r="I163">
        <f t="shared" si="16"/>
        <v>2026</v>
      </c>
      <c r="J163">
        <f t="shared" si="17"/>
        <v>12</v>
      </c>
      <c r="K163" t="s">
        <v>928</v>
      </c>
      <c r="L163" t="s">
        <v>116</v>
      </c>
      <c r="M163" t="s">
        <v>117</v>
      </c>
      <c r="P163" t="b">
        <v>0</v>
      </c>
      <c r="R163" t="s">
        <v>929</v>
      </c>
      <c r="T163" t="s">
        <v>119</v>
      </c>
      <c r="U163" t="s">
        <v>120</v>
      </c>
    </row>
    <row r="164" spans="1:21" x14ac:dyDescent="0.35">
      <c r="A164" t="s">
        <v>930</v>
      </c>
      <c r="B164" t="s">
        <v>38</v>
      </c>
      <c r="C164" t="s">
        <v>931</v>
      </c>
      <c r="D164" t="s">
        <v>932</v>
      </c>
      <c r="E164" s="5">
        <f t="shared" si="12"/>
        <v>46146.524282407408</v>
      </c>
      <c r="F164" s="6">
        <f t="shared" si="13"/>
        <v>46146</v>
      </c>
      <c r="G164" s="7">
        <f t="shared" si="14"/>
        <v>0.52428240740846377</v>
      </c>
      <c r="H164">
        <f t="shared" si="15"/>
        <v>5</v>
      </c>
      <c r="I164">
        <f t="shared" si="16"/>
        <v>2026</v>
      </c>
      <c r="J164">
        <f t="shared" si="17"/>
        <v>12</v>
      </c>
      <c r="K164" t="s">
        <v>933</v>
      </c>
      <c r="L164" t="s">
        <v>116</v>
      </c>
      <c r="M164" t="s">
        <v>117</v>
      </c>
      <c r="P164" t="b">
        <v>0</v>
      </c>
      <c r="R164" t="s">
        <v>934</v>
      </c>
      <c r="T164" t="s">
        <v>119</v>
      </c>
      <c r="U164" t="s">
        <v>120</v>
      </c>
    </row>
    <row r="165" spans="1:21" x14ac:dyDescent="0.35">
      <c r="A165" t="s">
        <v>935</v>
      </c>
      <c r="B165" t="s">
        <v>38</v>
      </c>
      <c r="C165" t="s">
        <v>936</v>
      </c>
      <c r="D165" t="s">
        <v>937</v>
      </c>
      <c r="E165" s="5">
        <f t="shared" si="12"/>
        <v>46146.503472222226</v>
      </c>
      <c r="F165" s="6">
        <f t="shared" si="13"/>
        <v>46146</v>
      </c>
      <c r="G165" s="7">
        <f t="shared" si="14"/>
        <v>0.50347222222626442</v>
      </c>
      <c r="H165">
        <f t="shared" si="15"/>
        <v>5</v>
      </c>
      <c r="I165">
        <f t="shared" si="16"/>
        <v>2026</v>
      </c>
      <c r="J165">
        <f t="shared" si="17"/>
        <v>12</v>
      </c>
      <c r="K165" t="s">
        <v>938</v>
      </c>
      <c r="L165" t="s">
        <v>116</v>
      </c>
      <c r="M165" t="s">
        <v>117</v>
      </c>
      <c r="P165" t="b">
        <v>0</v>
      </c>
      <c r="R165" t="s">
        <v>939</v>
      </c>
      <c r="T165" t="s">
        <v>119</v>
      </c>
      <c r="U165" t="s">
        <v>120</v>
      </c>
    </row>
    <row r="166" spans="1:21" x14ac:dyDescent="0.35">
      <c r="A166" t="s">
        <v>940</v>
      </c>
      <c r="B166" t="s">
        <v>38</v>
      </c>
      <c r="C166" t="s">
        <v>941</v>
      </c>
      <c r="D166" t="s">
        <v>942</v>
      </c>
      <c r="E166" s="5">
        <f t="shared" si="12"/>
        <v>46144.984317129631</v>
      </c>
      <c r="F166" s="6">
        <f t="shared" si="13"/>
        <v>46144</v>
      </c>
      <c r="G166" s="7">
        <f t="shared" si="14"/>
        <v>0.98431712963065365</v>
      </c>
      <c r="H166">
        <f t="shared" si="15"/>
        <v>5</v>
      </c>
      <c r="I166">
        <f t="shared" si="16"/>
        <v>2026</v>
      </c>
      <c r="J166">
        <f t="shared" si="17"/>
        <v>23</v>
      </c>
      <c r="K166" t="s">
        <v>943</v>
      </c>
      <c r="L166" t="s">
        <v>116</v>
      </c>
      <c r="M166" t="s">
        <v>117</v>
      </c>
      <c r="P166" t="b">
        <v>0</v>
      </c>
      <c r="R166" t="s">
        <v>944</v>
      </c>
      <c r="T166" t="s">
        <v>119</v>
      </c>
      <c r="U166" t="s">
        <v>120</v>
      </c>
    </row>
    <row r="167" spans="1:21" x14ac:dyDescent="0.35">
      <c r="A167" t="s">
        <v>945</v>
      </c>
      <c r="B167" t="s">
        <v>38</v>
      </c>
      <c r="C167" t="s">
        <v>946</v>
      </c>
      <c r="D167" t="s">
        <v>947</v>
      </c>
      <c r="E167" s="5">
        <f t="shared" si="12"/>
        <v>46144.383958333339</v>
      </c>
      <c r="F167" s="6">
        <f t="shared" si="13"/>
        <v>46144</v>
      </c>
      <c r="G167" s="7">
        <f t="shared" si="14"/>
        <v>0.38395833333925111</v>
      </c>
      <c r="H167">
        <f t="shared" si="15"/>
        <v>5</v>
      </c>
      <c r="I167">
        <f t="shared" si="16"/>
        <v>2026</v>
      </c>
      <c r="J167">
        <f t="shared" si="17"/>
        <v>9</v>
      </c>
      <c r="K167" t="s">
        <v>948</v>
      </c>
      <c r="L167" t="s">
        <v>116</v>
      </c>
      <c r="M167" t="s">
        <v>117</v>
      </c>
      <c r="P167" t="b">
        <v>0</v>
      </c>
      <c r="R167" t="s">
        <v>949</v>
      </c>
      <c r="T167" t="s">
        <v>119</v>
      </c>
      <c r="U167" t="s">
        <v>120</v>
      </c>
    </row>
    <row r="168" spans="1:21" x14ac:dyDescent="0.35">
      <c r="A168" t="s">
        <v>950</v>
      </c>
      <c r="B168" t="s">
        <v>38</v>
      </c>
      <c r="C168" t="s">
        <v>951</v>
      </c>
      <c r="D168" t="s">
        <v>952</v>
      </c>
      <c r="E168" s="5">
        <f t="shared" si="12"/>
        <v>46143.622407407413</v>
      </c>
      <c r="F168" s="6">
        <f t="shared" si="13"/>
        <v>46143</v>
      </c>
      <c r="G168" s="7">
        <f t="shared" si="14"/>
        <v>0.6224074074125383</v>
      </c>
      <c r="H168">
        <f t="shared" si="15"/>
        <v>5</v>
      </c>
      <c r="I168">
        <f t="shared" si="16"/>
        <v>2026</v>
      </c>
      <c r="J168">
        <f t="shared" si="17"/>
        <v>14</v>
      </c>
      <c r="K168" t="s">
        <v>953</v>
      </c>
      <c r="L168" t="s">
        <v>116</v>
      </c>
      <c r="M168" t="s">
        <v>117</v>
      </c>
      <c r="P168" t="b">
        <v>0</v>
      </c>
      <c r="R168" t="s">
        <v>954</v>
      </c>
      <c r="T168" t="s">
        <v>119</v>
      </c>
      <c r="U168" t="s">
        <v>120</v>
      </c>
    </row>
    <row r="169" spans="1:21" x14ac:dyDescent="0.35">
      <c r="A169" t="s">
        <v>955</v>
      </c>
      <c r="B169" t="s">
        <v>38</v>
      </c>
      <c r="C169" t="s">
        <v>956</v>
      </c>
      <c r="D169" t="s">
        <v>957</v>
      </c>
      <c r="E169" s="5">
        <f t="shared" si="12"/>
        <v>46141.495347222226</v>
      </c>
      <c r="F169" s="6">
        <f t="shared" si="13"/>
        <v>46141</v>
      </c>
      <c r="G169" s="7">
        <f t="shared" si="14"/>
        <v>0.49534722222597338</v>
      </c>
      <c r="H169">
        <f t="shared" si="15"/>
        <v>4</v>
      </c>
      <c r="I169">
        <f t="shared" si="16"/>
        <v>2026</v>
      </c>
      <c r="J169">
        <f t="shared" si="17"/>
        <v>11</v>
      </c>
      <c r="K169" t="s">
        <v>958</v>
      </c>
      <c r="L169" t="s">
        <v>116</v>
      </c>
      <c r="M169" t="s">
        <v>117</v>
      </c>
      <c r="P169" t="b">
        <v>0</v>
      </c>
      <c r="R169" t="s">
        <v>959</v>
      </c>
      <c r="T169" t="s">
        <v>119</v>
      </c>
      <c r="U169" t="s">
        <v>120</v>
      </c>
    </row>
    <row r="170" spans="1:21" x14ac:dyDescent="0.35">
      <c r="A170" t="s">
        <v>960</v>
      </c>
      <c r="B170" t="s">
        <v>38</v>
      </c>
      <c r="C170" t="s">
        <v>961</v>
      </c>
      <c r="D170" t="s">
        <v>962</v>
      </c>
      <c r="E170" s="5">
        <f t="shared" si="12"/>
        <v>46141.260254629633</v>
      </c>
      <c r="F170" s="6">
        <f t="shared" si="13"/>
        <v>46141</v>
      </c>
      <c r="G170" s="7">
        <f t="shared" si="14"/>
        <v>0.26025462963298196</v>
      </c>
      <c r="H170">
        <f t="shared" si="15"/>
        <v>4</v>
      </c>
      <c r="I170">
        <f t="shared" si="16"/>
        <v>2026</v>
      </c>
      <c r="J170">
        <f t="shared" si="17"/>
        <v>6</v>
      </c>
      <c r="K170" t="s">
        <v>963</v>
      </c>
      <c r="L170" t="s">
        <v>116</v>
      </c>
      <c r="M170" t="s">
        <v>117</v>
      </c>
      <c r="P170" t="b">
        <v>0</v>
      </c>
      <c r="R170" t="s">
        <v>964</v>
      </c>
      <c r="T170" t="s">
        <v>119</v>
      </c>
      <c r="U170" t="s">
        <v>120</v>
      </c>
    </row>
    <row r="171" spans="1:21" x14ac:dyDescent="0.35">
      <c r="A171" t="s">
        <v>965</v>
      </c>
      <c r="B171" t="s">
        <v>38</v>
      </c>
      <c r="C171" t="s">
        <v>966</v>
      </c>
      <c r="D171" t="s">
        <v>967</v>
      </c>
      <c r="E171" s="5">
        <f t="shared" si="12"/>
        <v>46140.730601851858</v>
      </c>
      <c r="F171" s="6">
        <f t="shared" si="13"/>
        <v>46140</v>
      </c>
      <c r="G171" s="7">
        <f t="shared" si="14"/>
        <v>0.73060185185750015</v>
      </c>
      <c r="H171">
        <f t="shared" si="15"/>
        <v>4</v>
      </c>
      <c r="I171">
        <f t="shared" si="16"/>
        <v>2026</v>
      </c>
      <c r="J171">
        <f t="shared" si="17"/>
        <v>17</v>
      </c>
      <c r="K171" t="s">
        <v>968</v>
      </c>
      <c r="L171" t="s">
        <v>116</v>
      </c>
      <c r="M171" t="s">
        <v>117</v>
      </c>
      <c r="P171" t="b">
        <v>0</v>
      </c>
      <c r="R171" t="s">
        <v>969</v>
      </c>
      <c r="T171" t="s">
        <v>119</v>
      </c>
      <c r="U171" t="s">
        <v>120</v>
      </c>
    </row>
    <row r="172" spans="1:21" x14ac:dyDescent="0.35">
      <c r="A172" t="s">
        <v>970</v>
      </c>
      <c r="B172" t="s">
        <v>38</v>
      </c>
      <c r="C172" t="s">
        <v>971</v>
      </c>
      <c r="D172" t="s">
        <v>972</v>
      </c>
      <c r="E172" s="5">
        <f t="shared" si="12"/>
        <v>46140.650925925926</v>
      </c>
      <c r="F172" s="6">
        <f t="shared" si="13"/>
        <v>46140</v>
      </c>
      <c r="G172" s="7">
        <f t="shared" si="14"/>
        <v>0.65092592592554865</v>
      </c>
      <c r="H172">
        <f t="shared" si="15"/>
        <v>4</v>
      </c>
      <c r="I172">
        <f t="shared" si="16"/>
        <v>2026</v>
      </c>
      <c r="J172">
        <f t="shared" si="17"/>
        <v>15</v>
      </c>
      <c r="K172" t="s">
        <v>973</v>
      </c>
      <c r="L172" t="s">
        <v>116</v>
      </c>
      <c r="M172" t="s">
        <v>117</v>
      </c>
      <c r="P172" t="b">
        <v>0</v>
      </c>
      <c r="R172" t="s">
        <v>974</v>
      </c>
      <c r="T172" t="s">
        <v>119</v>
      </c>
      <c r="U172" t="s">
        <v>120</v>
      </c>
    </row>
    <row r="173" spans="1:21" x14ac:dyDescent="0.35">
      <c r="A173" t="s">
        <v>975</v>
      </c>
      <c r="B173" t="s">
        <v>38</v>
      </c>
      <c r="C173" t="s">
        <v>976</v>
      </c>
      <c r="D173" t="s">
        <v>977</v>
      </c>
      <c r="E173" s="5">
        <f t="shared" si="12"/>
        <v>46139.751435185186</v>
      </c>
      <c r="F173" s="6">
        <f t="shared" si="13"/>
        <v>46139</v>
      </c>
      <c r="G173" s="7">
        <f t="shared" si="14"/>
        <v>0.75143518518598285</v>
      </c>
      <c r="H173">
        <f t="shared" si="15"/>
        <v>4</v>
      </c>
      <c r="I173">
        <f t="shared" si="16"/>
        <v>2026</v>
      </c>
      <c r="J173">
        <f t="shared" si="17"/>
        <v>18</v>
      </c>
      <c r="K173" t="s">
        <v>978</v>
      </c>
      <c r="L173" t="s">
        <v>116</v>
      </c>
      <c r="M173" t="s">
        <v>117</v>
      </c>
      <c r="P173" t="b">
        <v>0</v>
      </c>
      <c r="R173" t="s">
        <v>979</v>
      </c>
      <c r="T173" t="s">
        <v>119</v>
      </c>
      <c r="U173" t="s">
        <v>120</v>
      </c>
    </row>
    <row r="174" spans="1:21" x14ac:dyDescent="0.35">
      <c r="A174" t="s">
        <v>980</v>
      </c>
      <c r="B174" t="s">
        <v>38</v>
      </c>
      <c r="C174" t="s">
        <v>981</v>
      </c>
      <c r="D174" t="s">
        <v>982</v>
      </c>
      <c r="E174" s="5">
        <f t="shared" si="12"/>
        <v>46139.719988425932</v>
      </c>
      <c r="F174" s="6">
        <f t="shared" si="13"/>
        <v>46139</v>
      </c>
      <c r="G174" s="7">
        <f t="shared" si="14"/>
        <v>0.71998842593166046</v>
      </c>
      <c r="H174">
        <f t="shared" si="15"/>
        <v>4</v>
      </c>
      <c r="I174">
        <f t="shared" si="16"/>
        <v>2026</v>
      </c>
      <c r="J174">
        <f t="shared" si="17"/>
        <v>17</v>
      </c>
      <c r="K174" t="s">
        <v>983</v>
      </c>
      <c r="L174" t="s">
        <v>116</v>
      </c>
      <c r="M174" t="s">
        <v>117</v>
      </c>
      <c r="P174" t="b">
        <v>0</v>
      </c>
      <c r="R174" t="s">
        <v>984</v>
      </c>
      <c r="T174" t="s">
        <v>119</v>
      </c>
      <c r="U174" t="s">
        <v>120</v>
      </c>
    </row>
    <row r="175" spans="1:21" x14ac:dyDescent="0.35">
      <c r="A175" t="s">
        <v>985</v>
      </c>
      <c r="B175" t="s">
        <v>38</v>
      </c>
      <c r="C175" t="s">
        <v>986</v>
      </c>
      <c r="D175" t="s">
        <v>987</v>
      </c>
      <c r="E175" s="5">
        <f t="shared" si="12"/>
        <v>46138.751064814816</v>
      </c>
      <c r="F175" s="6">
        <f t="shared" si="13"/>
        <v>46138</v>
      </c>
      <c r="G175" s="7">
        <f t="shared" si="14"/>
        <v>0.75106481481634546</v>
      </c>
      <c r="H175">
        <f t="shared" si="15"/>
        <v>4</v>
      </c>
      <c r="I175">
        <f t="shared" si="16"/>
        <v>2026</v>
      </c>
      <c r="J175">
        <f t="shared" si="17"/>
        <v>18</v>
      </c>
      <c r="K175" t="s">
        <v>988</v>
      </c>
      <c r="L175" t="s">
        <v>116</v>
      </c>
      <c r="M175" t="s">
        <v>117</v>
      </c>
      <c r="P175" t="b">
        <v>0</v>
      </c>
      <c r="R175" t="s">
        <v>989</v>
      </c>
      <c r="T175" t="s">
        <v>119</v>
      </c>
      <c r="U175" t="s">
        <v>120</v>
      </c>
    </row>
    <row r="176" spans="1:21" x14ac:dyDescent="0.35">
      <c r="A176" t="s">
        <v>990</v>
      </c>
      <c r="B176" t="s">
        <v>38</v>
      </c>
      <c r="C176" t="s">
        <v>991</v>
      </c>
      <c r="D176" t="s">
        <v>992</v>
      </c>
      <c r="E176" s="5">
        <f t="shared" si="12"/>
        <v>46138.656145833338</v>
      </c>
      <c r="F176" s="6">
        <f t="shared" si="13"/>
        <v>46138</v>
      </c>
      <c r="G176" s="7">
        <f t="shared" si="14"/>
        <v>0.65614583333808696</v>
      </c>
      <c r="H176">
        <f t="shared" si="15"/>
        <v>4</v>
      </c>
      <c r="I176">
        <f t="shared" si="16"/>
        <v>2026</v>
      </c>
      <c r="J176">
        <f t="shared" si="17"/>
        <v>15</v>
      </c>
      <c r="K176" t="s">
        <v>993</v>
      </c>
      <c r="L176" t="s">
        <v>116</v>
      </c>
      <c r="M176" t="s">
        <v>117</v>
      </c>
      <c r="P176" t="b">
        <v>0</v>
      </c>
      <c r="R176" t="s">
        <v>994</v>
      </c>
      <c r="T176" t="s">
        <v>119</v>
      </c>
      <c r="U176" t="s">
        <v>120</v>
      </c>
    </row>
    <row r="177" spans="1:21" x14ac:dyDescent="0.35">
      <c r="A177" t="s">
        <v>995</v>
      </c>
      <c r="B177" t="s">
        <v>38</v>
      </c>
      <c r="C177" t="s">
        <v>996</v>
      </c>
      <c r="D177" t="s">
        <v>997</v>
      </c>
      <c r="E177" s="5">
        <f t="shared" si="12"/>
        <v>46135.805671296301</v>
      </c>
      <c r="F177" s="6">
        <f t="shared" si="13"/>
        <v>46135</v>
      </c>
      <c r="G177" s="7">
        <f t="shared" si="14"/>
        <v>0.80567129630071577</v>
      </c>
      <c r="H177">
        <f t="shared" si="15"/>
        <v>4</v>
      </c>
      <c r="I177">
        <f t="shared" si="16"/>
        <v>2026</v>
      </c>
      <c r="J177">
        <f t="shared" si="17"/>
        <v>19</v>
      </c>
      <c r="K177" t="s">
        <v>998</v>
      </c>
      <c r="L177" t="s">
        <v>116</v>
      </c>
      <c r="M177" t="s">
        <v>117</v>
      </c>
      <c r="P177" t="b">
        <v>0</v>
      </c>
      <c r="R177" t="s">
        <v>999</v>
      </c>
      <c r="T177" t="s">
        <v>119</v>
      </c>
      <c r="U177" t="s">
        <v>120</v>
      </c>
    </row>
    <row r="178" spans="1:21" x14ac:dyDescent="0.35">
      <c r="A178" t="s">
        <v>1000</v>
      </c>
      <c r="B178" t="s">
        <v>38</v>
      </c>
      <c r="C178" t="s">
        <v>1001</v>
      </c>
      <c r="D178" t="s">
        <v>1002</v>
      </c>
      <c r="E178" s="5">
        <f t="shared" si="12"/>
        <v>46134.441388888888</v>
      </c>
      <c r="F178" s="6">
        <f t="shared" si="13"/>
        <v>46134</v>
      </c>
      <c r="G178" s="7">
        <f t="shared" si="14"/>
        <v>0.4413888888884685</v>
      </c>
      <c r="H178">
        <f t="shared" si="15"/>
        <v>4</v>
      </c>
      <c r="I178">
        <f t="shared" si="16"/>
        <v>2026</v>
      </c>
      <c r="J178">
        <f t="shared" si="17"/>
        <v>10</v>
      </c>
      <c r="K178" t="s">
        <v>1003</v>
      </c>
      <c r="L178" t="s">
        <v>116</v>
      </c>
      <c r="M178" t="s">
        <v>117</v>
      </c>
      <c r="P178" t="b">
        <v>0</v>
      </c>
      <c r="R178" t="s">
        <v>1004</v>
      </c>
      <c r="T178" t="s">
        <v>119</v>
      </c>
      <c r="U178" t="s">
        <v>120</v>
      </c>
    </row>
    <row r="179" spans="1:21" x14ac:dyDescent="0.35">
      <c r="A179" t="s">
        <v>1005</v>
      </c>
      <c r="B179" t="s">
        <v>38</v>
      </c>
      <c r="C179" t="s">
        <v>1006</v>
      </c>
      <c r="D179" t="s">
        <v>1007</v>
      </c>
      <c r="E179" s="5">
        <f t="shared" si="12"/>
        <v>46133.399201388893</v>
      </c>
      <c r="F179" s="6">
        <f t="shared" si="13"/>
        <v>46133</v>
      </c>
      <c r="G179" s="7">
        <f t="shared" si="14"/>
        <v>0.39920138889283407</v>
      </c>
      <c r="H179">
        <f t="shared" si="15"/>
        <v>4</v>
      </c>
      <c r="I179">
        <f t="shared" si="16"/>
        <v>2026</v>
      </c>
      <c r="J179">
        <f t="shared" si="17"/>
        <v>9</v>
      </c>
      <c r="K179" t="s">
        <v>1008</v>
      </c>
      <c r="L179" t="s">
        <v>116</v>
      </c>
      <c r="M179" t="s">
        <v>117</v>
      </c>
      <c r="P179" t="b">
        <v>0</v>
      </c>
      <c r="R179" t="s">
        <v>1009</v>
      </c>
      <c r="T179" t="s">
        <v>119</v>
      </c>
      <c r="U179" t="s">
        <v>120</v>
      </c>
    </row>
    <row r="180" spans="1:21" x14ac:dyDescent="0.35">
      <c r="A180" t="s">
        <v>1010</v>
      </c>
      <c r="B180" t="s">
        <v>38</v>
      </c>
      <c r="C180" t="s">
        <v>1011</v>
      </c>
      <c r="D180" t="s">
        <v>1012</v>
      </c>
      <c r="E180" s="5">
        <f t="shared" si="12"/>
        <v>46125.816400462965</v>
      </c>
      <c r="F180" s="6">
        <f t="shared" si="13"/>
        <v>46125</v>
      </c>
      <c r="G180" s="7">
        <f t="shared" si="14"/>
        <v>0.81640046296524815</v>
      </c>
      <c r="H180">
        <f t="shared" si="15"/>
        <v>4</v>
      </c>
      <c r="I180">
        <f t="shared" si="16"/>
        <v>2026</v>
      </c>
      <c r="J180">
        <f t="shared" si="17"/>
        <v>19</v>
      </c>
      <c r="K180" t="s">
        <v>1013</v>
      </c>
      <c r="L180" t="s">
        <v>116</v>
      </c>
      <c r="M180" t="s">
        <v>117</v>
      </c>
      <c r="P180" t="b">
        <v>0</v>
      </c>
      <c r="R180" t="s">
        <v>1014</v>
      </c>
      <c r="T180" t="s">
        <v>119</v>
      </c>
      <c r="U180" t="s">
        <v>120</v>
      </c>
    </row>
    <row r="181" spans="1:21" x14ac:dyDescent="0.35">
      <c r="A181" t="s">
        <v>1015</v>
      </c>
      <c r="B181" t="s">
        <v>38</v>
      </c>
      <c r="C181" t="s">
        <v>1016</v>
      </c>
      <c r="D181" t="s">
        <v>1017</v>
      </c>
      <c r="E181" s="5">
        <f t="shared" si="12"/>
        <v>46125.760092592594</v>
      </c>
      <c r="F181" s="6">
        <f t="shared" si="13"/>
        <v>46125</v>
      </c>
      <c r="G181" s="7">
        <f t="shared" si="14"/>
        <v>0.76009259259444661</v>
      </c>
      <c r="H181">
        <f t="shared" si="15"/>
        <v>4</v>
      </c>
      <c r="I181">
        <f t="shared" si="16"/>
        <v>2026</v>
      </c>
      <c r="J181">
        <f t="shared" si="17"/>
        <v>18</v>
      </c>
      <c r="K181" t="s">
        <v>1018</v>
      </c>
      <c r="L181" t="s">
        <v>116</v>
      </c>
      <c r="M181" t="s">
        <v>117</v>
      </c>
      <c r="P181" t="b">
        <v>0</v>
      </c>
      <c r="R181" t="s">
        <v>1019</v>
      </c>
      <c r="T181" t="s">
        <v>119</v>
      </c>
      <c r="U181" t="s">
        <v>120</v>
      </c>
    </row>
    <row r="182" spans="1:21" x14ac:dyDescent="0.35">
      <c r="A182" t="s">
        <v>1020</v>
      </c>
      <c r="B182" t="s">
        <v>38</v>
      </c>
      <c r="C182" t="s">
        <v>1021</v>
      </c>
      <c r="D182" t="s">
        <v>1022</v>
      </c>
      <c r="E182" s="5">
        <f t="shared" si="12"/>
        <v>46125.709525462968</v>
      </c>
      <c r="F182" s="6">
        <f t="shared" si="13"/>
        <v>46125</v>
      </c>
      <c r="G182" s="7">
        <f t="shared" si="14"/>
        <v>0.70952546296757646</v>
      </c>
      <c r="H182">
        <f t="shared" si="15"/>
        <v>4</v>
      </c>
      <c r="I182">
        <f t="shared" si="16"/>
        <v>2026</v>
      </c>
      <c r="J182">
        <f t="shared" si="17"/>
        <v>17</v>
      </c>
      <c r="K182" t="s">
        <v>1023</v>
      </c>
      <c r="L182" t="s">
        <v>116</v>
      </c>
      <c r="M182" t="s">
        <v>117</v>
      </c>
      <c r="P182" t="b">
        <v>0</v>
      </c>
      <c r="R182" t="s">
        <v>1024</v>
      </c>
      <c r="T182" t="s">
        <v>119</v>
      </c>
      <c r="U182" t="s">
        <v>120</v>
      </c>
    </row>
    <row r="183" spans="1:21" x14ac:dyDescent="0.35">
      <c r="A183" t="s">
        <v>1025</v>
      </c>
      <c r="B183" t="s">
        <v>38</v>
      </c>
      <c r="C183" t="s">
        <v>1026</v>
      </c>
      <c r="D183" t="s">
        <v>1027</v>
      </c>
      <c r="E183" s="5">
        <f t="shared" si="12"/>
        <v>46124.837581018524</v>
      </c>
      <c r="F183" s="6">
        <f t="shared" si="13"/>
        <v>46124</v>
      </c>
      <c r="G183" s="7">
        <f t="shared" si="14"/>
        <v>0.83758101852436084</v>
      </c>
      <c r="H183">
        <f t="shared" si="15"/>
        <v>4</v>
      </c>
      <c r="I183">
        <f t="shared" si="16"/>
        <v>2026</v>
      </c>
      <c r="J183">
        <f t="shared" si="17"/>
        <v>20</v>
      </c>
      <c r="K183" t="s">
        <v>1028</v>
      </c>
      <c r="L183" t="s">
        <v>116</v>
      </c>
      <c r="M183" t="s">
        <v>117</v>
      </c>
      <c r="P183" t="b">
        <v>0</v>
      </c>
      <c r="R183" t="s">
        <v>1029</v>
      </c>
      <c r="T183" t="s">
        <v>119</v>
      </c>
      <c r="U183" t="s">
        <v>120</v>
      </c>
    </row>
    <row r="184" spans="1:21" x14ac:dyDescent="0.35">
      <c r="A184" t="s">
        <v>1030</v>
      </c>
      <c r="B184" t="s">
        <v>38</v>
      </c>
      <c r="C184" t="s">
        <v>1031</v>
      </c>
      <c r="D184" t="s">
        <v>1032</v>
      </c>
      <c r="E184" s="5">
        <f t="shared" si="12"/>
        <v>46124.772476851853</v>
      </c>
      <c r="F184" s="6">
        <f t="shared" si="13"/>
        <v>46124</v>
      </c>
      <c r="G184" s="7">
        <f t="shared" si="14"/>
        <v>0.77247685185284354</v>
      </c>
      <c r="H184">
        <f t="shared" si="15"/>
        <v>4</v>
      </c>
      <c r="I184">
        <f t="shared" si="16"/>
        <v>2026</v>
      </c>
      <c r="J184">
        <f t="shared" si="17"/>
        <v>18</v>
      </c>
      <c r="K184" t="s">
        <v>1033</v>
      </c>
      <c r="L184" t="s">
        <v>116</v>
      </c>
      <c r="M184" t="s">
        <v>117</v>
      </c>
      <c r="P184" t="b">
        <v>0</v>
      </c>
      <c r="R184" t="s">
        <v>1034</v>
      </c>
      <c r="T184" t="s">
        <v>119</v>
      </c>
      <c r="U184" t="s">
        <v>120</v>
      </c>
    </row>
    <row r="185" spans="1:21" x14ac:dyDescent="0.35">
      <c r="A185" t="s">
        <v>1035</v>
      </c>
      <c r="B185" t="s">
        <v>38</v>
      </c>
      <c r="C185" t="s">
        <v>1036</v>
      </c>
      <c r="D185" t="s">
        <v>1037</v>
      </c>
      <c r="E185" s="5">
        <f t="shared" si="12"/>
        <v>46124.77144675926</v>
      </c>
      <c r="F185" s="6">
        <f t="shared" si="13"/>
        <v>46124</v>
      </c>
      <c r="G185" s="7">
        <f t="shared" si="14"/>
        <v>0.77144675925956108</v>
      </c>
      <c r="H185">
        <f t="shared" si="15"/>
        <v>4</v>
      </c>
      <c r="I185">
        <f t="shared" si="16"/>
        <v>2026</v>
      </c>
      <c r="J185">
        <f t="shared" si="17"/>
        <v>18</v>
      </c>
      <c r="K185" t="s">
        <v>1038</v>
      </c>
      <c r="L185" t="s">
        <v>116</v>
      </c>
      <c r="M185" t="s">
        <v>117</v>
      </c>
      <c r="P185" t="b">
        <v>0</v>
      </c>
      <c r="R185" t="s">
        <v>1039</v>
      </c>
      <c r="T185" t="s">
        <v>119</v>
      </c>
      <c r="U185" t="s">
        <v>120</v>
      </c>
    </row>
    <row r="186" spans="1:21" x14ac:dyDescent="0.35">
      <c r="A186" t="s">
        <v>1040</v>
      </c>
      <c r="B186" t="s">
        <v>38</v>
      </c>
      <c r="C186" t="s">
        <v>1041</v>
      </c>
      <c r="D186" t="s">
        <v>1042</v>
      </c>
      <c r="E186" s="5">
        <f t="shared" si="12"/>
        <v>46123.699270833335</v>
      </c>
      <c r="F186" s="6">
        <f t="shared" si="13"/>
        <v>46123</v>
      </c>
      <c r="G186" s="7">
        <f t="shared" si="14"/>
        <v>0.6992708333345945</v>
      </c>
      <c r="H186">
        <f t="shared" si="15"/>
        <v>4</v>
      </c>
      <c r="I186">
        <f t="shared" si="16"/>
        <v>2026</v>
      </c>
      <c r="J186">
        <f t="shared" si="17"/>
        <v>16</v>
      </c>
      <c r="K186" t="s">
        <v>1043</v>
      </c>
      <c r="L186" t="s">
        <v>116</v>
      </c>
      <c r="M186" t="s">
        <v>117</v>
      </c>
      <c r="P186" t="b">
        <v>0</v>
      </c>
      <c r="R186" t="s">
        <v>1044</v>
      </c>
      <c r="T186" t="s">
        <v>119</v>
      </c>
      <c r="U186" t="s">
        <v>120</v>
      </c>
    </row>
    <row r="187" spans="1:21" x14ac:dyDescent="0.35">
      <c r="A187" t="s">
        <v>1045</v>
      </c>
      <c r="B187" t="s">
        <v>38</v>
      </c>
      <c r="C187" t="s">
        <v>1046</v>
      </c>
      <c r="D187" t="s">
        <v>1047</v>
      </c>
      <c r="E187" s="5">
        <f t="shared" si="12"/>
        <v>46123.59850694445</v>
      </c>
      <c r="F187" s="6">
        <f t="shared" si="13"/>
        <v>46123</v>
      </c>
      <c r="G187" s="7">
        <f t="shared" si="14"/>
        <v>0.59850694445049157</v>
      </c>
      <c r="H187">
        <f t="shared" si="15"/>
        <v>4</v>
      </c>
      <c r="I187">
        <f t="shared" si="16"/>
        <v>2026</v>
      </c>
      <c r="J187">
        <f t="shared" si="17"/>
        <v>14</v>
      </c>
      <c r="K187" t="s">
        <v>1048</v>
      </c>
      <c r="L187" t="s">
        <v>116</v>
      </c>
      <c r="M187" t="s">
        <v>117</v>
      </c>
      <c r="P187" t="b">
        <v>0</v>
      </c>
      <c r="R187" t="s">
        <v>1049</v>
      </c>
      <c r="T187" t="s">
        <v>119</v>
      </c>
      <c r="U187" t="s">
        <v>120</v>
      </c>
    </row>
    <row r="188" spans="1:21" x14ac:dyDescent="0.35">
      <c r="A188" t="s">
        <v>1050</v>
      </c>
      <c r="B188" t="s">
        <v>38</v>
      </c>
      <c r="C188" t="s">
        <v>1051</v>
      </c>
      <c r="D188" t="s">
        <v>1052</v>
      </c>
      <c r="E188" s="5">
        <f t="shared" si="12"/>
        <v>46123.592604166668</v>
      </c>
      <c r="F188" s="6">
        <f t="shared" si="13"/>
        <v>46123</v>
      </c>
      <c r="G188" s="7">
        <f t="shared" si="14"/>
        <v>0.59260416666802485</v>
      </c>
      <c r="H188">
        <f t="shared" si="15"/>
        <v>4</v>
      </c>
      <c r="I188">
        <f t="shared" si="16"/>
        <v>2026</v>
      </c>
      <c r="J188">
        <f t="shared" si="17"/>
        <v>14</v>
      </c>
      <c r="K188" t="s">
        <v>1053</v>
      </c>
      <c r="L188" t="s">
        <v>116</v>
      </c>
      <c r="M188" t="s">
        <v>117</v>
      </c>
      <c r="P188" t="b">
        <v>0</v>
      </c>
      <c r="R188" t="s">
        <v>1054</v>
      </c>
      <c r="T188" t="s">
        <v>119</v>
      </c>
      <c r="U188" t="s">
        <v>120</v>
      </c>
    </row>
    <row r="189" spans="1:21" x14ac:dyDescent="0.35">
      <c r="A189" t="s">
        <v>1055</v>
      </c>
      <c r="B189" t="s">
        <v>38</v>
      </c>
      <c r="C189" t="s">
        <v>1056</v>
      </c>
      <c r="D189" t="s">
        <v>1057</v>
      </c>
      <c r="E189" s="5">
        <f t="shared" si="12"/>
        <v>46123.540636574078</v>
      </c>
      <c r="F189" s="6">
        <f t="shared" si="13"/>
        <v>46123</v>
      </c>
      <c r="G189" s="7">
        <f t="shared" si="14"/>
        <v>0.54063657407823484</v>
      </c>
      <c r="H189">
        <f t="shared" si="15"/>
        <v>4</v>
      </c>
      <c r="I189">
        <f t="shared" si="16"/>
        <v>2026</v>
      </c>
      <c r="J189">
        <f t="shared" si="17"/>
        <v>12</v>
      </c>
      <c r="K189" t="s">
        <v>1058</v>
      </c>
      <c r="L189" t="s">
        <v>116</v>
      </c>
      <c r="M189" t="s">
        <v>117</v>
      </c>
      <c r="P189" t="b">
        <v>0</v>
      </c>
      <c r="R189" t="s">
        <v>1059</v>
      </c>
      <c r="T189" t="s">
        <v>119</v>
      </c>
      <c r="U189" t="s">
        <v>120</v>
      </c>
    </row>
    <row r="190" spans="1:21" x14ac:dyDescent="0.35">
      <c r="A190" t="s">
        <v>1060</v>
      </c>
      <c r="B190" t="s">
        <v>38</v>
      </c>
      <c r="C190" t="s">
        <v>1061</v>
      </c>
      <c r="D190" t="s">
        <v>1062</v>
      </c>
      <c r="E190" s="5">
        <f t="shared" si="12"/>
        <v>46122.896018518521</v>
      </c>
      <c r="F190" s="6">
        <f t="shared" si="13"/>
        <v>46122</v>
      </c>
      <c r="G190" s="7">
        <f t="shared" si="14"/>
        <v>0.89601851852057735</v>
      </c>
      <c r="H190">
        <f t="shared" si="15"/>
        <v>4</v>
      </c>
      <c r="I190">
        <f t="shared" si="16"/>
        <v>2026</v>
      </c>
      <c r="J190">
        <f t="shared" si="17"/>
        <v>21</v>
      </c>
      <c r="K190" t="s">
        <v>1063</v>
      </c>
      <c r="L190" t="s">
        <v>116</v>
      </c>
      <c r="M190" t="s">
        <v>117</v>
      </c>
      <c r="P190" t="b">
        <v>0</v>
      </c>
      <c r="R190" t="s">
        <v>1064</v>
      </c>
      <c r="T190" t="s">
        <v>119</v>
      </c>
      <c r="U190" t="s">
        <v>120</v>
      </c>
    </row>
    <row r="191" spans="1:21" x14ac:dyDescent="0.35">
      <c r="A191" t="s">
        <v>1065</v>
      </c>
      <c r="B191" t="s">
        <v>38</v>
      </c>
      <c r="C191" t="s">
        <v>1066</v>
      </c>
      <c r="D191" t="s">
        <v>1067</v>
      </c>
      <c r="E191" s="5">
        <f t="shared" si="12"/>
        <v>46122.271261574075</v>
      </c>
      <c r="F191" s="6">
        <f t="shared" si="13"/>
        <v>46122</v>
      </c>
      <c r="G191" s="7">
        <f t="shared" si="14"/>
        <v>0.27126157407474238</v>
      </c>
      <c r="H191">
        <f t="shared" si="15"/>
        <v>4</v>
      </c>
      <c r="I191">
        <f t="shared" si="16"/>
        <v>2026</v>
      </c>
      <c r="J191">
        <f t="shared" si="17"/>
        <v>6</v>
      </c>
      <c r="K191" t="s">
        <v>1068</v>
      </c>
      <c r="L191" t="s">
        <v>116</v>
      </c>
      <c r="M191" t="s">
        <v>117</v>
      </c>
      <c r="P191" t="b">
        <v>0</v>
      </c>
      <c r="R191" t="s">
        <v>1069</v>
      </c>
      <c r="T191" t="s">
        <v>119</v>
      </c>
      <c r="U191" t="s">
        <v>120</v>
      </c>
    </row>
    <row r="192" spans="1:21" x14ac:dyDescent="0.35">
      <c r="A192" t="s">
        <v>1070</v>
      </c>
      <c r="B192" t="s">
        <v>38</v>
      </c>
      <c r="C192" t="s">
        <v>1071</v>
      </c>
      <c r="D192" t="s">
        <v>1072</v>
      </c>
      <c r="E192" s="5">
        <f t="shared" si="12"/>
        <v>46121.688877314817</v>
      </c>
      <c r="F192" s="6">
        <f t="shared" si="13"/>
        <v>46121</v>
      </c>
      <c r="G192" s="7">
        <f t="shared" si="14"/>
        <v>0.6888773148166365</v>
      </c>
      <c r="H192">
        <f t="shared" si="15"/>
        <v>4</v>
      </c>
      <c r="I192">
        <f t="shared" si="16"/>
        <v>2026</v>
      </c>
      <c r="J192">
        <f t="shared" si="17"/>
        <v>16</v>
      </c>
      <c r="K192" t="s">
        <v>1073</v>
      </c>
      <c r="L192" t="s">
        <v>116</v>
      </c>
      <c r="M192" t="s">
        <v>117</v>
      </c>
      <c r="P192" t="b">
        <v>0</v>
      </c>
      <c r="R192" t="s">
        <v>1074</v>
      </c>
      <c r="T192" t="s">
        <v>119</v>
      </c>
      <c r="U192" t="s">
        <v>120</v>
      </c>
    </row>
    <row r="193" spans="1:21" x14ac:dyDescent="0.35">
      <c r="A193" t="s">
        <v>1075</v>
      </c>
      <c r="B193" t="s">
        <v>38</v>
      </c>
      <c r="C193" t="s">
        <v>1076</v>
      </c>
      <c r="D193" t="s">
        <v>1077</v>
      </c>
      <c r="E193" s="5">
        <f t="shared" si="12"/>
        <v>46121.671365740745</v>
      </c>
      <c r="F193" s="6">
        <f t="shared" si="13"/>
        <v>46121</v>
      </c>
      <c r="G193" s="7">
        <f t="shared" si="14"/>
        <v>0.67136574074538657</v>
      </c>
      <c r="H193">
        <f t="shared" si="15"/>
        <v>4</v>
      </c>
      <c r="I193">
        <f t="shared" si="16"/>
        <v>2026</v>
      </c>
      <c r="J193">
        <f t="shared" si="17"/>
        <v>16</v>
      </c>
      <c r="K193" t="s">
        <v>1078</v>
      </c>
      <c r="L193" t="s">
        <v>116</v>
      </c>
      <c r="M193" t="s">
        <v>117</v>
      </c>
      <c r="P193" t="b">
        <v>0</v>
      </c>
      <c r="R193" t="s">
        <v>1079</v>
      </c>
      <c r="T193" t="s">
        <v>119</v>
      </c>
      <c r="U193" t="s">
        <v>120</v>
      </c>
    </row>
    <row r="194" spans="1:21" x14ac:dyDescent="0.35">
      <c r="A194" t="s">
        <v>1080</v>
      </c>
      <c r="B194" t="s">
        <v>38</v>
      </c>
      <c r="C194" t="s">
        <v>1081</v>
      </c>
      <c r="D194" t="s">
        <v>1082</v>
      </c>
      <c r="E194" s="5">
        <f t="shared" ref="E194:E257" si="18">IF(D194="","",DATE(VALUE(LEFT(D194,4)),VALUE(MID(D194,6,2)),VALUE(MID(D194,9,2)))+TIME(VALUE(MID(D194,12,2)),VALUE(MID(D194,15,2)),VALUE(MID(D194,18,2)))-IF(AND(DATE(VALUE(LEFT(D194,4)),VALUE(MID(D194,6,2)),VALUE(MID(D194,9,2)))+TIME(VALUE(MID(D194,12,2)),VALUE(MID(D194,15,2)),VALUE(MID(D194,18,2)))&gt;=DATE(VALUE(LEFT(D194,4)),3,1)+MOD(8-WEEKDAY(DATE(VALUE(LEFT(D194,4)),3,1)),7)+7+TIME(7,0,0),DATE(VALUE(LEFT(D194,4)),3,1)+MOD(8-WEEKDAY(DATE(VALUE(LEFT(D194,4)),3,1)),7)+7+TIME(7,0,0)&lt;DATE(VALUE(LEFT(D194,4)),11,1)+MOD(8-WEEKDAY(DATE(VALUE(LEFT(D194,4)),11,1)),7)+TIME(6,0,0)), TIME(4,0,0),TIME(5,0,0)))</f>
        <v>46121.498252314814</v>
      </c>
      <c r="F194" s="6">
        <f t="shared" ref="F194:F257" si="19">IF(E194="","",INT(E194))</f>
        <v>46121</v>
      </c>
      <c r="G194" s="7">
        <f t="shared" ref="G194:G257" si="20">IF(E194="","",MOD(E194,1))</f>
        <v>0.49825231481372612</v>
      </c>
      <c r="H194">
        <f t="shared" ref="H194:H257" si="21">IF(E194="","",MONTH(E194))</f>
        <v>4</v>
      </c>
      <c r="I194">
        <f t="shared" ref="I194:I257" si="22">IF(E194="","",YEAR(E194))</f>
        <v>2026</v>
      </c>
      <c r="J194">
        <f t="shared" ref="J194:J257" si="23">IF(E194="","",HOUR(E194))</f>
        <v>11</v>
      </c>
      <c r="K194" t="s">
        <v>1083</v>
      </c>
      <c r="L194" t="s">
        <v>116</v>
      </c>
      <c r="M194" t="s">
        <v>117</v>
      </c>
      <c r="P194" t="b">
        <v>0</v>
      </c>
      <c r="R194" t="s">
        <v>1084</v>
      </c>
      <c r="T194" t="s">
        <v>119</v>
      </c>
      <c r="U194" t="s">
        <v>120</v>
      </c>
    </row>
    <row r="195" spans="1:21" x14ac:dyDescent="0.35">
      <c r="A195" t="s">
        <v>1085</v>
      </c>
      <c r="B195" t="s">
        <v>38</v>
      </c>
      <c r="C195" t="s">
        <v>1086</v>
      </c>
      <c r="D195" t="s">
        <v>1087</v>
      </c>
      <c r="E195" s="5">
        <f t="shared" si="18"/>
        <v>46121.463622685187</v>
      </c>
      <c r="F195" s="6">
        <f t="shared" si="19"/>
        <v>46121</v>
      </c>
      <c r="G195" s="7">
        <f t="shared" si="20"/>
        <v>0.463622685187147</v>
      </c>
      <c r="H195">
        <f t="shared" si="21"/>
        <v>4</v>
      </c>
      <c r="I195">
        <f t="shared" si="22"/>
        <v>2026</v>
      </c>
      <c r="J195">
        <f t="shared" si="23"/>
        <v>11</v>
      </c>
      <c r="K195" t="s">
        <v>1088</v>
      </c>
      <c r="L195" t="s">
        <v>116</v>
      </c>
      <c r="M195" t="s">
        <v>117</v>
      </c>
      <c r="P195" t="b">
        <v>0</v>
      </c>
      <c r="R195" t="s">
        <v>1089</v>
      </c>
      <c r="T195" t="s">
        <v>119</v>
      </c>
      <c r="U195" t="s">
        <v>120</v>
      </c>
    </row>
    <row r="196" spans="1:21" x14ac:dyDescent="0.35">
      <c r="A196" t="s">
        <v>1090</v>
      </c>
      <c r="B196" t="s">
        <v>38</v>
      </c>
      <c r="C196" t="s">
        <v>1091</v>
      </c>
      <c r="D196" t="s">
        <v>1092</v>
      </c>
      <c r="E196" s="5">
        <f t="shared" si="18"/>
        <v>46118.703136574077</v>
      </c>
      <c r="F196" s="6">
        <f t="shared" si="19"/>
        <v>46118</v>
      </c>
      <c r="G196" s="7">
        <f t="shared" si="20"/>
        <v>0.70313657407677965</v>
      </c>
      <c r="H196">
        <f t="shared" si="21"/>
        <v>4</v>
      </c>
      <c r="I196">
        <f t="shared" si="22"/>
        <v>2026</v>
      </c>
      <c r="J196">
        <f t="shared" si="23"/>
        <v>16</v>
      </c>
      <c r="K196" t="s">
        <v>1093</v>
      </c>
      <c r="L196" t="s">
        <v>116</v>
      </c>
      <c r="M196" t="s">
        <v>117</v>
      </c>
      <c r="P196" t="b">
        <v>0</v>
      </c>
      <c r="R196" t="s">
        <v>1094</v>
      </c>
      <c r="T196" t="s">
        <v>119</v>
      </c>
      <c r="U196" t="s">
        <v>120</v>
      </c>
    </row>
    <row r="197" spans="1:21" x14ac:dyDescent="0.35">
      <c r="A197" t="s">
        <v>1095</v>
      </c>
      <c r="B197" t="s">
        <v>38</v>
      </c>
      <c r="C197" t="s">
        <v>1096</v>
      </c>
      <c r="D197" t="s">
        <v>1097</v>
      </c>
      <c r="E197" s="5">
        <f t="shared" si="18"/>
        <v>46113.534143518518</v>
      </c>
      <c r="F197" s="6">
        <f t="shared" si="19"/>
        <v>46113</v>
      </c>
      <c r="G197" s="7">
        <f t="shared" si="20"/>
        <v>0.53414351851824904</v>
      </c>
      <c r="H197">
        <f t="shared" si="21"/>
        <v>4</v>
      </c>
      <c r="I197">
        <f t="shared" si="22"/>
        <v>2026</v>
      </c>
      <c r="J197">
        <f t="shared" si="23"/>
        <v>12</v>
      </c>
      <c r="K197" t="s">
        <v>1098</v>
      </c>
      <c r="L197" t="s">
        <v>116</v>
      </c>
      <c r="M197" t="s">
        <v>117</v>
      </c>
      <c r="P197" t="b">
        <v>0</v>
      </c>
      <c r="R197" t="s">
        <v>1099</v>
      </c>
      <c r="T197" t="s">
        <v>119</v>
      </c>
      <c r="U197" t="s">
        <v>120</v>
      </c>
    </row>
    <row r="198" spans="1:21" x14ac:dyDescent="0.35">
      <c r="A198" t="s">
        <v>1100</v>
      </c>
      <c r="B198" t="s">
        <v>38</v>
      </c>
      <c r="C198" t="s">
        <v>1101</v>
      </c>
      <c r="D198" t="s">
        <v>1102</v>
      </c>
      <c r="E198" s="5">
        <f t="shared" si="18"/>
        <v>46110.701053240744</v>
      </c>
      <c r="F198" s="6">
        <f t="shared" si="19"/>
        <v>46110</v>
      </c>
      <c r="G198" s="7">
        <f t="shared" si="20"/>
        <v>0.70105324074393138</v>
      </c>
      <c r="H198">
        <f t="shared" si="21"/>
        <v>3</v>
      </c>
      <c r="I198">
        <f t="shared" si="22"/>
        <v>2026</v>
      </c>
      <c r="J198">
        <f t="shared" si="23"/>
        <v>16</v>
      </c>
      <c r="K198" t="s">
        <v>1103</v>
      </c>
      <c r="L198" t="s">
        <v>116</v>
      </c>
      <c r="M198" t="s">
        <v>117</v>
      </c>
      <c r="P198" t="b">
        <v>0</v>
      </c>
      <c r="R198" t="s">
        <v>1104</v>
      </c>
      <c r="T198" t="s">
        <v>119</v>
      </c>
      <c r="U198" t="s">
        <v>120</v>
      </c>
    </row>
    <row r="199" spans="1:21" x14ac:dyDescent="0.35">
      <c r="A199" t="s">
        <v>1105</v>
      </c>
      <c r="B199" t="s">
        <v>40</v>
      </c>
      <c r="C199" t="s">
        <v>1106</v>
      </c>
      <c r="D199" t="s">
        <v>1107</v>
      </c>
      <c r="E199" s="5">
        <f t="shared" si="18"/>
        <v>46062.769363425927</v>
      </c>
      <c r="F199" s="6">
        <f t="shared" si="19"/>
        <v>46062</v>
      </c>
      <c r="G199" s="7">
        <f t="shared" si="20"/>
        <v>0.76936342592671281</v>
      </c>
      <c r="H199">
        <f t="shared" si="21"/>
        <v>2</v>
      </c>
      <c r="I199">
        <f t="shared" si="22"/>
        <v>2026</v>
      </c>
      <c r="J199">
        <f t="shared" si="23"/>
        <v>18</v>
      </c>
      <c r="K199" t="s">
        <v>1108</v>
      </c>
      <c r="L199" t="s">
        <v>116</v>
      </c>
      <c r="M199" t="s">
        <v>295</v>
      </c>
      <c r="N199" t="s">
        <v>117</v>
      </c>
      <c r="R199" t="s">
        <v>1109</v>
      </c>
      <c r="T199" t="s">
        <v>119</v>
      </c>
      <c r="U199" t="s">
        <v>120</v>
      </c>
    </row>
    <row r="200" spans="1:21" x14ac:dyDescent="0.35">
      <c r="A200" t="s">
        <v>1110</v>
      </c>
      <c r="B200" t="s">
        <v>42</v>
      </c>
      <c r="C200" t="s">
        <v>1111</v>
      </c>
      <c r="D200" t="s">
        <v>1112</v>
      </c>
      <c r="E200" s="5">
        <f t="shared" si="18"/>
        <v>46242.34375</v>
      </c>
      <c r="F200" s="6">
        <f t="shared" si="19"/>
        <v>46242</v>
      </c>
      <c r="G200" s="7">
        <f t="shared" si="20"/>
        <v>0.34375</v>
      </c>
      <c r="H200">
        <f t="shared" si="21"/>
        <v>8</v>
      </c>
      <c r="I200">
        <f t="shared" si="22"/>
        <v>2026</v>
      </c>
      <c r="J200">
        <f t="shared" si="23"/>
        <v>8</v>
      </c>
      <c r="K200" t="s">
        <v>1113</v>
      </c>
      <c r="L200" t="s">
        <v>116</v>
      </c>
      <c r="M200" t="s">
        <v>117</v>
      </c>
      <c r="P200" t="b">
        <v>0</v>
      </c>
      <c r="R200" t="s">
        <v>1114</v>
      </c>
      <c r="S200">
        <v>0</v>
      </c>
      <c r="T200" t="s">
        <v>119</v>
      </c>
      <c r="U200" t="s">
        <v>120</v>
      </c>
    </row>
    <row r="201" spans="1:21" x14ac:dyDescent="0.35">
      <c r="A201" t="s">
        <v>1115</v>
      </c>
      <c r="B201" t="s">
        <v>42</v>
      </c>
      <c r="C201" t="s">
        <v>1116</v>
      </c>
      <c r="D201" t="s">
        <v>1117</v>
      </c>
      <c r="E201" s="5">
        <f t="shared" si="18"/>
        <v>46223.587500000001</v>
      </c>
      <c r="F201" s="6">
        <f t="shared" si="19"/>
        <v>46223</v>
      </c>
      <c r="G201" s="7">
        <f t="shared" si="20"/>
        <v>0.58750000000145519</v>
      </c>
      <c r="H201">
        <f t="shared" si="21"/>
        <v>7</v>
      </c>
      <c r="I201">
        <f t="shared" si="22"/>
        <v>2026</v>
      </c>
      <c r="J201">
        <f t="shared" si="23"/>
        <v>14</v>
      </c>
      <c r="K201" t="s">
        <v>1118</v>
      </c>
      <c r="L201" t="s">
        <v>116</v>
      </c>
      <c r="M201" t="s">
        <v>117</v>
      </c>
      <c r="P201" t="b">
        <v>0</v>
      </c>
      <c r="R201" t="s">
        <v>1119</v>
      </c>
      <c r="T201" t="s">
        <v>119</v>
      </c>
      <c r="U201" t="s">
        <v>146</v>
      </c>
    </row>
    <row r="202" spans="1:21" x14ac:dyDescent="0.35">
      <c r="A202" t="s">
        <v>1120</v>
      </c>
      <c r="B202" t="s">
        <v>42</v>
      </c>
      <c r="C202" t="s">
        <v>1121</v>
      </c>
      <c r="D202" t="s">
        <v>1122</v>
      </c>
      <c r="E202" s="5">
        <f t="shared" si="18"/>
        <v>46170.799305555556</v>
      </c>
      <c r="F202" s="6">
        <f t="shared" si="19"/>
        <v>46170</v>
      </c>
      <c r="G202" s="7">
        <f t="shared" si="20"/>
        <v>0.79930555555620231</v>
      </c>
      <c r="H202">
        <f t="shared" si="21"/>
        <v>5</v>
      </c>
      <c r="I202">
        <f t="shared" si="22"/>
        <v>2026</v>
      </c>
      <c r="J202">
        <f t="shared" si="23"/>
        <v>19</v>
      </c>
      <c r="K202" t="s">
        <v>1123</v>
      </c>
      <c r="L202" t="s">
        <v>116</v>
      </c>
      <c r="M202" t="s">
        <v>117</v>
      </c>
      <c r="P202" t="b">
        <v>0</v>
      </c>
      <c r="R202" t="s">
        <v>1124</v>
      </c>
      <c r="T202" t="s">
        <v>119</v>
      </c>
      <c r="U202" t="s">
        <v>120</v>
      </c>
    </row>
    <row r="203" spans="1:21" x14ac:dyDescent="0.35">
      <c r="A203" t="s">
        <v>1125</v>
      </c>
      <c r="B203" t="s">
        <v>42</v>
      </c>
      <c r="C203" t="s">
        <v>1126</v>
      </c>
      <c r="D203" t="s">
        <v>1127</v>
      </c>
      <c r="E203" s="5">
        <f t="shared" si="18"/>
        <v>46169.693750000006</v>
      </c>
      <c r="F203" s="6">
        <f t="shared" si="19"/>
        <v>46169</v>
      </c>
      <c r="G203" s="7">
        <f t="shared" si="20"/>
        <v>0.69375000000582077</v>
      </c>
      <c r="H203">
        <f t="shared" si="21"/>
        <v>5</v>
      </c>
      <c r="I203">
        <f t="shared" si="22"/>
        <v>2026</v>
      </c>
      <c r="J203">
        <f t="shared" si="23"/>
        <v>16</v>
      </c>
      <c r="K203" t="s">
        <v>1128</v>
      </c>
      <c r="L203" t="s">
        <v>116</v>
      </c>
      <c r="M203" t="s">
        <v>117</v>
      </c>
      <c r="P203" t="b">
        <v>0</v>
      </c>
      <c r="R203" t="s">
        <v>1129</v>
      </c>
      <c r="T203" t="s">
        <v>119</v>
      </c>
      <c r="U203" t="s">
        <v>120</v>
      </c>
    </row>
    <row r="204" spans="1:21" x14ac:dyDescent="0.35">
      <c r="A204" t="s">
        <v>1130</v>
      </c>
      <c r="B204" t="s">
        <v>42</v>
      </c>
      <c r="C204" t="s">
        <v>1131</v>
      </c>
      <c r="D204" t="s">
        <v>1132</v>
      </c>
      <c r="E204" s="5">
        <f t="shared" si="18"/>
        <v>46146.602083333339</v>
      </c>
      <c r="F204" s="6">
        <f t="shared" si="19"/>
        <v>46146</v>
      </c>
      <c r="G204" s="7">
        <f t="shared" si="20"/>
        <v>0.60208333333866904</v>
      </c>
      <c r="H204">
        <f t="shared" si="21"/>
        <v>5</v>
      </c>
      <c r="I204">
        <f t="shared" si="22"/>
        <v>2026</v>
      </c>
      <c r="J204">
        <f t="shared" si="23"/>
        <v>14</v>
      </c>
      <c r="K204" t="s">
        <v>1133</v>
      </c>
      <c r="L204" t="s">
        <v>116</v>
      </c>
      <c r="M204" t="s">
        <v>117</v>
      </c>
      <c r="P204" t="b">
        <v>0</v>
      </c>
      <c r="R204" t="s">
        <v>1134</v>
      </c>
      <c r="T204" t="s">
        <v>119</v>
      </c>
      <c r="U204" t="s">
        <v>146</v>
      </c>
    </row>
    <row r="205" spans="1:21" x14ac:dyDescent="0.35">
      <c r="A205" t="s">
        <v>1135</v>
      </c>
      <c r="B205" t="s">
        <v>42</v>
      </c>
      <c r="C205" t="s">
        <v>1136</v>
      </c>
      <c r="D205" t="s">
        <v>1137</v>
      </c>
      <c r="E205" s="5">
        <f t="shared" si="18"/>
        <v>46143.430555555555</v>
      </c>
      <c r="F205" s="6">
        <f t="shared" si="19"/>
        <v>46143</v>
      </c>
      <c r="G205" s="7">
        <f t="shared" si="20"/>
        <v>0.43055555555474712</v>
      </c>
      <c r="H205">
        <f t="shared" si="21"/>
        <v>5</v>
      </c>
      <c r="I205">
        <f t="shared" si="22"/>
        <v>2026</v>
      </c>
      <c r="J205">
        <f t="shared" si="23"/>
        <v>10</v>
      </c>
      <c r="K205" t="s">
        <v>1138</v>
      </c>
      <c r="L205" t="s">
        <v>116</v>
      </c>
      <c r="M205" t="s">
        <v>117</v>
      </c>
      <c r="P205" t="b">
        <v>0</v>
      </c>
      <c r="R205" t="s">
        <v>1139</v>
      </c>
      <c r="T205" t="s">
        <v>119</v>
      </c>
      <c r="U205" t="s">
        <v>120</v>
      </c>
    </row>
    <row r="206" spans="1:21" x14ac:dyDescent="0.35">
      <c r="A206" t="s">
        <v>1140</v>
      </c>
      <c r="B206" t="s">
        <v>42</v>
      </c>
      <c r="C206" t="s">
        <v>1141</v>
      </c>
      <c r="D206" t="s">
        <v>1142</v>
      </c>
      <c r="E206" s="5">
        <f t="shared" si="18"/>
        <v>46126.697222222225</v>
      </c>
      <c r="F206" s="6">
        <f t="shared" si="19"/>
        <v>46126</v>
      </c>
      <c r="G206" s="7">
        <f t="shared" si="20"/>
        <v>0.69722222222480923</v>
      </c>
      <c r="H206">
        <f t="shared" si="21"/>
        <v>4</v>
      </c>
      <c r="I206">
        <f t="shared" si="22"/>
        <v>2026</v>
      </c>
      <c r="J206">
        <f t="shared" si="23"/>
        <v>16</v>
      </c>
      <c r="K206" t="s">
        <v>1143</v>
      </c>
      <c r="L206" t="s">
        <v>116</v>
      </c>
      <c r="M206" t="s">
        <v>117</v>
      </c>
      <c r="P206" t="b">
        <v>0</v>
      </c>
      <c r="R206" t="s">
        <v>1144</v>
      </c>
      <c r="T206" t="s">
        <v>119</v>
      </c>
      <c r="U206" t="s">
        <v>120</v>
      </c>
    </row>
    <row r="207" spans="1:21" x14ac:dyDescent="0.35">
      <c r="A207" t="s">
        <v>1145</v>
      </c>
      <c r="B207" t="s">
        <v>42</v>
      </c>
      <c r="C207" t="s">
        <v>1146</v>
      </c>
      <c r="D207" t="s">
        <v>1147</v>
      </c>
      <c r="E207" s="5">
        <f t="shared" si="18"/>
        <v>46094.593055555561</v>
      </c>
      <c r="F207" s="6">
        <f t="shared" si="19"/>
        <v>46094</v>
      </c>
      <c r="G207" s="7">
        <f t="shared" si="20"/>
        <v>0.59305555556056788</v>
      </c>
      <c r="H207">
        <f t="shared" si="21"/>
        <v>3</v>
      </c>
      <c r="I207">
        <f t="shared" si="22"/>
        <v>2026</v>
      </c>
      <c r="J207">
        <f t="shared" si="23"/>
        <v>14</v>
      </c>
      <c r="K207" t="s">
        <v>1148</v>
      </c>
      <c r="L207" t="s">
        <v>116</v>
      </c>
      <c r="M207" t="s">
        <v>117</v>
      </c>
      <c r="P207" t="b">
        <v>0</v>
      </c>
      <c r="R207" t="s">
        <v>1149</v>
      </c>
      <c r="T207" t="s">
        <v>119</v>
      </c>
      <c r="U207" t="s">
        <v>146</v>
      </c>
    </row>
    <row r="208" spans="1:21" x14ac:dyDescent="0.35">
      <c r="A208" t="s">
        <v>1150</v>
      </c>
      <c r="B208" t="s">
        <v>44</v>
      </c>
      <c r="C208" t="s">
        <v>1151</v>
      </c>
      <c r="D208" t="s">
        <v>1152</v>
      </c>
      <c r="E208" s="5">
        <f t="shared" si="18"/>
        <v>46175.528622685189</v>
      </c>
      <c r="F208" s="6">
        <f t="shared" si="19"/>
        <v>46175</v>
      </c>
      <c r="G208" s="7">
        <f t="shared" si="20"/>
        <v>0.52862268518947531</v>
      </c>
      <c r="H208">
        <f t="shared" si="21"/>
        <v>6</v>
      </c>
      <c r="I208">
        <f t="shared" si="22"/>
        <v>2026</v>
      </c>
      <c r="J208">
        <f t="shared" si="23"/>
        <v>12</v>
      </c>
      <c r="K208" t="s">
        <v>1153</v>
      </c>
      <c r="L208" t="s">
        <v>116</v>
      </c>
      <c r="M208" t="s">
        <v>294</v>
      </c>
      <c r="N208" t="s">
        <v>117</v>
      </c>
      <c r="P208" t="b">
        <v>0</v>
      </c>
      <c r="R208" t="s">
        <v>1154</v>
      </c>
      <c r="T208" t="s">
        <v>119</v>
      </c>
      <c r="U208" t="s">
        <v>120</v>
      </c>
    </row>
    <row r="209" spans="1:21" x14ac:dyDescent="0.35">
      <c r="A209" t="s">
        <v>1155</v>
      </c>
      <c r="B209" t="s">
        <v>46</v>
      </c>
      <c r="C209" t="s">
        <v>1156</v>
      </c>
      <c r="D209" t="s">
        <v>1157</v>
      </c>
      <c r="E209" s="5">
        <f t="shared" si="18"/>
        <v>46264.362997685188</v>
      </c>
      <c r="F209" s="6">
        <f t="shared" si="19"/>
        <v>46264</v>
      </c>
      <c r="G209" s="7">
        <f t="shared" si="20"/>
        <v>0.36299768518802011</v>
      </c>
      <c r="H209">
        <f t="shared" si="21"/>
        <v>8</v>
      </c>
      <c r="I209">
        <f t="shared" si="22"/>
        <v>2026</v>
      </c>
      <c r="J209">
        <f t="shared" si="23"/>
        <v>8</v>
      </c>
      <c r="K209" t="s">
        <v>1158</v>
      </c>
      <c r="L209" t="s">
        <v>116</v>
      </c>
      <c r="M209" t="s">
        <v>117</v>
      </c>
      <c r="R209" t="s">
        <v>1159</v>
      </c>
      <c r="T209" t="s">
        <v>119</v>
      </c>
      <c r="U209" t="s">
        <v>146</v>
      </c>
    </row>
    <row r="210" spans="1:21" x14ac:dyDescent="0.35">
      <c r="A210" t="s">
        <v>1160</v>
      </c>
      <c r="B210" t="s">
        <v>46</v>
      </c>
      <c r="C210" t="s">
        <v>1161</v>
      </c>
      <c r="D210" t="s">
        <v>1162</v>
      </c>
      <c r="E210" s="5">
        <f t="shared" si="18"/>
        <v>46207.489583333336</v>
      </c>
      <c r="F210" s="6">
        <f t="shared" si="19"/>
        <v>46207</v>
      </c>
      <c r="G210" s="7">
        <f t="shared" si="20"/>
        <v>0.48958333333575865</v>
      </c>
      <c r="H210">
        <f t="shared" si="21"/>
        <v>7</v>
      </c>
      <c r="I210">
        <f t="shared" si="22"/>
        <v>2026</v>
      </c>
      <c r="J210">
        <f t="shared" si="23"/>
        <v>11</v>
      </c>
      <c r="K210" t="s">
        <v>1163</v>
      </c>
      <c r="L210" t="s">
        <v>116</v>
      </c>
      <c r="M210" t="s">
        <v>117</v>
      </c>
      <c r="R210" t="s">
        <v>1164</v>
      </c>
      <c r="T210" t="s">
        <v>119</v>
      </c>
      <c r="U210" t="s">
        <v>146</v>
      </c>
    </row>
    <row r="211" spans="1:21" x14ac:dyDescent="0.35">
      <c r="A211" t="s">
        <v>1165</v>
      </c>
      <c r="B211" t="s">
        <v>46</v>
      </c>
      <c r="C211" t="s">
        <v>1166</v>
      </c>
      <c r="D211" t="s">
        <v>1167</v>
      </c>
      <c r="E211" s="5">
        <f t="shared" si="18"/>
        <v>46194.568460648152</v>
      </c>
      <c r="F211" s="6">
        <f t="shared" si="19"/>
        <v>46194</v>
      </c>
      <c r="G211" s="7">
        <f t="shared" si="20"/>
        <v>0.56846064815181307</v>
      </c>
      <c r="H211">
        <f t="shared" si="21"/>
        <v>6</v>
      </c>
      <c r="I211">
        <f t="shared" si="22"/>
        <v>2026</v>
      </c>
      <c r="J211">
        <f t="shared" si="23"/>
        <v>13</v>
      </c>
      <c r="K211" t="s">
        <v>1168</v>
      </c>
      <c r="L211" t="s">
        <v>116</v>
      </c>
      <c r="M211" t="s">
        <v>117</v>
      </c>
      <c r="R211" t="s">
        <v>1169</v>
      </c>
      <c r="T211" t="s">
        <v>119</v>
      </c>
      <c r="U211" t="s">
        <v>146</v>
      </c>
    </row>
    <row r="212" spans="1:21" x14ac:dyDescent="0.35">
      <c r="A212" t="s">
        <v>1170</v>
      </c>
      <c r="B212" t="s">
        <v>46</v>
      </c>
      <c r="C212" t="s">
        <v>1171</v>
      </c>
      <c r="D212" t="s">
        <v>1172</v>
      </c>
      <c r="E212" s="5">
        <f t="shared" si="18"/>
        <v>46178.422303240746</v>
      </c>
      <c r="F212" s="6">
        <f t="shared" si="19"/>
        <v>46178</v>
      </c>
      <c r="G212" s="7">
        <f t="shared" si="20"/>
        <v>0.42230324074625969</v>
      </c>
      <c r="H212">
        <f t="shared" si="21"/>
        <v>6</v>
      </c>
      <c r="I212">
        <f t="shared" si="22"/>
        <v>2026</v>
      </c>
      <c r="J212">
        <f t="shared" si="23"/>
        <v>10</v>
      </c>
      <c r="K212" t="s">
        <v>1173</v>
      </c>
      <c r="L212" t="s">
        <v>116</v>
      </c>
      <c r="M212" t="s">
        <v>117</v>
      </c>
      <c r="R212" t="s">
        <v>1174</v>
      </c>
      <c r="T212" t="s">
        <v>119</v>
      </c>
      <c r="U212" t="s">
        <v>146</v>
      </c>
    </row>
    <row r="213" spans="1:21" x14ac:dyDescent="0.35">
      <c r="A213" t="s">
        <v>1175</v>
      </c>
      <c r="B213" t="s">
        <v>46</v>
      </c>
      <c r="C213" t="s">
        <v>1176</v>
      </c>
      <c r="D213" t="s">
        <v>1177</v>
      </c>
      <c r="E213" s="5">
        <f t="shared" si="18"/>
        <v>46140.467372685191</v>
      </c>
      <c r="F213" s="6">
        <f t="shared" si="19"/>
        <v>46140</v>
      </c>
      <c r="G213" s="7">
        <f t="shared" si="20"/>
        <v>0.46737268519063946</v>
      </c>
      <c r="H213">
        <f t="shared" si="21"/>
        <v>4</v>
      </c>
      <c r="I213">
        <f t="shared" si="22"/>
        <v>2026</v>
      </c>
      <c r="J213">
        <f t="shared" si="23"/>
        <v>11</v>
      </c>
      <c r="K213" t="s">
        <v>1178</v>
      </c>
      <c r="L213" t="s">
        <v>116</v>
      </c>
      <c r="M213" t="s">
        <v>117</v>
      </c>
      <c r="R213" t="s">
        <v>1179</v>
      </c>
      <c r="T213" t="s">
        <v>119</v>
      </c>
      <c r="U213" t="s">
        <v>146</v>
      </c>
    </row>
    <row r="214" spans="1:21" x14ac:dyDescent="0.35">
      <c r="A214" t="s">
        <v>1180</v>
      </c>
      <c r="B214" t="s">
        <v>46</v>
      </c>
      <c r="C214" t="s">
        <v>1181</v>
      </c>
      <c r="D214" t="s">
        <v>1182</v>
      </c>
      <c r="E214" s="5">
        <f t="shared" si="18"/>
        <v>46136.937731481485</v>
      </c>
      <c r="F214" s="6">
        <f t="shared" si="19"/>
        <v>46136</v>
      </c>
      <c r="G214" s="7">
        <f t="shared" si="20"/>
        <v>0.93773148148466134</v>
      </c>
      <c r="H214">
        <f t="shared" si="21"/>
        <v>4</v>
      </c>
      <c r="I214">
        <f t="shared" si="22"/>
        <v>2026</v>
      </c>
      <c r="J214">
        <f t="shared" si="23"/>
        <v>22</v>
      </c>
      <c r="K214" t="s">
        <v>1183</v>
      </c>
      <c r="L214" t="s">
        <v>116</v>
      </c>
      <c r="M214" t="s">
        <v>117</v>
      </c>
      <c r="R214" t="s">
        <v>1184</v>
      </c>
      <c r="T214" t="s">
        <v>119</v>
      </c>
      <c r="U214" t="s">
        <v>146</v>
      </c>
    </row>
    <row r="215" spans="1:21" x14ac:dyDescent="0.35">
      <c r="A215" t="s">
        <v>1185</v>
      </c>
      <c r="B215" t="s">
        <v>46</v>
      </c>
      <c r="C215" t="s">
        <v>1186</v>
      </c>
      <c r="D215" t="s">
        <v>1187</v>
      </c>
      <c r="E215" s="5">
        <f t="shared" si="18"/>
        <v>46129.715000000004</v>
      </c>
      <c r="F215" s="6">
        <f t="shared" si="19"/>
        <v>46129</v>
      </c>
      <c r="G215" s="7">
        <f t="shared" si="20"/>
        <v>0.7150000000037835</v>
      </c>
      <c r="H215">
        <f t="shared" si="21"/>
        <v>4</v>
      </c>
      <c r="I215">
        <f t="shared" si="22"/>
        <v>2026</v>
      </c>
      <c r="J215">
        <f t="shared" si="23"/>
        <v>17</v>
      </c>
      <c r="K215" t="s">
        <v>1188</v>
      </c>
      <c r="L215" t="s">
        <v>116</v>
      </c>
      <c r="M215" t="s">
        <v>117</v>
      </c>
      <c r="T215" t="s">
        <v>119</v>
      </c>
      <c r="U215" t="s">
        <v>146</v>
      </c>
    </row>
    <row r="216" spans="1:21" x14ac:dyDescent="0.35">
      <c r="A216" t="s">
        <v>1189</v>
      </c>
      <c r="B216" t="s">
        <v>46</v>
      </c>
      <c r="C216" t="s">
        <v>1190</v>
      </c>
      <c r="D216" t="s">
        <v>1191</v>
      </c>
      <c r="E216" s="5">
        <f t="shared" si="18"/>
        <v>46120.58797453704</v>
      </c>
      <c r="F216" s="6">
        <f t="shared" si="19"/>
        <v>46120</v>
      </c>
      <c r="G216" s="7">
        <f t="shared" si="20"/>
        <v>0.58797453704028158</v>
      </c>
      <c r="H216">
        <f t="shared" si="21"/>
        <v>4</v>
      </c>
      <c r="I216">
        <f t="shared" si="22"/>
        <v>2026</v>
      </c>
      <c r="J216">
        <f t="shared" si="23"/>
        <v>14</v>
      </c>
      <c r="K216" t="s">
        <v>1192</v>
      </c>
      <c r="L216" t="s">
        <v>116</v>
      </c>
      <c r="M216" t="s">
        <v>117</v>
      </c>
      <c r="T216" t="s">
        <v>119</v>
      </c>
      <c r="U216" t="s">
        <v>146</v>
      </c>
    </row>
    <row r="217" spans="1:21" x14ac:dyDescent="0.35">
      <c r="A217" t="s">
        <v>1193</v>
      </c>
      <c r="B217" t="s">
        <v>48</v>
      </c>
      <c r="C217" t="s">
        <v>1194</v>
      </c>
      <c r="D217" t="s">
        <v>1195</v>
      </c>
      <c r="E217" s="5">
        <f t="shared" si="18"/>
        <v>46160.522129629629</v>
      </c>
      <c r="F217" s="6">
        <f t="shared" si="19"/>
        <v>46160</v>
      </c>
      <c r="G217" s="7">
        <f t="shared" si="20"/>
        <v>0.5221296296294895</v>
      </c>
      <c r="H217">
        <f t="shared" si="21"/>
        <v>5</v>
      </c>
      <c r="I217">
        <f t="shared" si="22"/>
        <v>2026</v>
      </c>
      <c r="J217">
        <f t="shared" si="23"/>
        <v>12</v>
      </c>
      <c r="K217" t="s">
        <v>1196</v>
      </c>
      <c r="L217" t="s">
        <v>116</v>
      </c>
      <c r="M217" t="s">
        <v>117</v>
      </c>
      <c r="P217" t="b">
        <v>0</v>
      </c>
      <c r="R217" t="s">
        <v>1197</v>
      </c>
      <c r="T217" t="s">
        <v>119</v>
      </c>
      <c r="U217" t="s">
        <v>146</v>
      </c>
    </row>
    <row r="218" spans="1:21" x14ac:dyDescent="0.35">
      <c r="A218" t="s">
        <v>1198</v>
      </c>
      <c r="B218" t="s">
        <v>48</v>
      </c>
      <c r="C218" t="s">
        <v>1199</v>
      </c>
      <c r="D218" t="s">
        <v>1195</v>
      </c>
      <c r="E218" s="5">
        <f t="shared" si="18"/>
        <v>46160.522129629629</v>
      </c>
      <c r="F218" s="6">
        <f t="shared" si="19"/>
        <v>46160</v>
      </c>
      <c r="G218" s="7">
        <f t="shared" si="20"/>
        <v>0.5221296296294895</v>
      </c>
      <c r="H218">
        <f t="shared" si="21"/>
        <v>5</v>
      </c>
      <c r="I218">
        <f t="shared" si="22"/>
        <v>2026</v>
      </c>
      <c r="J218">
        <f t="shared" si="23"/>
        <v>12</v>
      </c>
      <c r="K218" t="s">
        <v>1200</v>
      </c>
      <c r="L218" t="s">
        <v>116</v>
      </c>
      <c r="M218" t="s">
        <v>117</v>
      </c>
      <c r="R218" t="s">
        <v>1201</v>
      </c>
      <c r="T218" t="s">
        <v>119</v>
      </c>
      <c r="U218" t="s">
        <v>146</v>
      </c>
    </row>
    <row r="219" spans="1:21" x14ac:dyDescent="0.35">
      <c r="A219" t="s">
        <v>1202</v>
      </c>
      <c r="B219" t="s">
        <v>50</v>
      </c>
      <c r="C219" t="s">
        <v>1203</v>
      </c>
      <c r="D219" t="s">
        <v>1204</v>
      </c>
      <c r="E219" s="5">
        <f t="shared" si="18"/>
        <v>46230.57581018519</v>
      </c>
      <c r="F219" s="6">
        <f t="shared" si="19"/>
        <v>46230</v>
      </c>
      <c r="G219" s="7">
        <f t="shared" si="20"/>
        <v>0.57581018518976634</v>
      </c>
      <c r="H219">
        <f t="shared" si="21"/>
        <v>7</v>
      </c>
      <c r="I219">
        <f t="shared" si="22"/>
        <v>2026</v>
      </c>
      <c r="J219">
        <f t="shared" si="23"/>
        <v>13</v>
      </c>
      <c r="K219" t="s">
        <v>1205</v>
      </c>
      <c r="L219" t="s">
        <v>116</v>
      </c>
      <c r="M219" t="s">
        <v>117</v>
      </c>
      <c r="P219" t="b">
        <v>0</v>
      </c>
      <c r="R219" t="s">
        <v>1206</v>
      </c>
      <c r="T219" t="s">
        <v>119</v>
      </c>
      <c r="U219" t="s">
        <v>120</v>
      </c>
    </row>
    <row r="220" spans="1:21" x14ac:dyDescent="0.35">
      <c r="A220" t="s">
        <v>1207</v>
      </c>
      <c r="B220" t="s">
        <v>50</v>
      </c>
      <c r="C220" t="s">
        <v>1208</v>
      </c>
      <c r="D220" t="s">
        <v>1209</v>
      </c>
      <c r="E220" s="5">
        <f t="shared" si="18"/>
        <v>46216.938321759262</v>
      </c>
      <c r="F220" s="6">
        <f t="shared" si="19"/>
        <v>46216</v>
      </c>
      <c r="G220" s="7">
        <f t="shared" si="20"/>
        <v>0.93832175926218042</v>
      </c>
      <c r="H220">
        <f t="shared" si="21"/>
        <v>7</v>
      </c>
      <c r="I220">
        <f t="shared" si="22"/>
        <v>2026</v>
      </c>
      <c r="J220">
        <f t="shared" si="23"/>
        <v>22</v>
      </c>
      <c r="K220" t="s">
        <v>1210</v>
      </c>
      <c r="L220" t="s">
        <v>116</v>
      </c>
      <c r="M220" t="s">
        <v>117</v>
      </c>
      <c r="P220" t="b">
        <v>0</v>
      </c>
      <c r="R220" t="s">
        <v>1211</v>
      </c>
      <c r="T220" t="s">
        <v>119</v>
      </c>
      <c r="U220" t="s">
        <v>120</v>
      </c>
    </row>
    <row r="221" spans="1:21" x14ac:dyDescent="0.35">
      <c r="A221" t="s">
        <v>1212</v>
      </c>
      <c r="B221" t="s">
        <v>50</v>
      </c>
      <c r="C221" t="s">
        <v>1213</v>
      </c>
      <c r="D221" t="s">
        <v>1214</v>
      </c>
      <c r="E221" s="5">
        <f t="shared" si="18"/>
        <v>46174.517106481486</v>
      </c>
      <c r="F221" s="6">
        <f t="shared" si="19"/>
        <v>46174</v>
      </c>
      <c r="G221" s="7">
        <f t="shared" si="20"/>
        <v>0.5171064814858255</v>
      </c>
      <c r="H221">
        <f t="shared" si="21"/>
        <v>6</v>
      </c>
      <c r="I221">
        <f t="shared" si="22"/>
        <v>2026</v>
      </c>
      <c r="J221">
        <f t="shared" si="23"/>
        <v>12</v>
      </c>
      <c r="K221" t="s">
        <v>1215</v>
      </c>
      <c r="L221" t="s">
        <v>116</v>
      </c>
      <c r="M221" t="s">
        <v>117</v>
      </c>
      <c r="P221" t="b">
        <v>0</v>
      </c>
      <c r="R221" t="s">
        <v>1216</v>
      </c>
      <c r="T221" t="s">
        <v>119</v>
      </c>
      <c r="U221" t="s">
        <v>120</v>
      </c>
    </row>
    <row r="222" spans="1:21" x14ac:dyDescent="0.35">
      <c r="A222" t="s">
        <v>1217</v>
      </c>
      <c r="B222" t="s">
        <v>50</v>
      </c>
      <c r="C222" t="s">
        <v>1218</v>
      </c>
      <c r="D222" t="s">
        <v>1219</v>
      </c>
      <c r="E222" s="5">
        <f t="shared" si="18"/>
        <v>46124.507256944446</v>
      </c>
      <c r="F222" s="6">
        <f t="shared" si="19"/>
        <v>46124</v>
      </c>
      <c r="G222" s="7">
        <f t="shared" si="20"/>
        <v>0.50725694444554392</v>
      </c>
      <c r="H222">
        <f t="shared" si="21"/>
        <v>4</v>
      </c>
      <c r="I222">
        <f t="shared" si="22"/>
        <v>2026</v>
      </c>
      <c r="J222">
        <f t="shared" si="23"/>
        <v>12</v>
      </c>
      <c r="K222" t="s">
        <v>1220</v>
      </c>
      <c r="L222" t="s">
        <v>116</v>
      </c>
      <c r="M222" t="s">
        <v>117</v>
      </c>
      <c r="P222" t="b">
        <v>0</v>
      </c>
      <c r="R222" t="s">
        <v>1221</v>
      </c>
      <c r="T222" t="s">
        <v>119</v>
      </c>
      <c r="U222" t="s">
        <v>120</v>
      </c>
    </row>
    <row r="223" spans="1:21" x14ac:dyDescent="0.35">
      <c r="A223" t="s">
        <v>1222</v>
      </c>
      <c r="B223" t="s">
        <v>50</v>
      </c>
      <c r="C223" t="s">
        <v>1223</v>
      </c>
      <c r="D223" t="s">
        <v>1224</v>
      </c>
      <c r="E223" s="5">
        <f t="shared" si="18"/>
        <v>46110.734027777777</v>
      </c>
      <c r="F223" s="6">
        <f t="shared" si="19"/>
        <v>46110</v>
      </c>
      <c r="G223" s="7">
        <f t="shared" si="20"/>
        <v>0.73402777777664596</v>
      </c>
      <c r="H223">
        <f t="shared" si="21"/>
        <v>3</v>
      </c>
      <c r="I223">
        <f t="shared" si="22"/>
        <v>2026</v>
      </c>
      <c r="J223">
        <f t="shared" si="23"/>
        <v>17</v>
      </c>
      <c r="K223" t="s">
        <v>1225</v>
      </c>
      <c r="L223" t="s">
        <v>116</v>
      </c>
      <c r="M223" t="s">
        <v>117</v>
      </c>
      <c r="P223" t="b">
        <v>0</v>
      </c>
      <c r="R223" t="s">
        <v>1226</v>
      </c>
      <c r="T223" t="s">
        <v>119</v>
      </c>
      <c r="U223" t="s">
        <v>120</v>
      </c>
    </row>
    <row r="224" spans="1:21" x14ac:dyDescent="0.35">
      <c r="A224" t="s">
        <v>1227</v>
      </c>
      <c r="B224" t="s">
        <v>50</v>
      </c>
      <c r="C224" t="s">
        <v>1228</v>
      </c>
      <c r="D224" t="s">
        <v>1229</v>
      </c>
      <c r="E224" s="5">
        <f t="shared" si="18"/>
        <v>46041.460057870368</v>
      </c>
      <c r="F224" s="6">
        <f t="shared" si="19"/>
        <v>46041</v>
      </c>
      <c r="G224" s="7">
        <f t="shared" si="20"/>
        <v>0.46005787036847323</v>
      </c>
      <c r="H224">
        <f t="shared" si="21"/>
        <v>1</v>
      </c>
      <c r="I224">
        <f t="shared" si="22"/>
        <v>2026</v>
      </c>
      <c r="J224">
        <f t="shared" si="23"/>
        <v>11</v>
      </c>
      <c r="K224" t="s">
        <v>1230</v>
      </c>
      <c r="L224" t="s">
        <v>116</v>
      </c>
      <c r="M224" t="s">
        <v>174</v>
      </c>
      <c r="N224" t="s">
        <v>117</v>
      </c>
      <c r="P224" t="b">
        <v>0</v>
      </c>
      <c r="R224" t="s">
        <v>1231</v>
      </c>
      <c r="T224" t="s">
        <v>119</v>
      </c>
      <c r="U224" t="s">
        <v>120</v>
      </c>
    </row>
    <row r="225" spans="1:21" x14ac:dyDescent="0.35">
      <c r="A225" t="s">
        <v>1232</v>
      </c>
      <c r="B225" t="s">
        <v>50</v>
      </c>
      <c r="C225" t="s">
        <v>1233</v>
      </c>
      <c r="D225" t="s">
        <v>1234</v>
      </c>
      <c r="E225" s="5">
        <f t="shared" si="18"/>
        <v>46039.669571759259</v>
      </c>
      <c r="F225" s="6">
        <f t="shared" si="19"/>
        <v>46039</v>
      </c>
      <c r="G225" s="7">
        <f t="shared" si="20"/>
        <v>0.66957175925927004</v>
      </c>
      <c r="H225">
        <f t="shared" si="21"/>
        <v>1</v>
      </c>
      <c r="I225">
        <f t="shared" si="22"/>
        <v>2026</v>
      </c>
      <c r="J225">
        <f t="shared" si="23"/>
        <v>16</v>
      </c>
      <c r="K225" t="s">
        <v>1235</v>
      </c>
      <c r="L225" t="s">
        <v>116</v>
      </c>
      <c r="M225" t="s">
        <v>117</v>
      </c>
      <c r="N225" t="s">
        <v>174</v>
      </c>
      <c r="P225" t="b">
        <v>0</v>
      </c>
      <c r="R225" t="s">
        <v>1236</v>
      </c>
      <c r="T225" t="s">
        <v>119</v>
      </c>
      <c r="U225" t="s">
        <v>120</v>
      </c>
    </row>
    <row r="226" spans="1:21" x14ac:dyDescent="0.35">
      <c r="A226" t="s">
        <v>1237</v>
      </c>
      <c r="B226" t="s">
        <v>52</v>
      </c>
      <c r="C226" t="s">
        <v>1238</v>
      </c>
      <c r="D226" t="s">
        <v>1239</v>
      </c>
      <c r="E226" s="5">
        <f t="shared" si="18"/>
        <v>46239.248611111114</v>
      </c>
      <c r="F226" s="6">
        <f t="shared" si="19"/>
        <v>46239</v>
      </c>
      <c r="G226" s="7">
        <f t="shared" si="20"/>
        <v>0.24861111111385981</v>
      </c>
      <c r="H226">
        <f t="shared" si="21"/>
        <v>8</v>
      </c>
      <c r="I226">
        <f t="shared" si="22"/>
        <v>2026</v>
      </c>
      <c r="J226">
        <f t="shared" si="23"/>
        <v>5</v>
      </c>
      <c r="K226" t="s">
        <v>1240</v>
      </c>
      <c r="L226" t="s">
        <v>116</v>
      </c>
      <c r="M226" t="s">
        <v>117</v>
      </c>
      <c r="P226" t="b">
        <v>1</v>
      </c>
      <c r="Q226">
        <v>0</v>
      </c>
      <c r="R226" t="s">
        <v>1241</v>
      </c>
      <c r="S226">
        <v>0</v>
      </c>
      <c r="T226" t="s">
        <v>119</v>
      </c>
      <c r="U226" t="s">
        <v>120</v>
      </c>
    </row>
    <row r="227" spans="1:21" x14ac:dyDescent="0.35">
      <c r="A227" t="s">
        <v>1242</v>
      </c>
      <c r="B227" t="s">
        <v>52</v>
      </c>
      <c r="C227" t="s">
        <v>1243</v>
      </c>
      <c r="D227" t="s">
        <v>1244</v>
      </c>
      <c r="E227" s="5">
        <f t="shared" si="18"/>
        <v>46238.71875</v>
      </c>
      <c r="F227" s="6">
        <f t="shared" si="19"/>
        <v>46238</v>
      </c>
      <c r="G227" s="7">
        <f t="shared" si="20"/>
        <v>0.71875</v>
      </c>
      <c r="H227">
        <f t="shared" si="21"/>
        <v>8</v>
      </c>
      <c r="I227">
        <f t="shared" si="22"/>
        <v>2026</v>
      </c>
      <c r="J227">
        <f t="shared" si="23"/>
        <v>17</v>
      </c>
      <c r="K227" t="s">
        <v>1245</v>
      </c>
      <c r="L227" t="s">
        <v>116</v>
      </c>
      <c r="M227" t="s">
        <v>117</v>
      </c>
      <c r="P227" t="b">
        <v>1</v>
      </c>
      <c r="Q227">
        <v>0</v>
      </c>
      <c r="R227" t="s">
        <v>1246</v>
      </c>
      <c r="S227">
        <v>0</v>
      </c>
      <c r="T227" t="s">
        <v>119</v>
      </c>
      <c r="U227" t="s">
        <v>120</v>
      </c>
    </row>
    <row r="228" spans="1:21" x14ac:dyDescent="0.35">
      <c r="A228" t="s">
        <v>1247</v>
      </c>
      <c r="B228" t="s">
        <v>52</v>
      </c>
      <c r="C228" t="s">
        <v>1248</v>
      </c>
      <c r="D228" t="s">
        <v>1249</v>
      </c>
      <c r="E228" s="5">
        <f t="shared" si="18"/>
        <v>46238.299305555556</v>
      </c>
      <c r="F228" s="6">
        <f t="shared" si="19"/>
        <v>46238</v>
      </c>
      <c r="G228" s="7">
        <f t="shared" si="20"/>
        <v>0.29930555555620231</v>
      </c>
      <c r="H228">
        <f t="shared" si="21"/>
        <v>8</v>
      </c>
      <c r="I228">
        <f t="shared" si="22"/>
        <v>2026</v>
      </c>
      <c r="J228">
        <f t="shared" si="23"/>
        <v>7</v>
      </c>
      <c r="K228" t="s">
        <v>1250</v>
      </c>
      <c r="L228" t="s">
        <v>116</v>
      </c>
      <c r="M228" t="s">
        <v>117</v>
      </c>
      <c r="P228" t="b">
        <v>1</v>
      </c>
      <c r="Q228">
        <v>0</v>
      </c>
      <c r="R228" t="s">
        <v>1251</v>
      </c>
      <c r="S228">
        <v>0</v>
      </c>
      <c r="T228" t="s">
        <v>119</v>
      </c>
      <c r="U228" t="s">
        <v>120</v>
      </c>
    </row>
    <row r="229" spans="1:21" x14ac:dyDescent="0.35">
      <c r="A229" t="s">
        <v>1252</v>
      </c>
      <c r="B229" t="s">
        <v>52</v>
      </c>
      <c r="C229" t="s">
        <v>1253</v>
      </c>
      <c r="D229" t="s">
        <v>1254</v>
      </c>
      <c r="E229" s="5">
        <f t="shared" si="18"/>
        <v>46201.022222222222</v>
      </c>
      <c r="F229" s="6">
        <f t="shared" si="19"/>
        <v>46201</v>
      </c>
      <c r="G229" s="7">
        <f t="shared" si="20"/>
        <v>2.2222222221898846E-2</v>
      </c>
      <c r="H229">
        <f t="shared" si="21"/>
        <v>6</v>
      </c>
      <c r="I229">
        <f t="shared" si="22"/>
        <v>2026</v>
      </c>
      <c r="J229">
        <f t="shared" si="23"/>
        <v>0</v>
      </c>
      <c r="K229" t="s">
        <v>1255</v>
      </c>
      <c r="L229" t="s">
        <v>116</v>
      </c>
      <c r="M229" t="s">
        <v>117</v>
      </c>
      <c r="N229" t="s">
        <v>168</v>
      </c>
      <c r="P229" t="b">
        <v>1</v>
      </c>
      <c r="Q229">
        <v>0</v>
      </c>
      <c r="R229" t="s">
        <v>1256</v>
      </c>
      <c r="S229">
        <v>0</v>
      </c>
      <c r="T229" t="s">
        <v>119</v>
      </c>
      <c r="U229" t="s">
        <v>120</v>
      </c>
    </row>
    <row r="230" spans="1:21" x14ac:dyDescent="0.35">
      <c r="A230" t="s">
        <v>1257</v>
      </c>
      <c r="B230" t="s">
        <v>52</v>
      </c>
      <c r="C230" t="s">
        <v>1258</v>
      </c>
      <c r="D230" t="s">
        <v>1259</v>
      </c>
      <c r="E230" s="5">
        <f t="shared" si="18"/>
        <v>46190.547222222223</v>
      </c>
      <c r="F230" s="6">
        <f t="shared" si="19"/>
        <v>46190</v>
      </c>
      <c r="G230" s="7">
        <f t="shared" si="20"/>
        <v>0.54722222222335404</v>
      </c>
      <c r="H230">
        <f t="shared" si="21"/>
        <v>6</v>
      </c>
      <c r="I230">
        <f t="shared" si="22"/>
        <v>2026</v>
      </c>
      <c r="J230">
        <f t="shared" si="23"/>
        <v>13</v>
      </c>
      <c r="K230" t="s">
        <v>1260</v>
      </c>
      <c r="L230" t="s">
        <v>116</v>
      </c>
      <c r="M230" t="s">
        <v>117</v>
      </c>
      <c r="P230" t="b">
        <v>1</v>
      </c>
      <c r="Q230">
        <v>0</v>
      </c>
      <c r="R230" t="s">
        <v>1261</v>
      </c>
      <c r="S230">
        <v>0</v>
      </c>
      <c r="T230" t="s">
        <v>119</v>
      </c>
      <c r="U230" t="s">
        <v>120</v>
      </c>
    </row>
    <row r="231" spans="1:21" x14ac:dyDescent="0.35">
      <c r="A231" t="s">
        <v>1262</v>
      </c>
      <c r="B231" t="s">
        <v>52</v>
      </c>
      <c r="C231" t="s">
        <v>1263</v>
      </c>
      <c r="D231" t="s">
        <v>1264</v>
      </c>
      <c r="E231" s="5">
        <f t="shared" si="18"/>
        <v>46188.564583333333</v>
      </c>
      <c r="F231" s="6">
        <f t="shared" si="19"/>
        <v>46188</v>
      </c>
      <c r="G231" s="7">
        <f t="shared" si="20"/>
        <v>0.56458333333284827</v>
      </c>
      <c r="H231">
        <f t="shared" si="21"/>
        <v>6</v>
      </c>
      <c r="I231">
        <f t="shared" si="22"/>
        <v>2026</v>
      </c>
      <c r="J231">
        <f t="shared" si="23"/>
        <v>13</v>
      </c>
      <c r="K231" t="s">
        <v>1265</v>
      </c>
      <c r="L231" t="s">
        <v>116</v>
      </c>
      <c r="M231" t="s">
        <v>117</v>
      </c>
      <c r="P231" t="b">
        <v>1</v>
      </c>
      <c r="Q231">
        <v>0</v>
      </c>
      <c r="R231" t="s">
        <v>1266</v>
      </c>
      <c r="S231">
        <v>0</v>
      </c>
      <c r="T231" t="s">
        <v>119</v>
      </c>
      <c r="U231" t="s">
        <v>120</v>
      </c>
    </row>
    <row r="232" spans="1:21" x14ac:dyDescent="0.35">
      <c r="A232" t="s">
        <v>1267</v>
      </c>
      <c r="B232" t="s">
        <v>52</v>
      </c>
      <c r="C232" t="s">
        <v>1268</v>
      </c>
      <c r="D232" t="s">
        <v>1269</v>
      </c>
      <c r="E232" s="5">
        <f t="shared" si="18"/>
        <v>46186.396527777782</v>
      </c>
      <c r="F232" s="6">
        <f t="shared" si="19"/>
        <v>46186</v>
      </c>
      <c r="G232" s="7">
        <f t="shared" si="20"/>
        <v>0.39652777778246673</v>
      </c>
      <c r="H232">
        <f t="shared" si="21"/>
        <v>6</v>
      </c>
      <c r="I232">
        <f t="shared" si="22"/>
        <v>2026</v>
      </c>
      <c r="J232">
        <f t="shared" si="23"/>
        <v>9</v>
      </c>
      <c r="K232" t="s">
        <v>1270</v>
      </c>
      <c r="L232" t="s">
        <v>116</v>
      </c>
      <c r="M232" t="s">
        <v>117</v>
      </c>
      <c r="P232" t="b">
        <v>1</v>
      </c>
      <c r="Q232">
        <v>0</v>
      </c>
      <c r="R232" t="s">
        <v>1271</v>
      </c>
      <c r="S232">
        <v>0</v>
      </c>
      <c r="T232" t="s">
        <v>119</v>
      </c>
      <c r="U232" t="s">
        <v>120</v>
      </c>
    </row>
    <row r="233" spans="1:21" x14ac:dyDescent="0.35">
      <c r="A233" t="s">
        <v>1272</v>
      </c>
      <c r="B233" t="s">
        <v>52</v>
      </c>
      <c r="C233" t="s">
        <v>1273</v>
      </c>
      <c r="D233" t="s">
        <v>1274</v>
      </c>
      <c r="E233" s="5">
        <f t="shared" si="18"/>
        <v>46161.770833333336</v>
      </c>
      <c r="F233" s="6">
        <f t="shared" si="19"/>
        <v>46161</v>
      </c>
      <c r="G233" s="7">
        <f t="shared" si="20"/>
        <v>0.77083333333575865</v>
      </c>
      <c r="H233">
        <f t="shared" si="21"/>
        <v>5</v>
      </c>
      <c r="I233">
        <f t="shared" si="22"/>
        <v>2026</v>
      </c>
      <c r="J233">
        <f t="shared" si="23"/>
        <v>18</v>
      </c>
      <c r="K233" t="s">
        <v>1275</v>
      </c>
      <c r="L233" t="s">
        <v>116</v>
      </c>
      <c r="M233" t="s">
        <v>117</v>
      </c>
      <c r="P233" t="b">
        <v>1</v>
      </c>
      <c r="Q233">
        <v>0</v>
      </c>
      <c r="R233" t="s">
        <v>1276</v>
      </c>
      <c r="S233">
        <v>0</v>
      </c>
      <c r="T233" t="s">
        <v>119</v>
      </c>
      <c r="U233" t="s">
        <v>120</v>
      </c>
    </row>
    <row r="234" spans="1:21" x14ac:dyDescent="0.35">
      <c r="A234" t="s">
        <v>1277</v>
      </c>
      <c r="B234" t="s">
        <v>52</v>
      </c>
      <c r="C234" t="s">
        <v>1278</v>
      </c>
      <c r="D234" t="s">
        <v>1279</v>
      </c>
      <c r="E234" s="5">
        <f t="shared" si="18"/>
        <v>46161.671527777777</v>
      </c>
      <c r="F234" s="6">
        <f t="shared" si="19"/>
        <v>46161</v>
      </c>
      <c r="G234" s="7">
        <f t="shared" si="20"/>
        <v>0.67152777777664596</v>
      </c>
      <c r="H234">
        <f t="shared" si="21"/>
        <v>5</v>
      </c>
      <c r="I234">
        <f t="shared" si="22"/>
        <v>2026</v>
      </c>
      <c r="J234">
        <f t="shared" si="23"/>
        <v>16</v>
      </c>
      <c r="K234" t="s">
        <v>1280</v>
      </c>
      <c r="L234" t="s">
        <v>116</v>
      </c>
      <c r="M234" t="s">
        <v>117</v>
      </c>
      <c r="P234" t="b">
        <v>1</v>
      </c>
      <c r="Q234">
        <v>0</v>
      </c>
      <c r="R234" t="s">
        <v>1281</v>
      </c>
      <c r="S234">
        <v>0</v>
      </c>
      <c r="T234" t="s">
        <v>119</v>
      </c>
      <c r="U234" t="s">
        <v>120</v>
      </c>
    </row>
    <row r="235" spans="1:21" x14ac:dyDescent="0.35">
      <c r="A235" t="s">
        <v>1282</v>
      </c>
      <c r="B235" t="s">
        <v>52</v>
      </c>
      <c r="C235" t="s">
        <v>1283</v>
      </c>
      <c r="D235" t="s">
        <v>1284</v>
      </c>
      <c r="E235" s="5">
        <f t="shared" si="18"/>
        <v>46147.572916666672</v>
      </c>
      <c r="F235" s="6">
        <f t="shared" si="19"/>
        <v>46147</v>
      </c>
      <c r="G235" s="7">
        <f t="shared" si="20"/>
        <v>0.57291666667151731</v>
      </c>
      <c r="H235">
        <f t="shared" si="21"/>
        <v>5</v>
      </c>
      <c r="I235">
        <f t="shared" si="22"/>
        <v>2026</v>
      </c>
      <c r="J235">
        <f t="shared" si="23"/>
        <v>13</v>
      </c>
      <c r="K235" t="s">
        <v>1285</v>
      </c>
      <c r="L235" t="s">
        <v>116</v>
      </c>
      <c r="M235" t="s">
        <v>117</v>
      </c>
      <c r="P235" t="b">
        <v>1</v>
      </c>
      <c r="Q235">
        <v>0</v>
      </c>
      <c r="R235" t="s">
        <v>1286</v>
      </c>
      <c r="S235">
        <v>0</v>
      </c>
      <c r="T235" t="s">
        <v>119</v>
      </c>
      <c r="U235" t="s">
        <v>120</v>
      </c>
    </row>
    <row r="236" spans="1:21" x14ac:dyDescent="0.35">
      <c r="A236" t="s">
        <v>1287</v>
      </c>
      <c r="B236" t="s">
        <v>52</v>
      </c>
      <c r="C236" t="s">
        <v>1288</v>
      </c>
      <c r="D236" t="s">
        <v>1289</v>
      </c>
      <c r="E236" s="5">
        <f t="shared" si="18"/>
        <v>46126.563194444447</v>
      </c>
      <c r="F236" s="6">
        <f t="shared" si="19"/>
        <v>46126</v>
      </c>
      <c r="G236" s="7">
        <f t="shared" si="20"/>
        <v>0.56319444444670808</v>
      </c>
      <c r="H236">
        <f t="shared" si="21"/>
        <v>4</v>
      </c>
      <c r="I236">
        <f t="shared" si="22"/>
        <v>2026</v>
      </c>
      <c r="J236">
        <f t="shared" si="23"/>
        <v>13</v>
      </c>
      <c r="K236" t="s">
        <v>1290</v>
      </c>
      <c r="L236" t="s">
        <v>116</v>
      </c>
      <c r="M236" t="s">
        <v>117</v>
      </c>
      <c r="P236" t="b">
        <v>1</v>
      </c>
      <c r="Q236">
        <v>0</v>
      </c>
      <c r="R236" t="s">
        <v>1291</v>
      </c>
      <c r="S236">
        <v>0</v>
      </c>
      <c r="T236" t="s">
        <v>119</v>
      </c>
      <c r="U236" t="s">
        <v>120</v>
      </c>
    </row>
    <row r="237" spans="1:21" x14ac:dyDescent="0.35">
      <c r="A237" t="s">
        <v>1292</v>
      </c>
      <c r="B237" t="s">
        <v>52</v>
      </c>
      <c r="C237" t="s">
        <v>1293</v>
      </c>
      <c r="D237" t="s">
        <v>1294</v>
      </c>
      <c r="E237" s="5">
        <f t="shared" si="18"/>
        <v>46124.651388888895</v>
      </c>
      <c r="F237" s="6">
        <f t="shared" si="19"/>
        <v>46124</v>
      </c>
      <c r="G237" s="7">
        <f t="shared" si="20"/>
        <v>0.65138888889487134</v>
      </c>
      <c r="H237">
        <f t="shared" si="21"/>
        <v>4</v>
      </c>
      <c r="I237">
        <f t="shared" si="22"/>
        <v>2026</v>
      </c>
      <c r="J237">
        <f t="shared" si="23"/>
        <v>15</v>
      </c>
      <c r="K237" t="s">
        <v>1295</v>
      </c>
      <c r="L237" t="s">
        <v>116</v>
      </c>
      <c r="M237" t="s">
        <v>117</v>
      </c>
      <c r="P237" t="b">
        <v>1</v>
      </c>
      <c r="Q237">
        <v>0</v>
      </c>
      <c r="R237" t="s">
        <v>1296</v>
      </c>
      <c r="S237">
        <v>0</v>
      </c>
      <c r="T237" t="s">
        <v>119</v>
      </c>
      <c r="U237" t="s">
        <v>120</v>
      </c>
    </row>
    <row r="238" spans="1:21" x14ac:dyDescent="0.35">
      <c r="A238" t="s">
        <v>1297</v>
      </c>
      <c r="B238" t="s">
        <v>52</v>
      </c>
      <c r="C238" t="s">
        <v>1298</v>
      </c>
      <c r="D238" t="s">
        <v>1299</v>
      </c>
      <c r="E238" s="5">
        <f t="shared" si="18"/>
        <v>46111.805555555555</v>
      </c>
      <c r="F238" s="6">
        <f t="shared" si="19"/>
        <v>46111</v>
      </c>
      <c r="G238" s="7">
        <f t="shared" si="20"/>
        <v>0.80555555555474712</v>
      </c>
      <c r="H238">
        <f t="shared" si="21"/>
        <v>3</v>
      </c>
      <c r="I238">
        <f t="shared" si="22"/>
        <v>2026</v>
      </c>
      <c r="J238">
        <f t="shared" si="23"/>
        <v>19</v>
      </c>
      <c r="K238" t="s">
        <v>1300</v>
      </c>
      <c r="L238" t="s">
        <v>116</v>
      </c>
      <c r="M238" t="s">
        <v>1301</v>
      </c>
      <c r="N238" t="s">
        <v>117</v>
      </c>
      <c r="P238" t="b">
        <v>1</v>
      </c>
      <c r="Q238">
        <v>0</v>
      </c>
      <c r="R238" t="s">
        <v>1302</v>
      </c>
      <c r="S238">
        <v>0</v>
      </c>
      <c r="T238" t="s">
        <v>119</v>
      </c>
      <c r="U238" t="s">
        <v>120</v>
      </c>
    </row>
    <row r="239" spans="1:21" x14ac:dyDescent="0.35">
      <c r="A239" t="s">
        <v>1303</v>
      </c>
      <c r="B239" t="s">
        <v>52</v>
      </c>
      <c r="C239" t="s">
        <v>1304</v>
      </c>
      <c r="D239" t="s">
        <v>1305</v>
      </c>
      <c r="E239" s="5">
        <f t="shared" si="18"/>
        <v>46110.683333333334</v>
      </c>
      <c r="F239" s="6">
        <f t="shared" si="19"/>
        <v>46110</v>
      </c>
      <c r="G239" s="7">
        <f t="shared" si="20"/>
        <v>0.68333333333430346</v>
      </c>
      <c r="H239">
        <f t="shared" si="21"/>
        <v>3</v>
      </c>
      <c r="I239">
        <f t="shared" si="22"/>
        <v>2026</v>
      </c>
      <c r="J239">
        <f t="shared" si="23"/>
        <v>16</v>
      </c>
      <c r="K239" t="s">
        <v>1306</v>
      </c>
      <c r="L239" t="s">
        <v>116</v>
      </c>
      <c r="M239" t="s">
        <v>117</v>
      </c>
      <c r="P239" t="b">
        <v>1</v>
      </c>
      <c r="Q239">
        <v>0</v>
      </c>
      <c r="R239" t="s">
        <v>1307</v>
      </c>
      <c r="S239">
        <v>0</v>
      </c>
      <c r="T239" t="s">
        <v>119</v>
      </c>
      <c r="U239" t="s">
        <v>120</v>
      </c>
    </row>
    <row r="240" spans="1:21" x14ac:dyDescent="0.35">
      <c r="A240" t="s">
        <v>1308</v>
      </c>
      <c r="B240" t="s">
        <v>54</v>
      </c>
      <c r="C240" t="s">
        <v>1309</v>
      </c>
      <c r="D240" t="s">
        <v>1310</v>
      </c>
      <c r="E240" s="5">
        <f t="shared" si="18"/>
        <v>46228.725902777784</v>
      </c>
      <c r="F240" s="6">
        <f t="shared" si="19"/>
        <v>46228</v>
      </c>
      <c r="G240" s="7">
        <f t="shared" si="20"/>
        <v>0.72590277778363088</v>
      </c>
      <c r="H240">
        <f t="shared" si="21"/>
        <v>7</v>
      </c>
      <c r="I240">
        <f t="shared" si="22"/>
        <v>2026</v>
      </c>
      <c r="J240">
        <f t="shared" si="23"/>
        <v>17</v>
      </c>
      <c r="K240" t="s">
        <v>1311</v>
      </c>
      <c r="L240" t="s">
        <v>116</v>
      </c>
      <c r="M240" t="s">
        <v>117</v>
      </c>
      <c r="R240" t="s">
        <v>1312</v>
      </c>
      <c r="T240" t="s">
        <v>119</v>
      </c>
      <c r="U240" t="s">
        <v>120</v>
      </c>
    </row>
    <row r="241" spans="1:21" x14ac:dyDescent="0.35">
      <c r="A241" t="s">
        <v>1313</v>
      </c>
      <c r="B241" t="s">
        <v>54</v>
      </c>
      <c r="C241" t="s">
        <v>1314</v>
      </c>
      <c r="D241" t="s">
        <v>1315</v>
      </c>
      <c r="E241" s="5">
        <f t="shared" si="18"/>
        <v>46218.290300925932</v>
      </c>
      <c r="F241" s="6">
        <f t="shared" si="19"/>
        <v>46218</v>
      </c>
      <c r="G241" s="7">
        <f t="shared" si="20"/>
        <v>0.29030092593166046</v>
      </c>
      <c r="H241">
        <f t="shared" si="21"/>
        <v>7</v>
      </c>
      <c r="I241">
        <f t="shared" si="22"/>
        <v>2026</v>
      </c>
      <c r="J241">
        <f t="shared" si="23"/>
        <v>6</v>
      </c>
      <c r="K241" t="s">
        <v>1316</v>
      </c>
      <c r="L241" t="s">
        <v>116</v>
      </c>
      <c r="M241" t="s">
        <v>117</v>
      </c>
      <c r="R241" t="s">
        <v>1317</v>
      </c>
      <c r="T241" t="s">
        <v>119</v>
      </c>
      <c r="U241" t="s">
        <v>120</v>
      </c>
    </row>
    <row r="242" spans="1:21" x14ac:dyDescent="0.35">
      <c r="A242" t="s">
        <v>1318</v>
      </c>
      <c r="B242" t="s">
        <v>54</v>
      </c>
      <c r="C242" t="s">
        <v>1319</v>
      </c>
      <c r="D242" t="s">
        <v>1320</v>
      </c>
      <c r="E242" s="5">
        <f t="shared" si="18"/>
        <v>46191.293055555558</v>
      </c>
      <c r="F242" s="6">
        <f t="shared" si="19"/>
        <v>46191</v>
      </c>
      <c r="G242" s="7">
        <f t="shared" si="20"/>
        <v>0.2930555555576575</v>
      </c>
      <c r="H242">
        <f t="shared" si="21"/>
        <v>6</v>
      </c>
      <c r="I242">
        <f t="shared" si="22"/>
        <v>2026</v>
      </c>
      <c r="J242">
        <f t="shared" si="23"/>
        <v>7</v>
      </c>
      <c r="K242" t="s">
        <v>1321</v>
      </c>
      <c r="L242" t="s">
        <v>116</v>
      </c>
      <c r="M242" t="s">
        <v>117</v>
      </c>
      <c r="R242" t="s">
        <v>1322</v>
      </c>
      <c r="T242" t="s">
        <v>119</v>
      </c>
      <c r="U242" t="s">
        <v>120</v>
      </c>
    </row>
    <row r="243" spans="1:21" x14ac:dyDescent="0.35">
      <c r="A243" t="s">
        <v>1323</v>
      </c>
      <c r="B243" t="s">
        <v>54</v>
      </c>
      <c r="C243" t="s">
        <v>1324</v>
      </c>
      <c r="D243" t="s">
        <v>1325</v>
      </c>
      <c r="E243" s="5">
        <f t="shared" si="18"/>
        <v>46186.631574074076</v>
      </c>
      <c r="F243" s="6">
        <f t="shared" si="19"/>
        <v>46186</v>
      </c>
      <c r="G243" s="7">
        <f t="shared" si="20"/>
        <v>0.6315740740756155</v>
      </c>
      <c r="H243">
        <f t="shared" si="21"/>
        <v>6</v>
      </c>
      <c r="I243">
        <f t="shared" si="22"/>
        <v>2026</v>
      </c>
      <c r="J243">
        <f t="shared" si="23"/>
        <v>15</v>
      </c>
      <c r="K243" t="s">
        <v>1326</v>
      </c>
      <c r="L243" t="s">
        <v>116</v>
      </c>
      <c r="M243" t="s">
        <v>117</v>
      </c>
      <c r="R243" t="s">
        <v>1327</v>
      </c>
      <c r="T243" t="s">
        <v>119</v>
      </c>
      <c r="U243" t="s">
        <v>120</v>
      </c>
    </row>
    <row r="244" spans="1:21" x14ac:dyDescent="0.35">
      <c r="A244" t="s">
        <v>1328</v>
      </c>
      <c r="B244" t="s">
        <v>54</v>
      </c>
      <c r="C244" t="s">
        <v>1329</v>
      </c>
      <c r="D244" t="s">
        <v>1330</v>
      </c>
      <c r="E244" s="5">
        <f t="shared" si="18"/>
        <v>46146.636331018519</v>
      </c>
      <c r="F244" s="6">
        <f t="shared" si="19"/>
        <v>46146</v>
      </c>
      <c r="G244" s="7">
        <f t="shared" si="20"/>
        <v>0.63633101851883112</v>
      </c>
      <c r="H244">
        <f t="shared" si="21"/>
        <v>5</v>
      </c>
      <c r="I244">
        <f t="shared" si="22"/>
        <v>2026</v>
      </c>
      <c r="J244">
        <f t="shared" si="23"/>
        <v>15</v>
      </c>
      <c r="K244" t="s">
        <v>1331</v>
      </c>
      <c r="L244" t="s">
        <v>116</v>
      </c>
      <c r="M244" t="s">
        <v>117</v>
      </c>
      <c r="P244" t="b">
        <v>0</v>
      </c>
      <c r="R244" t="s">
        <v>1332</v>
      </c>
      <c r="T244" t="s">
        <v>119</v>
      </c>
      <c r="U244" t="s">
        <v>120</v>
      </c>
    </row>
    <row r="245" spans="1:21" x14ac:dyDescent="0.35">
      <c r="A245" t="s">
        <v>1333</v>
      </c>
      <c r="B245" t="s">
        <v>54</v>
      </c>
      <c r="C245" t="s">
        <v>1334</v>
      </c>
      <c r="D245" t="s">
        <v>1335</v>
      </c>
      <c r="E245" s="5">
        <f t="shared" si="18"/>
        <v>46146.617268518523</v>
      </c>
      <c r="F245" s="6">
        <f t="shared" si="19"/>
        <v>46146</v>
      </c>
      <c r="G245" s="7">
        <f t="shared" si="20"/>
        <v>0.61726851852290565</v>
      </c>
      <c r="H245">
        <f t="shared" si="21"/>
        <v>5</v>
      </c>
      <c r="I245">
        <f t="shared" si="22"/>
        <v>2026</v>
      </c>
      <c r="J245">
        <f t="shared" si="23"/>
        <v>14</v>
      </c>
      <c r="K245" t="s">
        <v>1336</v>
      </c>
      <c r="L245" t="s">
        <v>116</v>
      </c>
      <c r="M245" t="s">
        <v>117</v>
      </c>
      <c r="R245" t="s">
        <v>1337</v>
      </c>
      <c r="T245" t="s">
        <v>119</v>
      </c>
      <c r="U245" t="s">
        <v>120</v>
      </c>
    </row>
    <row r="246" spans="1:21" x14ac:dyDescent="0.35">
      <c r="A246" t="s">
        <v>1338</v>
      </c>
      <c r="B246" t="s">
        <v>54</v>
      </c>
      <c r="C246" t="s">
        <v>1339</v>
      </c>
      <c r="D246" t="s">
        <v>1340</v>
      </c>
      <c r="E246" s="5">
        <f t="shared" si="18"/>
        <v>46121.636180555557</v>
      </c>
      <c r="F246" s="6">
        <f t="shared" si="19"/>
        <v>46121</v>
      </c>
      <c r="G246" s="7">
        <f t="shared" si="20"/>
        <v>0.63618055555707542</v>
      </c>
      <c r="H246">
        <f t="shared" si="21"/>
        <v>4</v>
      </c>
      <c r="I246">
        <f t="shared" si="22"/>
        <v>2026</v>
      </c>
      <c r="J246">
        <f t="shared" si="23"/>
        <v>15</v>
      </c>
      <c r="K246" t="s">
        <v>1341</v>
      </c>
      <c r="L246" t="s">
        <v>116</v>
      </c>
      <c r="M246" t="s">
        <v>117</v>
      </c>
      <c r="R246" t="s">
        <v>1342</v>
      </c>
      <c r="T246" t="s">
        <v>119</v>
      </c>
      <c r="U246" t="s">
        <v>120</v>
      </c>
    </row>
    <row r="247" spans="1:21" x14ac:dyDescent="0.35">
      <c r="A247" t="s">
        <v>1343</v>
      </c>
      <c r="B247" t="s">
        <v>56</v>
      </c>
      <c r="C247" t="s">
        <v>1344</v>
      </c>
      <c r="D247" t="s">
        <v>1345</v>
      </c>
      <c r="E247" s="5">
        <f t="shared" si="18"/>
        <v>46187.694502314815</v>
      </c>
      <c r="F247" s="6">
        <f t="shared" si="19"/>
        <v>46187</v>
      </c>
      <c r="G247" s="7">
        <f t="shared" si="20"/>
        <v>0.69450231481459923</v>
      </c>
      <c r="H247">
        <f t="shared" si="21"/>
        <v>6</v>
      </c>
      <c r="I247">
        <f t="shared" si="22"/>
        <v>2026</v>
      </c>
      <c r="J247">
        <f t="shared" si="23"/>
        <v>16</v>
      </c>
      <c r="K247" t="s">
        <v>1346</v>
      </c>
      <c r="L247" t="s">
        <v>116</v>
      </c>
      <c r="M247" t="s">
        <v>117</v>
      </c>
      <c r="R247" t="s">
        <v>1347</v>
      </c>
      <c r="T247" t="s">
        <v>119</v>
      </c>
      <c r="U247" t="s">
        <v>146</v>
      </c>
    </row>
    <row r="248" spans="1:21" x14ac:dyDescent="0.35">
      <c r="A248" t="s">
        <v>1348</v>
      </c>
      <c r="B248" t="s">
        <v>56</v>
      </c>
      <c r="C248" t="s">
        <v>1349</v>
      </c>
      <c r="D248" t="s">
        <v>1350</v>
      </c>
      <c r="E248" s="5">
        <f t="shared" si="18"/>
        <v>46173.369270833333</v>
      </c>
      <c r="F248" s="6">
        <f t="shared" si="19"/>
        <v>46173</v>
      </c>
      <c r="G248" s="7">
        <f t="shared" si="20"/>
        <v>0.36927083333284827</v>
      </c>
      <c r="H248">
        <f t="shared" si="21"/>
        <v>5</v>
      </c>
      <c r="I248">
        <f t="shared" si="22"/>
        <v>2026</v>
      </c>
      <c r="J248">
        <f t="shared" si="23"/>
        <v>8</v>
      </c>
      <c r="K248" t="s">
        <v>1351</v>
      </c>
      <c r="L248" t="s">
        <v>116</v>
      </c>
      <c r="M248" t="s">
        <v>117</v>
      </c>
      <c r="R248" t="s">
        <v>1352</v>
      </c>
      <c r="T248" t="s">
        <v>119</v>
      </c>
      <c r="U248" t="s">
        <v>146</v>
      </c>
    </row>
    <row r="249" spans="1:21" x14ac:dyDescent="0.35">
      <c r="A249" t="s">
        <v>1353</v>
      </c>
      <c r="B249" t="s">
        <v>56</v>
      </c>
      <c r="C249" t="s">
        <v>1354</v>
      </c>
      <c r="D249" t="s">
        <v>1355</v>
      </c>
      <c r="E249" s="5">
        <f t="shared" si="18"/>
        <v>46139.71775462963</v>
      </c>
      <c r="F249" s="6">
        <f t="shared" si="19"/>
        <v>46139</v>
      </c>
      <c r="G249" s="7">
        <f t="shared" si="20"/>
        <v>0.71775462962978054</v>
      </c>
      <c r="H249">
        <f t="shared" si="21"/>
        <v>4</v>
      </c>
      <c r="I249">
        <f t="shared" si="22"/>
        <v>2026</v>
      </c>
      <c r="J249">
        <f t="shared" si="23"/>
        <v>17</v>
      </c>
      <c r="K249" t="s">
        <v>1356</v>
      </c>
      <c r="L249" t="s">
        <v>116</v>
      </c>
      <c r="M249" t="s">
        <v>117</v>
      </c>
      <c r="R249" t="s">
        <v>1357</v>
      </c>
      <c r="T249" t="s">
        <v>119</v>
      </c>
      <c r="U249" t="s">
        <v>146</v>
      </c>
    </row>
    <row r="250" spans="1:21" x14ac:dyDescent="0.35">
      <c r="A250" t="s">
        <v>1358</v>
      </c>
      <c r="B250" t="s">
        <v>56</v>
      </c>
      <c r="C250" t="s">
        <v>1359</v>
      </c>
      <c r="D250" t="s">
        <v>1360</v>
      </c>
      <c r="E250" s="5">
        <f t="shared" si="18"/>
        <v>46138.310625000006</v>
      </c>
      <c r="F250" s="6">
        <f t="shared" si="19"/>
        <v>46138</v>
      </c>
      <c r="G250" s="7">
        <f t="shared" si="20"/>
        <v>0.31062500000552973</v>
      </c>
      <c r="H250">
        <f t="shared" si="21"/>
        <v>4</v>
      </c>
      <c r="I250">
        <f t="shared" si="22"/>
        <v>2026</v>
      </c>
      <c r="J250">
        <f t="shared" si="23"/>
        <v>7</v>
      </c>
      <c r="K250" t="s">
        <v>1361</v>
      </c>
      <c r="L250" t="s">
        <v>116</v>
      </c>
      <c r="M250" t="s">
        <v>117</v>
      </c>
      <c r="R250" t="s">
        <v>1362</v>
      </c>
      <c r="T250" t="s">
        <v>119</v>
      </c>
      <c r="U250" t="s">
        <v>146</v>
      </c>
    </row>
    <row r="251" spans="1:21" x14ac:dyDescent="0.35">
      <c r="A251" t="s">
        <v>1363</v>
      </c>
      <c r="B251" t="s">
        <v>58</v>
      </c>
      <c r="C251" t="s">
        <v>1364</v>
      </c>
      <c r="D251" t="s">
        <v>1365</v>
      </c>
      <c r="E251" s="5">
        <f t="shared" si="18"/>
        <v>46264.754861111112</v>
      </c>
      <c r="F251" s="6">
        <f t="shared" si="19"/>
        <v>46264</v>
      </c>
      <c r="G251" s="7">
        <f t="shared" si="20"/>
        <v>0.75486111111240461</v>
      </c>
      <c r="H251">
        <f t="shared" si="21"/>
        <v>8</v>
      </c>
      <c r="I251">
        <f t="shared" si="22"/>
        <v>2026</v>
      </c>
      <c r="J251">
        <f t="shared" si="23"/>
        <v>18</v>
      </c>
      <c r="K251" t="s">
        <v>1366</v>
      </c>
      <c r="L251" t="s">
        <v>116</v>
      </c>
      <c r="M251" t="s">
        <v>117</v>
      </c>
      <c r="P251" t="b">
        <v>0</v>
      </c>
      <c r="R251" t="s">
        <v>1367</v>
      </c>
      <c r="T251" t="s">
        <v>119</v>
      </c>
      <c r="U251" t="s">
        <v>146</v>
      </c>
    </row>
    <row r="252" spans="1:21" x14ac:dyDescent="0.35">
      <c r="A252" t="s">
        <v>1368</v>
      </c>
      <c r="B252" t="s">
        <v>58</v>
      </c>
      <c r="C252" t="s">
        <v>1369</v>
      </c>
      <c r="D252" t="s">
        <v>1370</v>
      </c>
      <c r="E252" s="5">
        <f t="shared" si="18"/>
        <v>46244.67291666667</v>
      </c>
      <c r="F252" s="6">
        <f t="shared" si="19"/>
        <v>46244</v>
      </c>
      <c r="G252" s="7">
        <f t="shared" si="20"/>
        <v>0.67291666667006211</v>
      </c>
      <c r="H252">
        <f t="shared" si="21"/>
        <v>8</v>
      </c>
      <c r="I252">
        <f t="shared" si="22"/>
        <v>2026</v>
      </c>
      <c r="J252">
        <f t="shared" si="23"/>
        <v>16</v>
      </c>
      <c r="K252" t="s">
        <v>1371</v>
      </c>
      <c r="L252" t="s">
        <v>116</v>
      </c>
      <c r="M252" t="s">
        <v>117</v>
      </c>
      <c r="P252" t="b">
        <v>0</v>
      </c>
      <c r="R252" t="s">
        <v>1372</v>
      </c>
      <c r="T252" t="s">
        <v>119</v>
      </c>
      <c r="U252" t="s">
        <v>146</v>
      </c>
    </row>
    <row r="253" spans="1:21" x14ac:dyDescent="0.35">
      <c r="A253" t="s">
        <v>1373</v>
      </c>
      <c r="B253" t="s">
        <v>58</v>
      </c>
      <c r="C253" t="s">
        <v>1374</v>
      </c>
      <c r="D253" t="s">
        <v>1375</v>
      </c>
      <c r="E253" s="5">
        <f t="shared" si="18"/>
        <v>46207.942361111112</v>
      </c>
      <c r="F253" s="6">
        <f t="shared" si="19"/>
        <v>46207</v>
      </c>
      <c r="G253" s="7">
        <f t="shared" si="20"/>
        <v>0.94236111111240461</v>
      </c>
      <c r="H253">
        <f t="shared" si="21"/>
        <v>7</v>
      </c>
      <c r="I253">
        <f t="shared" si="22"/>
        <v>2026</v>
      </c>
      <c r="J253">
        <f t="shared" si="23"/>
        <v>22</v>
      </c>
      <c r="K253" t="s">
        <v>1376</v>
      </c>
      <c r="L253" t="s">
        <v>116</v>
      </c>
      <c r="M253" t="s">
        <v>117</v>
      </c>
      <c r="P253" t="b">
        <v>0</v>
      </c>
      <c r="R253" t="s">
        <v>1377</v>
      </c>
      <c r="T253" t="s">
        <v>119</v>
      </c>
      <c r="U253" t="s">
        <v>146</v>
      </c>
    </row>
    <row r="254" spans="1:21" x14ac:dyDescent="0.35">
      <c r="A254" t="s">
        <v>1378</v>
      </c>
      <c r="B254" t="s">
        <v>58</v>
      </c>
      <c r="C254" t="s">
        <v>1379</v>
      </c>
      <c r="D254" t="s">
        <v>1380</v>
      </c>
      <c r="E254" s="5">
        <f t="shared" si="18"/>
        <v>46191.554861111115</v>
      </c>
      <c r="F254" s="6">
        <f t="shared" si="19"/>
        <v>46191</v>
      </c>
      <c r="G254" s="7">
        <f t="shared" si="20"/>
        <v>0.554861111115315</v>
      </c>
      <c r="H254">
        <f t="shared" si="21"/>
        <v>6</v>
      </c>
      <c r="I254">
        <f t="shared" si="22"/>
        <v>2026</v>
      </c>
      <c r="J254">
        <f t="shared" si="23"/>
        <v>13</v>
      </c>
      <c r="K254" t="s">
        <v>1381</v>
      </c>
      <c r="L254" t="s">
        <v>116</v>
      </c>
      <c r="M254" t="s">
        <v>117</v>
      </c>
      <c r="P254" t="b">
        <v>0</v>
      </c>
      <c r="R254" t="s">
        <v>1382</v>
      </c>
      <c r="T254" t="s">
        <v>119</v>
      </c>
      <c r="U254" t="s">
        <v>146</v>
      </c>
    </row>
    <row r="255" spans="1:21" x14ac:dyDescent="0.35">
      <c r="A255" t="s">
        <v>1383</v>
      </c>
      <c r="B255" t="s">
        <v>58</v>
      </c>
      <c r="C255" t="s">
        <v>1384</v>
      </c>
      <c r="D255" t="s">
        <v>1385</v>
      </c>
      <c r="E255" s="5">
        <f t="shared" si="18"/>
        <v>46141.480555555558</v>
      </c>
      <c r="F255" s="6">
        <f t="shared" si="19"/>
        <v>46141</v>
      </c>
      <c r="G255" s="7">
        <f t="shared" si="20"/>
        <v>0.4805555555576575</v>
      </c>
      <c r="H255">
        <f t="shared" si="21"/>
        <v>4</v>
      </c>
      <c r="I255">
        <f t="shared" si="22"/>
        <v>2026</v>
      </c>
      <c r="J255">
        <f t="shared" si="23"/>
        <v>11</v>
      </c>
      <c r="K255" t="s">
        <v>1386</v>
      </c>
      <c r="L255" t="s">
        <v>116</v>
      </c>
      <c r="M255" t="s">
        <v>117</v>
      </c>
      <c r="P255" t="b">
        <v>0</v>
      </c>
      <c r="R255" t="s">
        <v>1387</v>
      </c>
      <c r="T255" t="s">
        <v>119</v>
      </c>
      <c r="U255" t="s">
        <v>146</v>
      </c>
    </row>
    <row r="256" spans="1:21" x14ac:dyDescent="0.35">
      <c r="A256" t="s">
        <v>1388</v>
      </c>
      <c r="B256" t="s">
        <v>58</v>
      </c>
      <c r="C256" t="s">
        <v>1389</v>
      </c>
      <c r="D256" t="s">
        <v>1390</v>
      </c>
      <c r="E256" s="5">
        <f t="shared" si="18"/>
        <v>46139.712500000001</v>
      </c>
      <c r="F256" s="6">
        <f t="shared" si="19"/>
        <v>46139</v>
      </c>
      <c r="G256" s="7">
        <f t="shared" si="20"/>
        <v>0.71250000000145519</v>
      </c>
      <c r="H256">
        <f t="shared" si="21"/>
        <v>4</v>
      </c>
      <c r="I256">
        <f t="shared" si="22"/>
        <v>2026</v>
      </c>
      <c r="J256">
        <f t="shared" si="23"/>
        <v>17</v>
      </c>
      <c r="K256" t="s">
        <v>1391</v>
      </c>
      <c r="L256" t="s">
        <v>116</v>
      </c>
      <c r="M256" t="s">
        <v>117</v>
      </c>
      <c r="P256" t="b">
        <v>0</v>
      </c>
      <c r="R256" t="s">
        <v>1392</v>
      </c>
      <c r="T256" t="s">
        <v>119</v>
      </c>
      <c r="U256" t="s">
        <v>146</v>
      </c>
    </row>
    <row r="257" spans="1:21" x14ac:dyDescent="0.35">
      <c r="A257" t="s">
        <v>1393</v>
      </c>
      <c r="B257" t="s">
        <v>58</v>
      </c>
      <c r="C257" t="s">
        <v>1394</v>
      </c>
      <c r="D257" t="s">
        <v>1395</v>
      </c>
      <c r="E257" s="5">
        <f t="shared" si="18"/>
        <v>46139.709027777782</v>
      </c>
      <c r="F257" s="6">
        <f t="shared" si="19"/>
        <v>46139</v>
      </c>
      <c r="G257" s="7">
        <f t="shared" si="20"/>
        <v>0.70902777778246673</v>
      </c>
      <c r="H257">
        <f t="shared" si="21"/>
        <v>4</v>
      </c>
      <c r="I257">
        <f t="shared" si="22"/>
        <v>2026</v>
      </c>
      <c r="J257">
        <f t="shared" si="23"/>
        <v>17</v>
      </c>
      <c r="K257" t="s">
        <v>1396</v>
      </c>
      <c r="L257" t="s">
        <v>116</v>
      </c>
      <c r="M257" t="s">
        <v>117</v>
      </c>
      <c r="P257" t="b">
        <v>0</v>
      </c>
      <c r="R257" t="s">
        <v>1397</v>
      </c>
      <c r="T257" t="s">
        <v>119</v>
      </c>
      <c r="U257" t="s">
        <v>146</v>
      </c>
    </row>
    <row r="258" spans="1:21" x14ac:dyDescent="0.35">
      <c r="A258" t="s">
        <v>1398</v>
      </c>
      <c r="B258" t="s">
        <v>58</v>
      </c>
      <c r="C258" t="s">
        <v>1399</v>
      </c>
      <c r="D258" t="s">
        <v>1400</v>
      </c>
      <c r="E258" s="5">
        <f t="shared" ref="E258:E321" si="24">IF(D258="","",DATE(VALUE(LEFT(D258,4)),VALUE(MID(D258,6,2)),VALUE(MID(D258,9,2)))+TIME(VALUE(MID(D258,12,2)),VALUE(MID(D258,15,2)),VALUE(MID(D258,18,2)))-IF(AND(DATE(VALUE(LEFT(D258,4)),VALUE(MID(D258,6,2)),VALUE(MID(D258,9,2)))+TIME(VALUE(MID(D258,12,2)),VALUE(MID(D258,15,2)),VALUE(MID(D258,18,2)))&gt;=DATE(VALUE(LEFT(D258,4)),3,1)+MOD(8-WEEKDAY(DATE(VALUE(LEFT(D258,4)),3,1)),7)+7+TIME(7,0,0),DATE(VALUE(LEFT(D258,4)),3,1)+MOD(8-WEEKDAY(DATE(VALUE(LEFT(D258,4)),3,1)),7)+7+TIME(7,0,0)&lt;DATE(VALUE(LEFT(D258,4)),11,1)+MOD(8-WEEKDAY(DATE(VALUE(LEFT(D258,4)),11,1)),7)+TIME(6,0,0)), TIME(4,0,0),TIME(5,0,0)))</f>
        <v>46124.513194444444</v>
      </c>
      <c r="F258" s="6">
        <f t="shared" ref="F258:F321" si="25">IF(E258="","",INT(E258))</f>
        <v>46124</v>
      </c>
      <c r="G258" s="7">
        <f t="shared" ref="G258:G321" si="26">IF(E258="","",MOD(E258,1))</f>
        <v>0.51319444444379769</v>
      </c>
      <c r="H258">
        <f t="shared" ref="H258:H321" si="27">IF(E258="","",MONTH(E258))</f>
        <v>4</v>
      </c>
      <c r="I258">
        <f t="shared" ref="I258:I321" si="28">IF(E258="","",YEAR(E258))</f>
        <v>2026</v>
      </c>
      <c r="J258">
        <f t="shared" ref="J258:J321" si="29">IF(E258="","",HOUR(E258))</f>
        <v>12</v>
      </c>
      <c r="K258" t="s">
        <v>1401</v>
      </c>
      <c r="L258" t="s">
        <v>116</v>
      </c>
      <c r="M258" t="s">
        <v>117</v>
      </c>
      <c r="P258" t="b">
        <v>0</v>
      </c>
      <c r="R258" t="s">
        <v>1402</v>
      </c>
      <c r="T258" t="s">
        <v>119</v>
      </c>
      <c r="U258" t="s">
        <v>146</v>
      </c>
    </row>
    <row r="259" spans="1:21" x14ac:dyDescent="0.35">
      <c r="A259" t="s">
        <v>1403</v>
      </c>
      <c r="B259" t="s">
        <v>58</v>
      </c>
      <c r="C259" t="s">
        <v>1404</v>
      </c>
      <c r="D259" t="s">
        <v>1405</v>
      </c>
      <c r="E259" s="5">
        <f t="shared" si="24"/>
        <v>46124.492361111115</v>
      </c>
      <c r="F259" s="6">
        <f t="shared" si="25"/>
        <v>46124</v>
      </c>
      <c r="G259" s="7">
        <f t="shared" si="26"/>
        <v>0.492361111115315</v>
      </c>
      <c r="H259">
        <f t="shared" si="27"/>
        <v>4</v>
      </c>
      <c r="I259">
        <f t="shared" si="28"/>
        <v>2026</v>
      </c>
      <c r="J259">
        <f t="shared" si="29"/>
        <v>11</v>
      </c>
      <c r="K259" t="s">
        <v>1406</v>
      </c>
      <c r="L259" t="s">
        <v>116</v>
      </c>
      <c r="M259" t="s">
        <v>117</v>
      </c>
      <c r="P259" t="b">
        <v>1</v>
      </c>
      <c r="R259" t="s">
        <v>1407</v>
      </c>
      <c r="S259">
        <v>0</v>
      </c>
      <c r="T259" t="s">
        <v>119</v>
      </c>
      <c r="U259" t="s">
        <v>146</v>
      </c>
    </row>
    <row r="260" spans="1:21" x14ac:dyDescent="0.35">
      <c r="A260" t="s">
        <v>1408</v>
      </c>
      <c r="B260" t="s">
        <v>58</v>
      </c>
      <c r="C260" t="s">
        <v>1409</v>
      </c>
      <c r="D260" t="s">
        <v>1410</v>
      </c>
      <c r="E260" s="5">
        <f t="shared" si="24"/>
        <v>46121.729861111111</v>
      </c>
      <c r="F260" s="6">
        <f t="shared" si="25"/>
        <v>46121</v>
      </c>
      <c r="G260" s="7">
        <f t="shared" si="26"/>
        <v>0.72986111111094942</v>
      </c>
      <c r="H260">
        <f t="shared" si="27"/>
        <v>4</v>
      </c>
      <c r="I260">
        <f t="shared" si="28"/>
        <v>2026</v>
      </c>
      <c r="J260">
        <f t="shared" si="29"/>
        <v>17</v>
      </c>
      <c r="K260" t="s">
        <v>1411</v>
      </c>
      <c r="L260" t="s">
        <v>116</v>
      </c>
      <c r="M260" t="s">
        <v>117</v>
      </c>
      <c r="P260" t="b">
        <v>0</v>
      </c>
      <c r="R260" t="s">
        <v>1412</v>
      </c>
      <c r="T260" t="s">
        <v>119</v>
      </c>
      <c r="U260" t="s">
        <v>146</v>
      </c>
    </row>
    <row r="261" spans="1:21" x14ac:dyDescent="0.35">
      <c r="A261" t="s">
        <v>1413</v>
      </c>
      <c r="B261" t="s">
        <v>58</v>
      </c>
      <c r="C261" t="s">
        <v>1414</v>
      </c>
      <c r="D261" t="s">
        <v>1415</v>
      </c>
      <c r="E261" s="5">
        <f t="shared" si="24"/>
        <v>46037.37222222222</v>
      </c>
      <c r="F261" s="6">
        <f t="shared" si="25"/>
        <v>46037</v>
      </c>
      <c r="G261" s="7">
        <f t="shared" si="26"/>
        <v>0.37222222222044365</v>
      </c>
      <c r="H261">
        <f t="shared" si="27"/>
        <v>1</v>
      </c>
      <c r="I261">
        <f t="shared" si="28"/>
        <v>2026</v>
      </c>
      <c r="J261">
        <f t="shared" si="29"/>
        <v>8</v>
      </c>
      <c r="K261" t="s">
        <v>1416</v>
      </c>
      <c r="L261" t="s">
        <v>116</v>
      </c>
      <c r="M261" t="s">
        <v>117</v>
      </c>
      <c r="P261" t="b">
        <v>1</v>
      </c>
      <c r="R261" t="s">
        <v>1417</v>
      </c>
      <c r="S261">
        <v>1</v>
      </c>
      <c r="T261" t="s">
        <v>119</v>
      </c>
      <c r="U261" t="s">
        <v>146</v>
      </c>
    </row>
    <row r="262" spans="1:21" x14ac:dyDescent="0.35">
      <c r="A262" t="s">
        <v>1418</v>
      </c>
      <c r="B262" t="s">
        <v>60</v>
      </c>
      <c r="C262" t="s">
        <v>1419</v>
      </c>
      <c r="D262" t="s">
        <v>1420</v>
      </c>
      <c r="E262" s="5">
        <f t="shared" si="24"/>
        <v>46220.296168981484</v>
      </c>
      <c r="F262" s="6">
        <f t="shared" si="25"/>
        <v>46220</v>
      </c>
      <c r="G262" s="7">
        <f t="shared" si="26"/>
        <v>0.29616898148378823</v>
      </c>
      <c r="H262">
        <f t="shared" si="27"/>
        <v>7</v>
      </c>
      <c r="I262">
        <f t="shared" si="28"/>
        <v>2026</v>
      </c>
      <c r="J262">
        <f t="shared" si="29"/>
        <v>7</v>
      </c>
      <c r="K262" t="s">
        <v>1421</v>
      </c>
      <c r="L262" t="s">
        <v>116</v>
      </c>
      <c r="M262" t="s">
        <v>117</v>
      </c>
      <c r="P262" t="b">
        <v>0</v>
      </c>
      <c r="R262" t="s">
        <v>1422</v>
      </c>
      <c r="S262">
        <v>0</v>
      </c>
      <c r="T262" t="s">
        <v>119</v>
      </c>
      <c r="U262" t="s">
        <v>146</v>
      </c>
    </row>
    <row r="263" spans="1:21" x14ac:dyDescent="0.35">
      <c r="A263" t="s">
        <v>1423</v>
      </c>
      <c r="B263" t="s">
        <v>60</v>
      </c>
      <c r="C263" t="s">
        <v>1424</v>
      </c>
      <c r="D263" t="s">
        <v>1425</v>
      </c>
      <c r="E263" s="5">
        <f t="shared" si="24"/>
        <v>46219.757465277777</v>
      </c>
      <c r="F263" s="6">
        <f t="shared" si="25"/>
        <v>46219</v>
      </c>
      <c r="G263" s="7">
        <f t="shared" si="26"/>
        <v>0.75746527777664596</v>
      </c>
      <c r="H263">
        <f t="shared" si="27"/>
        <v>7</v>
      </c>
      <c r="I263">
        <f t="shared" si="28"/>
        <v>2026</v>
      </c>
      <c r="J263">
        <f t="shared" si="29"/>
        <v>18</v>
      </c>
      <c r="K263" t="s">
        <v>1426</v>
      </c>
      <c r="L263" t="s">
        <v>116</v>
      </c>
      <c r="M263" t="s">
        <v>117</v>
      </c>
      <c r="P263" t="b">
        <v>0</v>
      </c>
      <c r="R263" t="s">
        <v>1427</v>
      </c>
      <c r="S263">
        <v>0</v>
      </c>
      <c r="T263" t="s">
        <v>119</v>
      </c>
      <c r="U263" t="s">
        <v>146</v>
      </c>
    </row>
    <row r="264" spans="1:21" x14ac:dyDescent="0.35">
      <c r="A264" t="s">
        <v>1428</v>
      </c>
      <c r="B264" t="s">
        <v>60</v>
      </c>
      <c r="C264" t="s">
        <v>1429</v>
      </c>
      <c r="D264" t="s">
        <v>1430</v>
      </c>
      <c r="E264" s="5">
        <f t="shared" si="24"/>
        <v>46138.311574074076</v>
      </c>
      <c r="F264" s="6">
        <f t="shared" si="25"/>
        <v>46138</v>
      </c>
      <c r="G264" s="7">
        <f t="shared" si="26"/>
        <v>0.31157407407590654</v>
      </c>
      <c r="H264">
        <f t="shared" si="27"/>
        <v>4</v>
      </c>
      <c r="I264">
        <f t="shared" si="28"/>
        <v>2026</v>
      </c>
      <c r="J264">
        <f t="shared" si="29"/>
        <v>7</v>
      </c>
      <c r="K264" t="s">
        <v>1431</v>
      </c>
      <c r="L264" t="s">
        <v>116</v>
      </c>
      <c r="M264" t="s">
        <v>117</v>
      </c>
      <c r="P264" t="b">
        <v>0</v>
      </c>
      <c r="R264" t="s">
        <v>1432</v>
      </c>
      <c r="T264" t="s">
        <v>119</v>
      </c>
      <c r="U264" t="s">
        <v>146</v>
      </c>
    </row>
    <row r="265" spans="1:21" x14ac:dyDescent="0.35">
      <c r="A265" t="s">
        <v>1433</v>
      </c>
      <c r="B265" t="s">
        <v>60</v>
      </c>
      <c r="C265" t="s">
        <v>1434</v>
      </c>
      <c r="D265" t="s">
        <v>1435</v>
      </c>
      <c r="E265" s="5">
        <f t="shared" si="24"/>
        <v>46123.676284722227</v>
      </c>
      <c r="F265" s="6">
        <f t="shared" si="25"/>
        <v>46123</v>
      </c>
      <c r="G265" s="7">
        <f t="shared" si="26"/>
        <v>0.67628472222713754</v>
      </c>
      <c r="H265">
        <f t="shared" si="27"/>
        <v>4</v>
      </c>
      <c r="I265">
        <f t="shared" si="28"/>
        <v>2026</v>
      </c>
      <c r="J265">
        <f t="shared" si="29"/>
        <v>16</v>
      </c>
      <c r="K265" t="s">
        <v>1436</v>
      </c>
      <c r="L265" t="s">
        <v>116</v>
      </c>
      <c r="M265" t="s">
        <v>117</v>
      </c>
      <c r="R265" t="s">
        <v>1437</v>
      </c>
      <c r="T265" t="s">
        <v>119</v>
      </c>
      <c r="U265" t="s">
        <v>146</v>
      </c>
    </row>
    <row r="266" spans="1:21" x14ac:dyDescent="0.35">
      <c r="A266" t="s">
        <v>1438</v>
      </c>
      <c r="B266" t="s">
        <v>60</v>
      </c>
      <c r="C266" t="s">
        <v>1439</v>
      </c>
      <c r="D266" t="s">
        <v>1440</v>
      </c>
      <c r="E266" s="5">
        <f t="shared" si="24"/>
        <v>46121.732627314814</v>
      </c>
      <c r="F266" s="6">
        <f t="shared" si="25"/>
        <v>46121</v>
      </c>
      <c r="G266" s="7">
        <f t="shared" si="26"/>
        <v>0.73262731481372612</v>
      </c>
      <c r="H266">
        <f t="shared" si="27"/>
        <v>4</v>
      </c>
      <c r="I266">
        <f t="shared" si="28"/>
        <v>2026</v>
      </c>
      <c r="J266">
        <f t="shared" si="29"/>
        <v>17</v>
      </c>
      <c r="K266" t="s">
        <v>1441</v>
      </c>
      <c r="L266" t="s">
        <v>116</v>
      </c>
      <c r="M266" t="s">
        <v>117</v>
      </c>
      <c r="R266" t="s">
        <v>1442</v>
      </c>
      <c r="T266" t="s">
        <v>119</v>
      </c>
      <c r="U266" t="s">
        <v>146</v>
      </c>
    </row>
    <row r="267" spans="1:21" x14ac:dyDescent="0.35">
      <c r="A267" t="s">
        <v>1443</v>
      </c>
      <c r="B267" t="s">
        <v>60</v>
      </c>
      <c r="C267" t="s">
        <v>1444</v>
      </c>
      <c r="D267" t="s">
        <v>1445</v>
      </c>
      <c r="E267" s="5">
        <f t="shared" si="24"/>
        <v>46121.623611111114</v>
      </c>
      <c r="F267" s="6">
        <f t="shared" si="25"/>
        <v>46121</v>
      </c>
      <c r="G267" s="7">
        <f t="shared" si="26"/>
        <v>0.62361111111385981</v>
      </c>
      <c r="H267">
        <f t="shared" si="27"/>
        <v>4</v>
      </c>
      <c r="I267">
        <f t="shared" si="28"/>
        <v>2026</v>
      </c>
      <c r="J267">
        <f t="shared" si="29"/>
        <v>14</v>
      </c>
      <c r="K267" t="s">
        <v>1446</v>
      </c>
      <c r="L267" t="s">
        <v>116</v>
      </c>
      <c r="M267" t="s">
        <v>117</v>
      </c>
      <c r="N267" t="s">
        <v>1447</v>
      </c>
      <c r="R267" t="s">
        <v>1448</v>
      </c>
      <c r="T267" t="s">
        <v>119</v>
      </c>
      <c r="U267" t="s">
        <v>146</v>
      </c>
    </row>
    <row r="268" spans="1:21" x14ac:dyDescent="0.35">
      <c r="A268" t="s">
        <v>1449</v>
      </c>
      <c r="B268" t="s">
        <v>60</v>
      </c>
      <c r="C268" t="s">
        <v>1450</v>
      </c>
      <c r="D268" t="s">
        <v>1451</v>
      </c>
      <c r="E268" s="5">
        <f t="shared" si="24"/>
        <v>46111.512071759258</v>
      </c>
      <c r="F268" s="6">
        <f t="shared" si="25"/>
        <v>46111</v>
      </c>
      <c r="G268" s="7">
        <f t="shared" si="26"/>
        <v>0.51207175925810589</v>
      </c>
      <c r="H268">
        <f t="shared" si="27"/>
        <v>3</v>
      </c>
      <c r="I268">
        <f t="shared" si="28"/>
        <v>2026</v>
      </c>
      <c r="J268">
        <f t="shared" si="29"/>
        <v>12</v>
      </c>
      <c r="K268" t="s">
        <v>1452</v>
      </c>
      <c r="L268" t="s">
        <v>116</v>
      </c>
      <c r="M268" t="s">
        <v>117</v>
      </c>
      <c r="P268" t="b">
        <v>1</v>
      </c>
      <c r="R268" t="s">
        <v>1453</v>
      </c>
      <c r="S268">
        <v>0</v>
      </c>
      <c r="T268" t="s">
        <v>119</v>
      </c>
      <c r="U268" t="s">
        <v>120</v>
      </c>
    </row>
    <row r="269" spans="1:21" x14ac:dyDescent="0.35">
      <c r="A269" t="s">
        <v>1454</v>
      </c>
      <c r="B269" t="s">
        <v>62</v>
      </c>
      <c r="C269" t="s">
        <v>1455</v>
      </c>
      <c r="D269" t="s">
        <v>1456</v>
      </c>
      <c r="E269" s="5">
        <f t="shared" si="24"/>
        <v>46196.683356481481</v>
      </c>
      <c r="F269" s="6">
        <f t="shared" si="25"/>
        <v>46196</v>
      </c>
      <c r="G269" s="7">
        <f t="shared" si="26"/>
        <v>0.68335648148058681</v>
      </c>
      <c r="H269">
        <f t="shared" si="27"/>
        <v>6</v>
      </c>
      <c r="I269">
        <f t="shared" si="28"/>
        <v>2026</v>
      </c>
      <c r="J269">
        <f t="shared" si="29"/>
        <v>16</v>
      </c>
      <c r="K269" t="s">
        <v>1457</v>
      </c>
      <c r="L269" t="s">
        <v>116</v>
      </c>
      <c r="M269" t="s">
        <v>117</v>
      </c>
      <c r="R269" t="s">
        <v>1458</v>
      </c>
      <c r="T269" t="s">
        <v>119</v>
      </c>
      <c r="U269" t="s">
        <v>146</v>
      </c>
    </row>
    <row r="270" spans="1:21" x14ac:dyDescent="0.35">
      <c r="A270" t="s">
        <v>1459</v>
      </c>
      <c r="B270" t="s">
        <v>62</v>
      </c>
      <c r="C270" t="s">
        <v>1460</v>
      </c>
      <c r="D270" t="s">
        <v>1461</v>
      </c>
      <c r="E270" s="5">
        <f t="shared" si="24"/>
        <v>46186.356076388889</v>
      </c>
      <c r="F270" s="6">
        <f t="shared" si="25"/>
        <v>46186</v>
      </c>
      <c r="G270" s="7">
        <f t="shared" si="26"/>
        <v>0.35607638888905058</v>
      </c>
      <c r="H270">
        <f t="shared" si="27"/>
        <v>6</v>
      </c>
      <c r="I270">
        <f t="shared" si="28"/>
        <v>2026</v>
      </c>
      <c r="J270">
        <f t="shared" si="29"/>
        <v>8</v>
      </c>
      <c r="K270" t="s">
        <v>1462</v>
      </c>
      <c r="L270" t="s">
        <v>116</v>
      </c>
      <c r="M270" t="s">
        <v>117</v>
      </c>
      <c r="P270" t="b">
        <v>0</v>
      </c>
      <c r="R270" t="s">
        <v>1463</v>
      </c>
      <c r="T270" t="s">
        <v>119</v>
      </c>
      <c r="U270" t="s">
        <v>146</v>
      </c>
    </row>
    <row r="271" spans="1:21" x14ac:dyDescent="0.35">
      <c r="A271" t="s">
        <v>1464</v>
      </c>
      <c r="B271" t="s">
        <v>62</v>
      </c>
      <c r="C271" t="s">
        <v>1465</v>
      </c>
      <c r="D271" t="s">
        <v>1466</v>
      </c>
      <c r="E271" s="5">
        <f t="shared" si="24"/>
        <v>46168.604861111111</v>
      </c>
      <c r="F271" s="6">
        <f t="shared" si="25"/>
        <v>46168</v>
      </c>
      <c r="G271" s="7">
        <f t="shared" si="26"/>
        <v>0.60486111111094942</v>
      </c>
      <c r="H271">
        <f t="shared" si="27"/>
        <v>5</v>
      </c>
      <c r="I271">
        <f t="shared" si="28"/>
        <v>2026</v>
      </c>
      <c r="J271">
        <f t="shared" si="29"/>
        <v>14</v>
      </c>
      <c r="K271" t="s">
        <v>1467</v>
      </c>
      <c r="L271" t="s">
        <v>116</v>
      </c>
      <c r="M271" t="s">
        <v>1468</v>
      </c>
      <c r="N271" t="s">
        <v>117</v>
      </c>
      <c r="P271" t="b">
        <v>1</v>
      </c>
      <c r="R271" t="s">
        <v>1469</v>
      </c>
      <c r="T271" t="s">
        <v>119</v>
      </c>
      <c r="U271" t="s">
        <v>146</v>
      </c>
    </row>
    <row r="272" spans="1:21" x14ac:dyDescent="0.35">
      <c r="A272" t="s">
        <v>1470</v>
      </c>
      <c r="B272" t="s">
        <v>62</v>
      </c>
      <c r="C272" t="s">
        <v>1471</v>
      </c>
      <c r="D272" t="s">
        <v>1472</v>
      </c>
      <c r="E272" s="5">
        <f t="shared" si="24"/>
        <v>46147.5397337963</v>
      </c>
      <c r="F272" s="6">
        <f t="shared" si="25"/>
        <v>46147</v>
      </c>
      <c r="G272" s="7">
        <f t="shared" si="26"/>
        <v>0.53973379630042473</v>
      </c>
      <c r="H272">
        <f t="shared" si="27"/>
        <v>5</v>
      </c>
      <c r="I272">
        <f t="shared" si="28"/>
        <v>2026</v>
      </c>
      <c r="J272">
        <f t="shared" si="29"/>
        <v>12</v>
      </c>
      <c r="K272" t="s">
        <v>1473</v>
      </c>
      <c r="L272" t="s">
        <v>116</v>
      </c>
      <c r="M272" t="s">
        <v>117</v>
      </c>
      <c r="R272" t="s">
        <v>1474</v>
      </c>
      <c r="T272" t="s">
        <v>119</v>
      </c>
      <c r="U272" t="s">
        <v>146</v>
      </c>
    </row>
    <row r="273" spans="1:21" x14ac:dyDescent="0.35">
      <c r="A273" t="s">
        <v>1475</v>
      </c>
      <c r="B273" t="s">
        <v>62</v>
      </c>
      <c r="C273" t="s">
        <v>1476</v>
      </c>
      <c r="D273" t="s">
        <v>1477</v>
      </c>
      <c r="E273" s="5">
        <f t="shared" si="24"/>
        <v>46146.434953703705</v>
      </c>
      <c r="F273" s="6">
        <f t="shared" si="25"/>
        <v>46146</v>
      </c>
      <c r="G273" s="7">
        <f t="shared" si="26"/>
        <v>0.434953703705105</v>
      </c>
      <c r="H273">
        <f t="shared" si="27"/>
        <v>5</v>
      </c>
      <c r="I273">
        <f t="shared" si="28"/>
        <v>2026</v>
      </c>
      <c r="J273">
        <f t="shared" si="29"/>
        <v>10</v>
      </c>
      <c r="K273" t="s">
        <v>1478</v>
      </c>
      <c r="L273" t="s">
        <v>116</v>
      </c>
      <c r="M273" t="s">
        <v>117</v>
      </c>
      <c r="R273" t="s">
        <v>1479</v>
      </c>
      <c r="T273" t="s">
        <v>119</v>
      </c>
      <c r="U273" t="s">
        <v>146</v>
      </c>
    </row>
    <row r="274" spans="1:21" x14ac:dyDescent="0.35">
      <c r="A274" t="s">
        <v>1480</v>
      </c>
      <c r="B274" t="s">
        <v>62</v>
      </c>
      <c r="C274" t="s">
        <v>1481</v>
      </c>
      <c r="D274" t="s">
        <v>1482</v>
      </c>
      <c r="E274" s="5">
        <f t="shared" si="24"/>
        <v>46124.637500000004</v>
      </c>
      <c r="F274" s="6">
        <f t="shared" si="25"/>
        <v>46124</v>
      </c>
      <c r="G274" s="7">
        <f t="shared" si="26"/>
        <v>0.63750000000436557</v>
      </c>
      <c r="H274">
        <f t="shared" si="27"/>
        <v>4</v>
      </c>
      <c r="I274">
        <f t="shared" si="28"/>
        <v>2026</v>
      </c>
      <c r="J274">
        <f t="shared" si="29"/>
        <v>15</v>
      </c>
      <c r="K274" t="s">
        <v>1483</v>
      </c>
      <c r="L274" t="s">
        <v>116</v>
      </c>
      <c r="M274" t="s">
        <v>117</v>
      </c>
      <c r="R274" t="s">
        <v>1484</v>
      </c>
      <c r="T274" t="s">
        <v>119</v>
      </c>
      <c r="U274" t="s">
        <v>146</v>
      </c>
    </row>
    <row r="275" spans="1:21" x14ac:dyDescent="0.35">
      <c r="A275" t="s">
        <v>1485</v>
      </c>
      <c r="B275" t="s">
        <v>63</v>
      </c>
      <c r="C275" t="s">
        <v>1486</v>
      </c>
      <c r="D275" t="s">
        <v>1487</v>
      </c>
      <c r="E275" s="5">
        <f t="shared" si="24"/>
        <v>46245.554537037038</v>
      </c>
      <c r="F275" s="6">
        <f t="shared" si="25"/>
        <v>46245</v>
      </c>
      <c r="G275" s="7">
        <f t="shared" si="26"/>
        <v>0.55453703703824431</v>
      </c>
      <c r="H275">
        <f t="shared" si="27"/>
        <v>8</v>
      </c>
      <c r="I275">
        <f t="shared" si="28"/>
        <v>2026</v>
      </c>
      <c r="J275">
        <f t="shared" si="29"/>
        <v>13</v>
      </c>
      <c r="K275" t="s">
        <v>1488</v>
      </c>
      <c r="L275" t="s">
        <v>116</v>
      </c>
      <c r="M275" t="s">
        <v>117</v>
      </c>
      <c r="P275" t="b">
        <v>1</v>
      </c>
      <c r="Q275">
        <v>0</v>
      </c>
      <c r="R275" t="s">
        <v>1489</v>
      </c>
      <c r="S275">
        <v>0</v>
      </c>
      <c r="T275" t="s">
        <v>153</v>
      </c>
      <c r="U275" t="s">
        <v>146</v>
      </c>
    </row>
    <row r="276" spans="1:21" x14ac:dyDescent="0.35">
      <c r="A276" t="s">
        <v>1490</v>
      </c>
      <c r="B276" t="s">
        <v>63</v>
      </c>
      <c r="C276" t="s">
        <v>1491</v>
      </c>
      <c r="D276" t="s">
        <v>1492</v>
      </c>
      <c r="E276" s="5">
        <f t="shared" si="24"/>
        <v>46140.745057870372</v>
      </c>
      <c r="F276" s="6">
        <f t="shared" si="25"/>
        <v>46140</v>
      </c>
      <c r="G276" s="7">
        <f t="shared" si="26"/>
        <v>0.74505787037196569</v>
      </c>
      <c r="H276">
        <f t="shared" si="27"/>
        <v>4</v>
      </c>
      <c r="I276">
        <f t="shared" si="28"/>
        <v>2026</v>
      </c>
      <c r="J276">
        <f t="shared" si="29"/>
        <v>17</v>
      </c>
      <c r="K276" t="s">
        <v>1493</v>
      </c>
      <c r="L276" t="s">
        <v>116</v>
      </c>
      <c r="M276" t="s">
        <v>428</v>
      </c>
      <c r="N276" t="s">
        <v>117</v>
      </c>
      <c r="Q276">
        <v>0</v>
      </c>
      <c r="R276" t="s">
        <v>1494</v>
      </c>
      <c r="S276">
        <v>0</v>
      </c>
      <c r="T276" t="s">
        <v>153</v>
      </c>
      <c r="U276" t="s">
        <v>146</v>
      </c>
    </row>
    <row r="277" spans="1:21" x14ac:dyDescent="0.35">
      <c r="A277" t="s">
        <v>1495</v>
      </c>
      <c r="B277" t="s">
        <v>63</v>
      </c>
      <c r="C277" t="s">
        <v>1496</v>
      </c>
      <c r="D277" t="s">
        <v>1497</v>
      </c>
      <c r="E277" s="5">
        <f t="shared" si="24"/>
        <v>46124.598090277781</v>
      </c>
      <c r="F277" s="6">
        <f t="shared" si="25"/>
        <v>46124</v>
      </c>
      <c r="G277" s="7">
        <f t="shared" si="26"/>
        <v>0.59809027778101154</v>
      </c>
      <c r="H277">
        <f t="shared" si="27"/>
        <v>4</v>
      </c>
      <c r="I277">
        <f t="shared" si="28"/>
        <v>2026</v>
      </c>
      <c r="J277">
        <f t="shared" si="29"/>
        <v>14</v>
      </c>
      <c r="K277" t="s">
        <v>1498</v>
      </c>
      <c r="L277" t="s">
        <v>116</v>
      </c>
      <c r="M277" t="s">
        <v>117</v>
      </c>
      <c r="P277" t="b">
        <v>1</v>
      </c>
      <c r="Q277">
        <v>0</v>
      </c>
      <c r="R277" t="s">
        <v>1499</v>
      </c>
      <c r="S277">
        <v>0</v>
      </c>
      <c r="T277" t="s">
        <v>153</v>
      </c>
      <c r="U277" t="s">
        <v>146</v>
      </c>
    </row>
    <row r="278" spans="1:21" x14ac:dyDescent="0.35">
      <c r="A278" t="s">
        <v>1500</v>
      </c>
      <c r="B278" t="s">
        <v>63</v>
      </c>
      <c r="C278" t="s">
        <v>1501</v>
      </c>
      <c r="D278" t="s">
        <v>1502</v>
      </c>
      <c r="E278" s="5">
        <f t="shared" si="24"/>
        <v>46118.622893518521</v>
      </c>
      <c r="F278" s="6">
        <f t="shared" si="25"/>
        <v>46118</v>
      </c>
      <c r="G278" s="7">
        <f t="shared" si="26"/>
        <v>0.62289351852086838</v>
      </c>
      <c r="H278">
        <f t="shared" si="27"/>
        <v>4</v>
      </c>
      <c r="I278">
        <f t="shared" si="28"/>
        <v>2026</v>
      </c>
      <c r="J278">
        <f t="shared" si="29"/>
        <v>14</v>
      </c>
      <c r="K278" t="s">
        <v>1503</v>
      </c>
      <c r="L278" t="s">
        <v>116</v>
      </c>
      <c r="M278" t="s">
        <v>117</v>
      </c>
      <c r="P278" t="b">
        <v>1</v>
      </c>
      <c r="Q278">
        <v>0</v>
      </c>
      <c r="R278" t="s">
        <v>1504</v>
      </c>
      <c r="S278">
        <v>0</v>
      </c>
      <c r="T278" t="s">
        <v>153</v>
      </c>
      <c r="U278" t="s">
        <v>146</v>
      </c>
    </row>
    <row r="279" spans="1:21" x14ac:dyDescent="0.35">
      <c r="A279" t="s">
        <v>1505</v>
      </c>
      <c r="B279" t="s">
        <v>65</v>
      </c>
      <c r="C279" t="s">
        <v>1506</v>
      </c>
      <c r="D279" t="s">
        <v>1507</v>
      </c>
      <c r="E279" s="5">
        <f t="shared" si="24"/>
        <v>46258.674363425926</v>
      </c>
      <c r="F279" s="6">
        <f t="shared" si="25"/>
        <v>46258</v>
      </c>
      <c r="G279" s="7">
        <f t="shared" si="26"/>
        <v>0.67436342592554865</v>
      </c>
      <c r="H279">
        <f t="shared" si="27"/>
        <v>8</v>
      </c>
      <c r="I279">
        <f t="shared" si="28"/>
        <v>2026</v>
      </c>
      <c r="J279">
        <f t="shared" si="29"/>
        <v>16</v>
      </c>
      <c r="K279" t="s">
        <v>1508</v>
      </c>
      <c r="L279" t="s">
        <v>116</v>
      </c>
      <c r="M279" t="s">
        <v>117</v>
      </c>
      <c r="T279" t="s">
        <v>119</v>
      </c>
      <c r="U279" t="s">
        <v>146</v>
      </c>
    </row>
    <row r="280" spans="1:21" x14ac:dyDescent="0.35">
      <c r="A280" t="s">
        <v>1509</v>
      </c>
      <c r="B280" t="s">
        <v>65</v>
      </c>
      <c r="C280" t="s">
        <v>1510</v>
      </c>
      <c r="D280" t="s">
        <v>1511</v>
      </c>
      <c r="E280" s="5">
        <f t="shared" si="24"/>
        <v>46250.585601851853</v>
      </c>
      <c r="F280" s="6">
        <f t="shared" si="25"/>
        <v>46250</v>
      </c>
      <c r="G280" s="7">
        <f t="shared" si="26"/>
        <v>0.58560185185342561</v>
      </c>
      <c r="H280">
        <f t="shared" si="27"/>
        <v>8</v>
      </c>
      <c r="I280">
        <f t="shared" si="28"/>
        <v>2026</v>
      </c>
      <c r="J280">
        <f t="shared" si="29"/>
        <v>14</v>
      </c>
      <c r="K280" t="s">
        <v>1512</v>
      </c>
      <c r="L280" t="s">
        <v>116</v>
      </c>
      <c r="M280" t="s">
        <v>117</v>
      </c>
      <c r="T280" t="s">
        <v>119</v>
      </c>
      <c r="U280" t="s">
        <v>146</v>
      </c>
    </row>
    <row r="281" spans="1:21" x14ac:dyDescent="0.35">
      <c r="A281" t="s">
        <v>1513</v>
      </c>
      <c r="B281" t="s">
        <v>65</v>
      </c>
      <c r="C281" t="s">
        <v>1514</v>
      </c>
      <c r="D281" t="s">
        <v>1515</v>
      </c>
      <c r="E281" s="5">
        <f t="shared" si="24"/>
        <v>46230.277870370373</v>
      </c>
      <c r="F281" s="6">
        <f t="shared" si="25"/>
        <v>46230</v>
      </c>
      <c r="G281" s="7">
        <f t="shared" si="26"/>
        <v>0.27787037037342088</v>
      </c>
      <c r="H281">
        <f t="shared" si="27"/>
        <v>7</v>
      </c>
      <c r="I281">
        <f t="shared" si="28"/>
        <v>2026</v>
      </c>
      <c r="J281">
        <f t="shared" si="29"/>
        <v>6</v>
      </c>
      <c r="K281" t="s">
        <v>1516</v>
      </c>
      <c r="L281" t="s">
        <v>116</v>
      </c>
      <c r="M281" t="s">
        <v>117</v>
      </c>
      <c r="T281" t="s">
        <v>119</v>
      </c>
      <c r="U281" t="s">
        <v>146</v>
      </c>
    </row>
    <row r="282" spans="1:21" x14ac:dyDescent="0.35">
      <c r="A282" t="s">
        <v>1517</v>
      </c>
      <c r="B282" t="s">
        <v>65</v>
      </c>
      <c r="C282" t="s">
        <v>1518</v>
      </c>
      <c r="D282" t="s">
        <v>1519</v>
      </c>
      <c r="E282" s="5">
        <f t="shared" si="24"/>
        <v>46208.299375000002</v>
      </c>
      <c r="F282" s="6">
        <f t="shared" si="25"/>
        <v>46208</v>
      </c>
      <c r="G282" s="7">
        <f t="shared" si="26"/>
        <v>0.29937500000232831</v>
      </c>
      <c r="H282">
        <f t="shared" si="27"/>
        <v>7</v>
      </c>
      <c r="I282">
        <f t="shared" si="28"/>
        <v>2026</v>
      </c>
      <c r="J282">
        <f t="shared" si="29"/>
        <v>7</v>
      </c>
      <c r="K282" t="s">
        <v>1520</v>
      </c>
      <c r="L282" t="s">
        <v>116</v>
      </c>
      <c r="M282" t="s">
        <v>117</v>
      </c>
      <c r="T282" t="s">
        <v>119</v>
      </c>
      <c r="U282" t="s">
        <v>146</v>
      </c>
    </row>
    <row r="283" spans="1:21" x14ac:dyDescent="0.35">
      <c r="A283" t="s">
        <v>1521</v>
      </c>
      <c r="B283" t="s">
        <v>65</v>
      </c>
      <c r="C283" t="s">
        <v>1522</v>
      </c>
      <c r="D283" t="s">
        <v>1523</v>
      </c>
      <c r="E283" s="5">
        <f t="shared" si="24"/>
        <v>46147.676076388889</v>
      </c>
      <c r="F283" s="6">
        <f t="shared" si="25"/>
        <v>46147</v>
      </c>
      <c r="G283" s="7">
        <f t="shared" si="26"/>
        <v>0.67607638888875954</v>
      </c>
      <c r="H283">
        <f t="shared" si="27"/>
        <v>5</v>
      </c>
      <c r="I283">
        <f t="shared" si="28"/>
        <v>2026</v>
      </c>
      <c r="J283">
        <f t="shared" si="29"/>
        <v>16</v>
      </c>
      <c r="K283" t="s">
        <v>1524</v>
      </c>
      <c r="L283" t="s">
        <v>116</v>
      </c>
      <c r="M283" t="s">
        <v>117</v>
      </c>
      <c r="T283" t="s">
        <v>119</v>
      </c>
      <c r="U283" t="s">
        <v>146</v>
      </c>
    </row>
    <row r="284" spans="1:21" x14ac:dyDescent="0.35">
      <c r="A284" t="s">
        <v>1525</v>
      </c>
      <c r="B284" t="s">
        <v>65</v>
      </c>
      <c r="C284" t="s">
        <v>1526</v>
      </c>
      <c r="D284" t="s">
        <v>1527</v>
      </c>
      <c r="E284" s="5">
        <f t="shared" si="24"/>
        <v>46143.70349537037</v>
      </c>
      <c r="F284" s="6">
        <f t="shared" si="25"/>
        <v>46143</v>
      </c>
      <c r="G284" s="7">
        <f t="shared" si="26"/>
        <v>0.70349537036963739</v>
      </c>
      <c r="H284">
        <f t="shared" si="27"/>
        <v>5</v>
      </c>
      <c r="I284">
        <f t="shared" si="28"/>
        <v>2026</v>
      </c>
      <c r="J284">
        <f t="shared" si="29"/>
        <v>16</v>
      </c>
      <c r="K284" t="s">
        <v>1528</v>
      </c>
      <c r="L284" t="s">
        <v>116</v>
      </c>
      <c r="M284" t="s">
        <v>117</v>
      </c>
      <c r="T284" t="s">
        <v>119</v>
      </c>
      <c r="U284" t="s">
        <v>146</v>
      </c>
    </row>
    <row r="285" spans="1:21" x14ac:dyDescent="0.35">
      <c r="A285" t="s">
        <v>1529</v>
      </c>
      <c r="B285" t="s">
        <v>67</v>
      </c>
      <c r="C285" t="s">
        <v>1530</v>
      </c>
      <c r="D285" t="s">
        <v>1531</v>
      </c>
      <c r="E285" s="5">
        <f t="shared" si="24"/>
        <v>46177.316724537042</v>
      </c>
      <c r="F285" s="6">
        <f t="shared" si="25"/>
        <v>46177</v>
      </c>
      <c r="G285" s="7">
        <f t="shared" si="26"/>
        <v>0.31672453704231884</v>
      </c>
      <c r="H285">
        <f t="shared" si="27"/>
        <v>6</v>
      </c>
      <c r="I285">
        <f t="shared" si="28"/>
        <v>2026</v>
      </c>
      <c r="J285">
        <f t="shared" si="29"/>
        <v>7</v>
      </c>
      <c r="K285" t="s">
        <v>1532</v>
      </c>
      <c r="L285" t="s">
        <v>116</v>
      </c>
      <c r="M285" t="s">
        <v>117</v>
      </c>
      <c r="P285" t="b">
        <v>1</v>
      </c>
      <c r="R285" t="s">
        <v>1533</v>
      </c>
      <c r="T285" t="s">
        <v>119</v>
      </c>
      <c r="U285" t="s">
        <v>120</v>
      </c>
    </row>
    <row r="286" spans="1:21" x14ac:dyDescent="0.35">
      <c r="A286" t="s">
        <v>1534</v>
      </c>
      <c r="B286" t="s">
        <v>67</v>
      </c>
      <c r="C286" t="s">
        <v>1535</v>
      </c>
      <c r="D286" t="s">
        <v>1536</v>
      </c>
      <c r="E286" s="5">
        <f t="shared" si="24"/>
        <v>46096.45694444445</v>
      </c>
      <c r="F286" s="6">
        <f t="shared" si="25"/>
        <v>46096</v>
      </c>
      <c r="G286" s="7">
        <f t="shared" si="26"/>
        <v>0.45694444444961846</v>
      </c>
      <c r="H286">
        <f t="shared" si="27"/>
        <v>3</v>
      </c>
      <c r="I286">
        <f t="shared" si="28"/>
        <v>2026</v>
      </c>
      <c r="J286">
        <f t="shared" si="29"/>
        <v>10</v>
      </c>
      <c r="K286" t="s">
        <v>1537</v>
      </c>
      <c r="L286" t="s">
        <v>116</v>
      </c>
      <c r="M286" t="s">
        <v>382</v>
      </c>
      <c r="N286" t="s">
        <v>117</v>
      </c>
      <c r="R286" t="s">
        <v>1538</v>
      </c>
      <c r="T286" t="s">
        <v>119</v>
      </c>
      <c r="U286" t="s">
        <v>146</v>
      </c>
    </row>
    <row r="287" spans="1:21" x14ac:dyDescent="0.35">
      <c r="A287" t="s">
        <v>1539</v>
      </c>
      <c r="B287" t="s">
        <v>69</v>
      </c>
      <c r="C287" t="s">
        <v>1540</v>
      </c>
      <c r="D287" t="s">
        <v>1541</v>
      </c>
      <c r="E287" s="5">
        <f t="shared" si="24"/>
        <v>46187.512638888889</v>
      </c>
      <c r="F287" s="6">
        <f t="shared" si="25"/>
        <v>46187</v>
      </c>
      <c r="G287" s="7">
        <f t="shared" si="26"/>
        <v>0.51263888888934162</v>
      </c>
      <c r="H287">
        <f t="shared" si="27"/>
        <v>6</v>
      </c>
      <c r="I287">
        <f t="shared" si="28"/>
        <v>2026</v>
      </c>
      <c r="J287">
        <f t="shared" si="29"/>
        <v>12</v>
      </c>
      <c r="K287" t="s">
        <v>1542</v>
      </c>
      <c r="L287" t="s">
        <v>116</v>
      </c>
      <c r="M287" t="s">
        <v>1543</v>
      </c>
      <c r="N287" t="s">
        <v>117</v>
      </c>
      <c r="R287" t="s">
        <v>1544</v>
      </c>
      <c r="T287" t="s">
        <v>119</v>
      </c>
      <c r="U287" t="s">
        <v>146</v>
      </c>
    </row>
    <row r="288" spans="1:21" x14ac:dyDescent="0.35">
      <c r="A288" t="s">
        <v>1545</v>
      </c>
      <c r="B288" t="s">
        <v>69</v>
      </c>
      <c r="C288" t="s">
        <v>1546</v>
      </c>
      <c r="D288" t="s">
        <v>1547</v>
      </c>
      <c r="E288" s="5">
        <f t="shared" si="24"/>
        <v>46170.718310185184</v>
      </c>
      <c r="F288" s="6">
        <f t="shared" si="25"/>
        <v>46170</v>
      </c>
      <c r="G288" s="7">
        <f t="shared" si="26"/>
        <v>0.71831018518423662</v>
      </c>
      <c r="H288">
        <f t="shared" si="27"/>
        <v>5</v>
      </c>
      <c r="I288">
        <f t="shared" si="28"/>
        <v>2026</v>
      </c>
      <c r="J288">
        <f t="shared" si="29"/>
        <v>17</v>
      </c>
      <c r="K288" t="s">
        <v>1548</v>
      </c>
      <c r="L288" t="s">
        <v>116</v>
      </c>
      <c r="M288" t="s">
        <v>117</v>
      </c>
      <c r="R288" t="s">
        <v>1549</v>
      </c>
      <c r="T288" t="s">
        <v>119</v>
      </c>
      <c r="U288" t="s">
        <v>146</v>
      </c>
    </row>
    <row r="289" spans="1:21" x14ac:dyDescent="0.35">
      <c r="A289" t="s">
        <v>1550</v>
      </c>
      <c r="B289" t="s">
        <v>69</v>
      </c>
      <c r="C289" t="s">
        <v>1551</v>
      </c>
      <c r="D289" t="s">
        <v>1552</v>
      </c>
      <c r="E289" s="5">
        <f t="shared" si="24"/>
        <v>46161.741041666668</v>
      </c>
      <c r="F289" s="6">
        <f t="shared" si="25"/>
        <v>46161</v>
      </c>
      <c r="G289" s="7">
        <f t="shared" si="26"/>
        <v>0.74104166666802485</v>
      </c>
      <c r="H289">
        <f t="shared" si="27"/>
        <v>5</v>
      </c>
      <c r="I289">
        <f t="shared" si="28"/>
        <v>2026</v>
      </c>
      <c r="J289">
        <f t="shared" si="29"/>
        <v>17</v>
      </c>
      <c r="K289" t="s">
        <v>1553</v>
      </c>
      <c r="L289" t="s">
        <v>116</v>
      </c>
      <c r="M289" t="s">
        <v>117</v>
      </c>
      <c r="R289" t="s">
        <v>1554</v>
      </c>
      <c r="T289" t="s">
        <v>119</v>
      </c>
      <c r="U289" t="s">
        <v>146</v>
      </c>
    </row>
    <row r="290" spans="1:21" x14ac:dyDescent="0.35">
      <c r="A290" t="s">
        <v>1555</v>
      </c>
      <c r="B290" t="s">
        <v>69</v>
      </c>
      <c r="C290" t="s">
        <v>1556</v>
      </c>
      <c r="D290" t="s">
        <v>1557</v>
      </c>
      <c r="E290" s="5">
        <f t="shared" si="24"/>
        <v>46159.562407407408</v>
      </c>
      <c r="F290" s="6">
        <f t="shared" si="25"/>
        <v>46159</v>
      </c>
      <c r="G290" s="7">
        <f t="shared" si="26"/>
        <v>0.56240740740759065</v>
      </c>
      <c r="H290">
        <f t="shared" si="27"/>
        <v>5</v>
      </c>
      <c r="I290">
        <f t="shared" si="28"/>
        <v>2026</v>
      </c>
      <c r="J290">
        <f t="shared" si="29"/>
        <v>13</v>
      </c>
      <c r="K290" t="s">
        <v>1558</v>
      </c>
      <c r="L290" t="s">
        <v>116</v>
      </c>
      <c r="M290" t="s">
        <v>117</v>
      </c>
      <c r="P290" t="b">
        <v>0</v>
      </c>
      <c r="R290" t="s">
        <v>1559</v>
      </c>
      <c r="T290" t="s">
        <v>119</v>
      </c>
      <c r="U290" t="s">
        <v>146</v>
      </c>
    </row>
    <row r="291" spans="1:21" x14ac:dyDescent="0.35">
      <c r="A291" t="s">
        <v>1560</v>
      </c>
      <c r="B291" t="s">
        <v>69</v>
      </c>
      <c r="C291" t="s">
        <v>1561</v>
      </c>
      <c r="D291" t="s">
        <v>1562</v>
      </c>
      <c r="E291" s="5">
        <f t="shared" si="24"/>
        <v>46154.323854166672</v>
      </c>
      <c r="F291" s="6">
        <f t="shared" si="25"/>
        <v>46154</v>
      </c>
      <c r="G291" s="7">
        <f t="shared" si="26"/>
        <v>0.32385416667239042</v>
      </c>
      <c r="H291">
        <f t="shared" si="27"/>
        <v>5</v>
      </c>
      <c r="I291">
        <f t="shared" si="28"/>
        <v>2026</v>
      </c>
      <c r="J291">
        <f t="shared" si="29"/>
        <v>7</v>
      </c>
      <c r="K291" t="s">
        <v>1563</v>
      </c>
      <c r="L291" t="s">
        <v>116</v>
      </c>
      <c r="M291" t="s">
        <v>117</v>
      </c>
      <c r="R291" t="s">
        <v>1564</v>
      </c>
      <c r="T291" t="s">
        <v>119</v>
      </c>
      <c r="U291" t="s">
        <v>146</v>
      </c>
    </row>
    <row r="292" spans="1:21" x14ac:dyDescent="0.35">
      <c r="A292" t="s">
        <v>1565</v>
      </c>
      <c r="B292" t="s">
        <v>69</v>
      </c>
      <c r="C292" t="s">
        <v>1566</v>
      </c>
      <c r="D292" t="s">
        <v>1567</v>
      </c>
      <c r="E292" s="5">
        <f t="shared" si="24"/>
        <v>46147.623935185191</v>
      </c>
      <c r="F292" s="6">
        <f t="shared" si="25"/>
        <v>46147</v>
      </c>
      <c r="G292" s="7">
        <f t="shared" si="26"/>
        <v>0.6239351851909305</v>
      </c>
      <c r="H292">
        <f t="shared" si="27"/>
        <v>5</v>
      </c>
      <c r="I292">
        <f t="shared" si="28"/>
        <v>2026</v>
      </c>
      <c r="J292">
        <f t="shared" si="29"/>
        <v>14</v>
      </c>
      <c r="K292" t="s">
        <v>1568</v>
      </c>
      <c r="L292" t="s">
        <v>116</v>
      </c>
      <c r="M292" t="s">
        <v>117</v>
      </c>
      <c r="R292" t="s">
        <v>1569</v>
      </c>
      <c r="T292" t="s">
        <v>119</v>
      </c>
      <c r="U292" t="s">
        <v>146</v>
      </c>
    </row>
    <row r="293" spans="1:21" x14ac:dyDescent="0.35">
      <c r="A293" t="s">
        <v>1570</v>
      </c>
      <c r="B293" t="s">
        <v>69</v>
      </c>
      <c r="C293" t="s">
        <v>1571</v>
      </c>
      <c r="D293" t="s">
        <v>1572</v>
      </c>
      <c r="E293" s="5">
        <f t="shared" si="24"/>
        <v>46146.559756944444</v>
      </c>
      <c r="F293" s="6">
        <f t="shared" si="25"/>
        <v>46146</v>
      </c>
      <c r="G293" s="7">
        <f t="shared" si="26"/>
        <v>0.55975694444350665</v>
      </c>
      <c r="H293">
        <f t="shared" si="27"/>
        <v>5</v>
      </c>
      <c r="I293">
        <f t="shared" si="28"/>
        <v>2026</v>
      </c>
      <c r="J293">
        <f t="shared" si="29"/>
        <v>13</v>
      </c>
      <c r="K293" t="s">
        <v>1573</v>
      </c>
      <c r="L293" t="s">
        <v>116</v>
      </c>
      <c r="M293" t="s">
        <v>117</v>
      </c>
      <c r="P293" t="b">
        <v>0</v>
      </c>
      <c r="R293" t="s">
        <v>1574</v>
      </c>
      <c r="T293" t="s">
        <v>119</v>
      </c>
      <c r="U293" t="s">
        <v>146</v>
      </c>
    </row>
    <row r="294" spans="1:21" x14ac:dyDescent="0.35">
      <c r="A294" t="s">
        <v>1575</v>
      </c>
      <c r="B294" t="s">
        <v>71</v>
      </c>
      <c r="C294" t="s">
        <v>1576</v>
      </c>
      <c r="D294" t="s">
        <v>1577</v>
      </c>
      <c r="E294" s="5">
        <f t="shared" si="24"/>
        <v>46215.6409837963</v>
      </c>
      <c r="F294" s="6">
        <f t="shared" si="25"/>
        <v>46215</v>
      </c>
      <c r="G294" s="7">
        <f t="shared" si="26"/>
        <v>0.64098379630013369</v>
      </c>
      <c r="H294">
        <f t="shared" si="27"/>
        <v>7</v>
      </c>
      <c r="I294">
        <f t="shared" si="28"/>
        <v>2026</v>
      </c>
      <c r="J294">
        <f t="shared" si="29"/>
        <v>15</v>
      </c>
      <c r="K294" t="s">
        <v>1578</v>
      </c>
      <c r="L294" t="s">
        <v>116</v>
      </c>
      <c r="M294" t="s">
        <v>117</v>
      </c>
      <c r="P294" t="b">
        <v>0</v>
      </c>
      <c r="R294" t="s">
        <v>1579</v>
      </c>
      <c r="T294" t="s">
        <v>119</v>
      </c>
      <c r="U294" t="s">
        <v>120</v>
      </c>
    </row>
    <row r="295" spans="1:21" x14ac:dyDescent="0.35">
      <c r="A295" t="s">
        <v>1580</v>
      </c>
      <c r="B295" t="s">
        <v>71</v>
      </c>
      <c r="C295" t="s">
        <v>1581</v>
      </c>
      <c r="D295" t="s">
        <v>1582</v>
      </c>
      <c r="E295" s="5">
        <f t="shared" si="24"/>
        <v>46121.575787037036</v>
      </c>
      <c r="F295" s="6">
        <f t="shared" si="25"/>
        <v>46121</v>
      </c>
      <c r="G295" s="7">
        <f t="shared" si="26"/>
        <v>0.57578703703620704</v>
      </c>
      <c r="H295">
        <f t="shared" si="27"/>
        <v>4</v>
      </c>
      <c r="I295">
        <f t="shared" si="28"/>
        <v>2026</v>
      </c>
      <c r="J295">
        <f t="shared" si="29"/>
        <v>13</v>
      </c>
      <c r="K295" t="s">
        <v>1583</v>
      </c>
      <c r="L295" t="s">
        <v>116</v>
      </c>
      <c r="M295" t="s">
        <v>117</v>
      </c>
      <c r="P295" t="b">
        <v>0</v>
      </c>
      <c r="R295" t="s">
        <v>1584</v>
      </c>
      <c r="T295" t="s">
        <v>119</v>
      </c>
      <c r="U295" t="s">
        <v>120</v>
      </c>
    </row>
    <row r="296" spans="1:21" x14ac:dyDescent="0.35">
      <c r="A296" t="s">
        <v>1585</v>
      </c>
      <c r="B296" t="s">
        <v>73</v>
      </c>
      <c r="C296" t="s">
        <v>1586</v>
      </c>
      <c r="D296" t="s">
        <v>1587</v>
      </c>
      <c r="E296" s="5">
        <f t="shared" si="24"/>
        <v>46159.648611111115</v>
      </c>
      <c r="F296" s="6">
        <f t="shared" si="25"/>
        <v>46159</v>
      </c>
      <c r="G296" s="7">
        <f t="shared" si="26"/>
        <v>0.648611111115315</v>
      </c>
      <c r="H296">
        <f t="shared" si="27"/>
        <v>5</v>
      </c>
      <c r="I296">
        <f t="shared" si="28"/>
        <v>2026</v>
      </c>
      <c r="J296">
        <f t="shared" si="29"/>
        <v>15</v>
      </c>
      <c r="K296" t="s">
        <v>1588</v>
      </c>
      <c r="L296" t="s">
        <v>116</v>
      </c>
      <c r="M296" t="s">
        <v>117</v>
      </c>
      <c r="P296" t="b">
        <v>0</v>
      </c>
      <c r="Q296">
        <v>0</v>
      </c>
      <c r="R296" t="s">
        <v>1589</v>
      </c>
      <c r="T296" t="s">
        <v>119</v>
      </c>
      <c r="U296" t="s">
        <v>120</v>
      </c>
    </row>
    <row r="297" spans="1:21" x14ac:dyDescent="0.35">
      <c r="A297" t="s">
        <v>1590</v>
      </c>
      <c r="B297" t="s">
        <v>73</v>
      </c>
      <c r="C297" t="s">
        <v>1591</v>
      </c>
      <c r="D297" t="s">
        <v>1592</v>
      </c>
      <c r="E297" s="5">
        <f t="shared" si="24"/>
        <v>46152.750694444447</v>
      </c>
      <c r="F297" s="6">
        <f t="shared" si="25"/>
        <v>46152</v>
      </c>
      <c r="G297" s="7">
        <f t="shared" si="26"/>
        <v>0.75069444444670808</v>
      </c>
      <c r="H297">
        <f t="shared" si="27"/>
        <v>5</v>
      </c>
      <c r="I297">
        <f t="shared" si="28"/>
        <v>2026</v>
      </c>
      <c r="J297">
        <f t="shared" si="29"/>
        <v>18</v>
      </c>
      <c r="K297" t="s">
        <v>1593</v>
      </c>
      <c r="L297" t="s">
        <v>116</v>
      </c>
      <c r="M297" t="s">
        <v>117</v>
      </c>
      <c r="P297" t="b">
        <v>0</v>
      </c>
      <c r="Q297">
        <v>0</v>
      </c>
      <c r="R297" t="s">
        <v>1594</v>
      </c>
      <c r="T297" t="s">
        <v>119</v>
      </c>
      <c r="U297" t="s">
        <v>120</v>
      </c>
    </row>
    <row r="298" spans="1:21" x14ac:dyDescent="0.35">
      <c r="A298" t="s">
        <v>1595</v>
      </c>
      <c r="B298" t="s">
        <v>73</v>
      </c>
      <c r="C298" t="s">
        <v>1596</v>
      </c>
      <c r="D298" t="s">
        <v>1597</v>
      </c>
      <c r="E298" s="5">
        <f t="shared" si="24"/>
        <v>46141.609027777777</v>
      </c>
      <c r="F298" s="6">
        <f t="shared" si="25"/>
        <v>46141</v>
      </c>
      <c r="G298" s="7">
        <f t="shared" si="26"/>
        <v>0.60902777777664596</v>
      </c>
      <c r="H298">
        <f t="shared" si="27"/>
        <v>4</v>
      </c>
      <c r="I298">
        <f t="shared" si="28"/>
        <v>2026</v>
      </c>
      <c r="J298">
        <f t="shared" si="29"/>
        <v>14</v>
      </c>
      <c r="K298" t="s">
        <v>1598</v>
      </c>
      <c r="L298" t="s">
        <v>116</v>
      </c>
      <c r="M298" t="s">
        <v>117</v>
      </c>
      <c r="P298" t="b">
        <v>0</v>
      </c>
      <c r="Q298">
        <v>0</v>
      </c>
      <c r="R298" t="s">
        <v>1599</v>
      </c>
      <c r="T298" t="s">
        <v>119</v>
      </c>
      <c r="U298" t="s">
        <v>120</v>
      </c>
    </row>
    <row r="299" spans="1:21" x14ac:dyDescent="0.35">
      <c r="A299" t="s">
        <v>1600</v>
      </c>
      <c r="B299" t="s">
        <v>73</v>
      </c>
      <c r="C299" t="s">
        <v>1601</v>
      </c>
      <c r="D299" t="s">
        <v>1602</v>
      </c>
      <c r="E299" s="5">
        <f t="shared" si="24"/>
        <v>46140.525000000001</v>
      </c>
      <c r="F299" s="6">
        <f t="shared" si="25"/>
        <v>46140</v>
      </c>
      <c r="G299" s="7">
        <f t="shared" si="26"/>
        <v>0.52500000000145519</v>
      </c>
      <c r="H299">
        <f t="shared" si="27"/>
        <v>4</v>
      </c>
      <c r="I299">
        <f t="shared" si="28"/>
        <v>2026</v>
      </c>
      <c r="J299">
        <f t="shared" si="29"/>
        <v>12</v>
      </c>
      <c r="K299" t="s">
        <v>1603</v>
      </c>
      <c r="L299" t="s">
        <v>116</v>
      </c>
      <c r="M299" t="s">
        <v>117</v>
      </c>
      <c r="P299" t="b">
        <v>0</v>
      </c>
      <c r="Q299">
        <v>0</v>
      </c>
      <c r="R299" t="s">
        <v>1604</v>
      </c>
      <c r="T299" t="s">
        <v>119</v>
      </c>
      <c r="U299" t="s">
        <v>120</v>
      </c>
    </row>
    <row r="300" spans="1:21" x14ac:dyDescent="0.35">
      <c r="A300" t="s">
        <v>1605</v>
      </c>
      <c r="B300" t="s">
        <v>73</v>
      </c>
      <c r="C300" t="s">
        <v>1606</v>
      </c>
      <c r="D300" t="s">
        <v>1607</v>
      </c>
      <c r="E300" s="5">
        <f t="shared" si="24"/>
        <v>46138.595138888893</v>
      </c>
      <c r="F300" s="6">
        <f t="shared" si="25"/>
        <v>46138</v>
      </c>
      <c r="G300" s="7">
        <f t="shared" si="26"/>
        <v>0.59513888889341615</v>
      </c>
      <c r="H300">
        <f t="shared" si="27"/>
        <v>4</v>
      </c>
      <c r="I300">
        <f t="shared" si="28"/>
        <v>2026</v>
      </c>
      <c r="J300">
        <f t="shared" si="29"/>
        <v>14</v>
      </c>
      <c r="K300" t="s">
        <v>1608</v>
      </c>
      <c r="L300" t="s">
        <v>116</v>
      </c>
      <c r="M300" t="s">
        <v>117</v>
      </c>
      <c r="P300" t="b">
        <v>0</v>
      </c>
      <c r="Q300">
        <v>0</v>
      </c>
      <c r="R300" t="s">
        <v>1609</v>
      </c>
      <c r="T300" t="s">
        <v>119</v>
      </c>
      <c r="U300" t="s">
        <v>120</v>
      </c>
    </row>
    <row r="301" spans="1:21" x14ac:dyDescent="0.35">
      <c r="A301" t="s">
        <v>1610</v>
      </c>
      <c r="B301" t="s">
        <v>75</v>
      </c>
      <c r="C301" t="s">
        <v>1611</v>
      </c>
      <c r="D301" t="s">
        <v>1612</v>
      </c>
      <c r="E301" s="5">
        <f t="shared" si="24"/>
        <v>46140.536111111112</v>
      </c>
      <c r="F301" s="6">
        <f t="shared" si="25"/>
        <v>46140</v>
      </c>
      <c r="G301" s="7">
        <f t="shared" si="26"/>
        <v>0.53611111111240461</v>
      </c>
      <c r="H301">
        <f t="shared" si="27"/>
        <v>4</v>
      </c>
      <c r="I301">
        <f t="shared" si="28"/>
        <v>2026</v>
      </c>
      <c r="J301">
        <f t="shared" si="29"/>
        <v>12</v>
      </c>
      <c r="K301" t="s">
        <v>1613</v>
      </c>
      <c r="L301" t="s">
        <v>116</v>
      </c>
      <c r="M301" t="s">
        <v>117</v>
      </c>
      <c r="P301" t="b">
        <v>0</v>
      </c>
      <c r="R301" t="s">
        <v>1614</v>
      </c>
      <c r="T301" t="s">
        <v>119</v>
      </c>
      <c r="U301" t="s">
        <v>146</v>
      </c>
    </row>
    <row r="302" spans="1:21" x14ac:dyDescent="0.35">
      <c r="A302" t="s">
        <v>1615</v>
      </c>
      <c r="B302" t="s">
        <v>77</v>
      </c>
      <c r="C302" t="s">
        <v>1616</v>
      </c>
      <c r="D302" t="s">
        <v>1617</v>
      </c>
      <c r="E302" s="5">
        <f t="shared" si="24"/>
        <v>46194.755775462967</v>
      </c>
      <c r="F302" s="6">
        <f t="shared" si="25"/>
        <v>46194</v>
      </c>
      <c r="G302" s="7">
        <f t="shared" si="26"/>
        <v>0.75577546296699438</v>
      </c>
      <c r="H302">
        <f t="shared" si="27"/>
        <v>6</v>
      </c>
      <c r="I302">
        <f t="shared" si="28"/>
        <v>2026</v>
      </c>
      <c r="J302">
        <f t="shared" si="29"/>
        <v>18</v>
      </c>
      <c r="K302" t="s">
        <v>1618</v>
      </c>
      <c r="L302" t="s">
        <v>116</v>
      </c>
      <c r="M302" t="s">
        <v>117</v>
      </c>
      <c r="P302" t="b">
        <v>0</v>
      </c>
      <c r="R302" t="s">
        <v>1619</v>
      </c>
      <c r="T302" t="s">
        <v>119</v>
      </c>
      <c r="U302" t="s">
        <v>146</v>
      </c>
    </row>
    <row r="303" spans="1:21" x14ac:dyDescent="0.35">
      <c r="A303" t="s">
        <v>1620</v>
      </c>
      <c r="B303" t="s">
        <v>77</v>
      </c>
      <c r="C303" t="s">
        <v>1621</v>
      </c>
      <c r="D303" t="s">
        <v>1622</v>
      </c>
      <c r="E303" s="5">
        <f t="shared" si="24"/>
        <v>46194.754699074074</v>
      </c>
      <c r="F303" s="6">
        <f t="shared" si="25"/>
        <v>46194</v>
      </c>
      <c r="G303" s="7">
        <f t="shared" si="26"/>
        <v>0.75469907407386927</v>
      </c>
      <c r="H303">
        <f t="shared" si="27"/>
        <v>6</v>
      </c>
      <c r="I303">
        <f t="shared" si="28"/>
        <v>2026</v>
      </c>
      <c r="J303">
        <f t="shared" si="29"/>
        <v>18</v>
      </c>
      <c r="K303" t="s">
        <v>1623</v>
      </c>
      <c r="L303" t="s">
        <v>116</v>
      </c>
      <c r="M303" t="s">
        <v>117</v>
      </c>
      <c r="N303" t="s">
        <v>174</v>
      </c>
      <c r="P303" t="b">
        <v>0</v>
      </c>
      <c r="R303" t="s">
        <v>1624</v>
      </c>
      <c r="T303" t="s">
        <v>119</v>
      </c>
      <c r="U303" t="s">
        <v>146</v>
      </c>
    </row>
    <row r="304" spans="1:21" x14ac:dyDescent="0.35">
      <c r="A304" t="s">
        <v>1625</v>
      </c>
      <c r="B304" t="s">
        <v>77</v>
      </c>
      <c r="C304" t="s">
        <v>1626</v>
      </c>
      <c r="D304" t="s">
        <v>1627</v>
      </c>
      <c r="E304" s="5">
        <f t="shared" si="24"/>
        <v>46144.635694444449</v>
      </c>
      <c r="F304" s="6">
        <f t="shared" si="25"/>
        <v>46144</v>
      </c>
      <c r="G304" s="7">
        <f t="shared" si="26"/>
        <v>0.63569444444874534</v>
      </c>
      <c r="H304">
        <f t="shared" si="27"/>
        <v>5</v>
      </c>
      <c r="I304">
        <f t="shared" si="28"/>
        <v>2026</v>
      </c>
      <c r="J304">
        <f t="shared" si="29"/>
        <v>15</v>
      </c>
      <c r="K304" t="s">
        <v>1628</v>
      </c>
      <c r="L304" t="s">
        <v>116</v>
      </c>
      <c r="M304" t="s">
        <v>117</v>
      </c>
      <c r="P304" t="b">
        <v>0</v>
      </c>
      <c r="R304" t="s">
        <v>1629</v>
      </c>
      <c r="T304" t="s">
        <v>119</v>
      </c>
      <c r="U304" t="s">
        <v>146</v>
      </c>
    </row>
    <row r="305" spans="1:21" x14ac:dyDescent="0.35">
      <c r="A305" t="s">
        <v>1630</v>
      </c>
      <c r="B305" t="s">
        <v>77</v>
      </c>
      <c r="C305" t="s">
        <v>1631</v>
      </c>
      <c r="D305" t="s">
        <v>1632</v>
      </c>
      <c r="E305" s="5">
        <f t="shared" si="24"/>
        <v>46135.64980324074</v>
      </c>
      <c r="F305" s="6">
        <f t="shared" si="25"/>
        <v>46135</v>
      </c>
      <c r="G305" s="7">
        <f t="shared" si="26"/>
        <v>0.64980324073985685</v>
      </c>
      <c r="H305">
        <f t="shared" si="27"/>
        <v>4</v>
      </c>
      <c r="I305">
        <f t="shared" si="28"/>
        <v>2026</v>
      </c>
      <c r="J305">
        <f t="shared" si="29"/>
        <v>15</v>
      </c>
      <c r="K305" t="s">
        <v>1633</v>
      </c>
      <c r="L305" t="s">
        <v>116</v>
      </c>
      <c r="M305" t="s">
        <v>117</v>
      </c>
      <c r="P305" t="b">
        <v>0</v>
      </c>
      <c r="R305" t="s">
        <v>1634</v>
      </c>
      <c r="S305">
        <v>0</v>
      </c>
      <c r="T305" t="s">
        <v>119</v>
      </c>
      <c r="U305" t="s">
        <v>146</v>
      </c>
    </row>
    <row r="306" spans="1:21" x14ac:dyDescent="0.35">
      <c r="A306" t="s">
        <v>1635</v>
      </c>
      <c r="B306" t="s">
        <v>79</v>
      </c>
      <c r="C306" t="s">
        <v>1636</v>
      </c>
      <c r="D306" t="s">
        <v>1637</v>
      </c>
      <c r="E306" s="5">
        <f t="shared" si="24"/>
        <v>46128.568750000006</v>
      </c>
      <c r="F306" s="6">
        <f t="shared" si="25"/>
        <v>46128</v>
      </c>
      <c r="G306" s="7">
        <f t="shared" si="26"/>
        <v>0.56875000000582077</v>
      </c>
      <c r="H306">
        <f t="shared" si="27"/>
        <v>4</v>
      </c>
      <c r="I306">
        <f t="shared" si="28"/>
        <v>2026</v>
      </c>
      <c r="J306">
        <f t="shared" si="29"/>
        <v>13</v>
      </c>
      <c r="K306" t="s">
        <v>1638</v>
      </c>
      <c r="L306" t="s">
        <v>116</v>
      </c>
      <c r="M306" t="s">
        <v>117</v>
      </c>
      <c r="P306" t="b">
        <v>0</v>
      </c>
      <c r="R306" t="s">
        <v>1639</v>
      </c>
      <c r="T306" t="s">
        <v>119</v>
      </c>
      <c r="U306" t="s">
        <v>146</v>
      </c>
    </row>
    <row r="307" spans="1:21" x14ac:dyDescent="0.35">
      <c r="A307" t="s">
        <v>1640</v>
      </c>
      <c r="B307" t="s">
        <v>81</v>
      </c>
      <c r="C307" t="s">
        <v>1641</v>
      </c>
      <c r="D307" t="s">
        <v>1642</v>
      </c>
      <c r="E307" s="5">
        <f t="shared" si="24"/>
        <v>46261.640717592592</v>
      </c>
      <c r="F307" s="6">
        <f t="shared" si="25"/>
        <v>46261</v>
      </c>
      <c r="G307" s="7">
        <f t="shared" si="26"/>
        <v>0.64071759259240935</v>
      </c>
      <c r="H307">
        <f t="shared" si="27"/>
        <v>8</v>
      </c>
      <c r="I307">
        <f t="shared" si="28"/>
        <v>2026</v>
      </c>
      <c r="J307">
        <f t="shared" si="29"/>
        <v>15</v>
      </c>
      <c r="K307" t="s">
        <v>1643</v>
      </c>
      <c r="L307" t="s">
        <v>116</v>
      </c>
      <c r="M307" t="s">
        <v>117</v>
      </c>
      <c r="R307" t="s">
        <v>1644</v>
      </c>
      <c r="T307" t="s">
        <v>119</v>
      </c>
      <c r="U307" t="s">
        <v>146</v>
      </c>
    </row>
    <row r="308" spans="1:21" x14ac:dyDescent="0.35">
      <c r="A308" t="s">
        <v>1645</v>
      </c>
      <c r="B308" t="s">
        <v>81</v>
      </c>
      <c r="C308" t="s">
        <v>1646</v>
      </c>
      <c r="D308" t="s">
        <v>1647</v>
      </c>
      <c r="E308" s="5">
        <f t="shared" si="24"/>
        <v>46227.249039351853</v>
      </c>
      <c r="F308" s="6">
        <f t="shared" si="25"/>
        <v>46227</v>
      </c>
      <c r="G308" s="7">
        <f t="shared" si="26"/>
        <v>0.24903935185284354</v>
      </c>
      <c r="H308">
        <f t="shared" si="27"/>
        <v>7</v>
      </c>
      <c r="I308">
        <f t="shared" si="28"/>
        <v>2026</v>
      </c>
      <c r="J308">
        <f t="shared" si="29"/>
        <v>5</v>
      </c>
      <c r="K308" t="s">
        <v>1648</v>
      </c>
      <c r="L308" t="s">
        <v>116</v>
      </c>
      <c r="M308" t="s">
        <v>117</v>
      </c>
      <c r="R308" t="s">
        <v>1649</v>
      </c>
      <c r="T308" t="s">
        <v>119</v>
      </c>
      <c r="U308" t="s">
        <v>120</v>
      </c>
    </row>
    <row r="309" spans="1:21" x14ac:dyDescent="0.35">
      <c r="A309" t="s">
        <v>1650</v>
      </c>
      <c r="B309" t="s">
        <v>81</v>
      </c>
      <c r="C309" t="s">
        <v>1651</v>
      </c>
      <c r="D309" t="s">
        <v>1652</v>
      </c>
      <c r="E309" s="5">
        <f t="shared" si="24"/>
        <v>46222.517048611116</v>
      </c>
      <c r="F309" s="6">
        <f t="shared" si="25"/>
        <v>46222</v>
      </c>
      <c r="G309" s="7">
        <f t="shared" si="26"/>
        <v>0.51704861111647915</v>
      </c>
      <c r="H309">
        <f t="shared" si="27"/>
        <v>7</v>
      </c>
      <c r="I309">
        <f t="shared" si="28"/>
        <v>2026</v>
      </c>
      <c r="J309">
        <f t="shared" si="29"/>
        <v>12</v>
      </c>
      <c r="K309" t="s">
        <v>1653</v>
      </c>
      <c r="L309" t="s">
        <v>116</v>
      </c>
      <c r="M309" t="s">
        <v>117</v>
      </c>
      <c r="R309" t="s">
        <v>1654</v>
      </c>
      <c r="T309" t="s">
        <v>119</v>
      </c>
      <c r="U309" t="s">
        <v>146</v>
      </c>
    </row>
    <row r="310" spans="1:21" x14ac:dyDescent="0.35">
      <c r="A310" t="s">
        <v>1655</v>
      </c>
      <c r="B310" t="s">
        <v>81</v>
      </c>
      <c r="C310" t="s">
        <v>1656</v>
      </c>
      <c r="D310" t="s">
        <v>1657</v>
      </c>
      <c r="E310" s="5">
        <f t="shared" si="24"/>
        <v>46220.652048611111</v>
      </c>
      <c r="F310" s="6">
        <f t="shared" si="25"/>
        <v>46220</v>
      </c>
      <c r="G310" s="7">
        <f t="shared" si="26"/>
        <v>0.65204861111124046</v>
      </c>
      <c r="H310">
        <f t="shared" si="27"/>
        <v>7</v>
      </c>
      <c r="I310">
        <f t="shared" si="28"/>
        <v>2026</v>
      </c>
      <c r="J310">
        <f t="shared" si="29"/>
        <v>15</v>
      </c>
      <c r="K310" t="s">
        <v>1658</v>
      </c>
      <c r="L310" t="s">
        <v>116</v>
      </c>
      <c r="M310" t="s">
        <v>382</v>
      </c>
      <c r="N310" t="s">
        <v>117</v>
      </c>
      <c r="O310" t="s">
        <v>1659</v>
      </c>
      <c r="R310" t="s">
        <v>1660</v>
      </c>
      <c r="T310" t="s">
        <v>119</v>
      </c>
      <c r="U310" t="s">
        <v>146</v>
      </c>
    </row>
    <row r="311" spans="1:21" x14ac:dyDescent="0.35">
      <c r="A311" t="s">
        <v>1661</v>
      </c>
      <c r="B311" t="s">
        <v>81</v>
      </c>
      <c r="C311" t="s">
        <v>1662</v>
      </c>
      <c r="D311" t="s">
        <v>498</v>
      </c>
      <c r="E311" s="5">
        <f t="shared" si="24"/>
        <v>46209.566689814819</v>
      </c>
      <c r="F311" s="6">
        <f t="shared" si="25"/>
        <v>46209</v>
      </c>
      <c r="G311" s="7">
        <f t="shared" si="26"/>
        <v>0.56668981481925584</v>
      </c>
      <c r="H311">
        <f t="shared" si="27"/>
        <v>7</v>
      </c>
      <c r="I311">
        <f t="shared" si="28"/>
        <v>2026</v>
      </c>
      <c r="J311">
        <f t="shared" si="29"/>
        <v>13</v>
      </c>
      <c r="K311" t="s">
        <v>1663</v>
      </c>
      <c r="L311" t="s">
        <v>116</v>
      </c>
      <c r="M311" t="s">
        <v>117</v>
      </c>
      <c r="R311" t="s">
        <v>1664</v>
      </c>
      <c r="T311" t="s">
        <v>119</v>
      </c>
      <c r="U311" t="s">
        <v>146</v>
      </c>
    </row>
    <row r="312" spans="1:21" x14ac:dyDescent="0.35">
      <c r="A312" t="s">
        <v>1665</v>
      </c>
      <c r="B312" t="s">
        <v>81</v>
      </c>
      <c r="C312" t="s">
        <v>1666</v>
      </c>
      <c r="D312" t="s">
        <v>1667</v>
      </c>
      <c r="E312" s="5">
        <f t="shared" si="24"/>
        <v>46178.664918981485</v>
      </c>
      <c r="F312" s="6">
        <f t="shared" si="25"/>
        <v>46178</v>
      </c>
      <c r="G312" s="7">
        <f t="shared" si="26"/>
        <v>0.66491898148524342</v>
      </c>
      <c r="H312">
        <f t="shared" si="27"/>
        <v>6</v>
      </c>
      <c r="I312">
        <f t="shared" si="28"/>
        <v>2026</v>
      </c>
      <c r="J312">
        <f t="shared" si="29"/>
        <v>15</v>
      </c>
      <c r="K312" t="s">
        <v>1668</v>
      </c>
      <c r="L312" t="s">
        <v>116</v>
      </c>
      <c r="M312" t="s">
        <v>117</v>
      </c>
      <c r="R312" t="s">
        <v>1669</v>
      </c>
      <c r="T312" t="s">
        <v>119</v>
      </c>
      <c r="U312" t="s">
        <v>120</v>
      </c>
    </row>
    <row r="313" spans="1:21" x14ac:dyDescent="0.35">
      <c r="A313" t="s">
        <v>1670</v>
      </c>
      <c r="B313" t="s">
        <v>81</v>
      </c>
      <c r="C313" t="s">
        <v>1671</v>
      </c>
      <c r="D313" t="s">
        <v>1552</v>
      </c>
      <c r="E313" s="5">
        <f t="shared" si="24"/>
        <v>46161.741041666668</v>
      </c>
      <c r="F313" s="6">
        <f t="shared" si="25"/>
        <v>46161</v>
      </c>
      <c r="G313" s="7">
        <f t="shared" si="26"/>
        <v>0.74104166666802485</v>
      </c>
      <c r="H313">
        <f t="shared" si="27"/>
        <v>5</v>
      </c>
      <c r="I313">
        <f t="shared" si="28"/>
        <v>2026</v>
      </c>
      <c r="J313">
        <f t="shared" si="29"/>
        <v>17</v>
      </c>
      <c r="K313" t="s">
        <v>1672</v>
      </c>
      <c r="L313" t="s">
        <v>116</v>
      </c>
      <c r="M313" t="s">
        <v>117</v>
      </c>
      <c r="R313" t="s">
        <v>1673</v>
      </c>
      <c r="T313" t="s">
        <v>119</v>
      </c>
      <c r="U313" t="s">
        <v>146</v>
      </c>
    </row>
    <row r="314" spans="1:21" x14ac:dyDescent="0.35">
      <c r="A314" t="s">
        <v>1674</v>
      </c>
      <c r="B314" t="s">
        <v>81</v>
      </c>
      <c r="C314" t="s">
        <v>1675</v>
      </c>
      <c r="D314" t="s">
        <v>1567</v>
      </c>
      <c r="E314" s="5">
        <f t="shared" si="24"/>
        <v>46147.623935185191</v>
      </c>
      <c r="F314" s="6">
        <f t="shared" si="25"/>
        <v>46147</v>
      </c>
      <c r="G314" s="7">
        <f t="shared" si="26"/>
        <v>0.6239351851909305</v>
      </c>
      <c r="H314">
        <f t="shared" si="27"/>
        <v>5</v>
      </c>
      <c r="I314">
        <f t="shared" si="28"/>
        <v>2026</v>
      </c>
      <c r="J314">
        <f t="shared" si="29"/>
        <v>14</v>
      </c>
      <c r="K314" t="s">
        <v>1676</v>
      </c>
      <c r="L314" t="s">
        <v>116</v>
      </c>
      <c r="M314" t="s">
        <v>117</v>
      </c>
      <c r="R314" t="s">
        <v>1677</v>
      </c>
      <c r="T314" t="s">
        <v>119</v>
      </c>
      <c r="U314" t="s">
        <v>146</v>
      </c>
    </row>
    <row r="315" spans="1:21" x14ac:dyDescent="0.35">
      <c r="A315" t="s">
        <v>1678</v>
      </c>
      <c r="B315" t="s">
        <v>81</v>
      </c>
      <c r="C315" t="s">
        <v>1679</v>
      </c>
      <c r="D315" t="s">
        <v>1680</v>
      </c>
      <c r="E315" s="5">
        <f t="shared" si="24"/>
        <v>46137.732175925928</v>
      </c>
      <c r="F315" s="6">
        <f t="shared" si="25"/>
        <v>46137</v>
      </c>
      <c r="G315" s="7">
        <f t="shared" si="26"/>
        <v>0.73217592592845904</v>
      </c>
      <c r="H315">
        <f t="shared" si="27"/>
        <v>4</v>
      </c>
      <c r="I315">
        <f t="shared" si="28"/>
        <v>2026</v>
      </c>
      <c r="J315">
        <f t="shared" si="29"/>
        <v>17</v>
      </c>
      <c r="K315" t="s">
        <v>1681</v>
      </c>
      <c r="L315" t="s">
        <v>116</v>
      </c>
      <c r="M315" t="s">
        <v>117</v>
      </c>
      <c r="R315" t="s">
        <v>1682</v>
      </c>
      <c r="T315" t="s">
        <v>119</v>
      </c>
      <c r="U315" t="s">
        <v>146</v>
      </c>
    </row>
    <row r="316" spans="1:21" x14ac:dyDescent="0.35">
      <c r="A316" t="s">
        <v>1683</v>
      </c>
      <c r="B316" t="s">
        <v>81</v>
      </c>
      <c r="C316" t="s">
        <v>1684</v>
      </c>
      <c r="D316" t="s">
        <v>1685</v>
      </c>
      <c r="E316" s="5">
        <f t="shared" si="24"/>
        <v>46135.648634259262</v>
      </c>
      <c r="F316" s="6">
        <f t="shared" si="25"/>
        <v>46135</v>
      </c>
      <c r="G316" s="7">
        <f t="shared" si="26"/>
        <v>0.64863425926159834</v>
      </c>
      <c r="H316">
        <f t="shared" si="27"/>
        <v>4</v>
      </c>
      <c r="I316">
        <f t="shared" si="28"/>
        <v>2026</v>
      </c>
      <c r="J316">
        <f t="shared" si="29"/>
        <v>15</v>
      </c>
      <c r="K316" t="s">
        <v>1686</v>
      </c>
      <c r="L316" t="s">
        <v>116</v>
      </c>
      <c r="M316" t="s">
        <v>117</v>
      </c>
      <c r="P316" t="b">
        <v>1</v>
      </c>
      <c r="R316" t="s">
        <v>1687</v>
      </c>
      <c r="T316" t="s">
        <v>119</v>
      </c>
      <c r="U316" t="s">
        <v>146</v>
      </c>
    </row>
    <row r="317" spans="1:21" x14ac:dyDescent="0.35">
      <c r="A317" t="s">
        <v>1688</v>
      </c>
      <c r="B317" t="s">
        <v>81</v>
      </c>
      <c r="C317" t="s">
        <v>1689</v>
      </c>
      <c r="D317" t="s">
        <v>508</v>
      </c>
      <c r="E317" s="5">
        <f t="shared" si="24"/>
        <v>46124.494571759264</v>
      </c>
      <c r="F317" s="6">
        <f t="shared" si="25"/>
        <v>46124</v>
      </c>
      <c r="G317" s="7">
        <f t="shared" si="26"/>
        <v>0.49457175926363561</v>
      </c>
      <c r="H317">
        <f t="shared" si="27"/>
        <v>4</v>
      </c>
      <c r="I317">
        <f t="shared" si="28"/>
        <v>2026</v>
      </c>
      <c r="J317">
        <f t="shared" si="29"/>
        <v>11</v>
      </c>
      <c r="K317" t="s">
        <v>1690</v>
      </c>
      <c r="L317" t="s">
        <v>116</v>
      </c>
      <c r="M317" t="s">
        <v>117</v>
      </c>
      <c r="R317" t="s">
        <v>1691</v>
      </c>
      <c r="T317" t="s">
        <v>119</v>
      </c>
      <c r="U317" t="s">
        <v>146</v>
      </c>
    </row>
    <row r="318" spans="1:21" x14ac:dyDescent="0.35">
      <c r="A318" t="s">
        <v>1692</v>
      </c>
      <c r="B318" t="s">
        <v>81</v>
      </c>
      <c r="C318" t="s">
        <v>1693</v>
      </c>
      <c r="D318" t="s">
        <v>1694</v>
      </c>
      <c r="E318" s="5">
        <f t="shared" si="24"/>
        <v>46123.595266203709</v>
      </c>
      <c r="F318" s="6">
        <f t="shared" si="25"/>
        <v>46123</v>
      </c>
      <c r="G318" s="7">
        <f t="shared" si="26"/>
        <v>0.5952662037088885</v>
      </c>
      <c r="H318">
        <f t="shared" si="27"/>
        <v>4</v>
      </c>
      <c r="I318">
        <f t="shared" si="28"/>
        <v>2026</v>
      </c>
      <c r="J318">
        <f t="shared" si="29"/>
        <v>14</v>
      </c>
      <c r="K318" t="s">
        <v>1695</v>
      </c>
      <c r="L318" t="s">
        <v>116</v>
      </c>
      <c r="M318" t="s">
        <v>117</v>
      </c>
      <c r="R318" t="s">
        <v>1696</v>
      </c>
      <c r="T318" t="s">
        <v>119</v>
      </c>
      <c r="U318" t="s">
        <v>146</v>
      </c>
    </row>
    <row r="319" spans="1:21" x14ac:dyDescent="0.35">
      <c r="A319" t="s">
        <v>1697</v>
      </c>
      <c r="B319" t="s">
        <v>83</v>
      </c>
      <c r="C319" t="s">
        <v>1698</v>
      </c>
      <c r="D319" t="s">
        <v>1699</v>
      </c>
      <c r="E319" s="5">
        <f t="shared" si="24"/>
        <v>46181.670810185191</v>
      </c>
      <c r="F319" s="6">
        <f t="shared" si="25"/>
        <v>46181</v>
      </c>
      <c r="G319" s="7">
        <f t="shared" si="26"/>
        <v>0.6708101851909305</v>
      </c>
      <c r="H319">
        <f t="shared" si="27"/>
        <v>6</v>
      </c>
      <c r="I319">
        <f t="shared" si="28"/>
        <v>2026</v>
      </c>
      <c r="J319">
        <f t="shared" si="29"/>
        <v>16</v>
      </c>
      <c r="K319" t="s">
        <v>1700</v>
      </c>
      <c r="L319" t="s">
        <v>116</v>
      </c>
      <c r="M319" t="s">
        <v>117</v>
      </c>
      <c r="P319" t="b">
        <v>0</v>
      </c>
      <c r="R319" t="s">
        <v>1701</v>
      </c>
      <c r="T319" t="s">
        <v>119</v>
      </c>
      <c r="U319" t="s">
        <v>146</v>
      </c>
    </row>
    <row r="320" spans="1:21" x14ac:dyDescent="0.35">
      <c r="A320" t="s">
        <v>1702</v>
      </c>
      <c r="B320" t="s">
        <v>83</v>
      </c>
      <c r="C320" t="s">
        <v>1703</v>
      </c>
      <c r="D320" t="s">
        <v>1704</v>
      </c>
      <c r="E320" s="5">
        <f t="shared" si="24"/>
        <v>46138.623240740744</v>
      </c>
      <c r="F320" s="6">
        <f t="shared" si="25"/>
        <v>46138</v>
      </c>
      <c r="G320" s="7">
        <f t="shared" si="26"/>
        <v>0.62324074074422242</v>
      </c>
      <c r="H320">
        <f t="shared" si="27"/>
        <v>4</v>
      </c>
      <c r="I320">
        <f t="shared" si="28"/>
        <v>2026</v>
      </c>
      <c r="J320">
        <f t="shared" si="29"/>
        <v>14</v>
      </c>
      <c r="K320" t="s">
        <v>1705</v>
      </c>
      <c r="L320" t="s">
        <v>116</v>
      </c>
      <c r="M320" t="s">
        <v>117</v>
      </c>
      <c r="P320" t="b">
        <v>0</v>
      </c>
      <c r="R320" t="s">
        <v>1706</v>
      </c>
      <c r="T320" t="s">
        <v>119</v>
      </c>
      <c r="U320" t="s">
        <v>146</v>
      </c>
    </row>
    <row r="321" spans="1:21" x14ac:dyDescent="0.35">
      <c r="A321" t="s">
        <v>1707</v>
      </c>
      <c r="B321" t="s">
        <v>85</v>
      </c>
      <c r="C321" t="s">
        <v>1708</v>
      </c>
      <c r="D321" t="s">
        <v>1709</v>
      </c>
      <c r="E321" s="5">
        <f t="shared" si="24"/>
        <v>46202.778287037043</v>
      </c>
      <c r="F321" s="6">
        <f t="shared" si="25"/>
        <v>46202</v>
      </c>
      <c r="G321" s="7">
        <f t="shared" si="26"/>
        <v>0.77828703704290092</v>
      </c>
      <c r="H321">
        <f t="shared" si="27"/>
        <v>6</v>
      </c>
      <c r="I321">
        <f t="shared" si="28"/>
        <v>2026</v>
      </c>
      <c r="J321">
        <f t="shared" si="29"/>
        <v>18</v>
      </c>
      <c r="K321" t="s">
        <v>1710</v>
      </c>
      <c r="L321" t="s">
        <v>116</v>
      </c>
      <c r="M321" t="s">
        <v>117</v>
      </c>
      <c r="R321" t="s">
        <v>1711</v>
      </c>
      <c r="T321" t="s">
        <v>119</v>
      </c>
      <c r="U321" t="s">
        <v>146</v>
      </c>
    </row>
    <row r="322" spans="1:21" x14ac:dyDescent="0.35">
      <c r="A322" t="s">
        <v>1712</v>
      </c>
      <c r="B322" t="s">
        <v>85</v>
      </c>
      <c r="C322" t="s">
        <v>1713</v>
      </c>
      <c r="D322" t="s">
        <v>1714</v>
      </c>
      <c r="E322" s="5">
        <f t="shared" ref="E322:E385" si="30">IF(D322="","",DATE(VALUE(LEFT(D322,4)),VALUE(MID(D322,6,2)),VALUE(MID(D322,9,2)))+TIME(VALUE(MID(D322,12,2)),VALUE(MID(D322,15,2)),VALUE(MID(D322,18,2)))-IF(AND(DATE(VALUE(LEFT(D322,4)),VALUE(MID(D322,6,2)),VALUE(MID(D322,9,2)))+TIME(VALUE(MID(D322,12,2)),VALUE(MID(D322,15,2)),VALUE(MID(D322,18,2)))&gt;=DATE(VALUE(LEFT(D322,4)),3,1)+MOD(8-WEEKDAY(DATE(VALUE(LEFT(D322,4)),3,1)),7)+7+TIME(7,0,0),DATE(VALUE(LEFT(D322,4)),3,1)+MOD(8-WEEKDAY(DATE(VALUE(LEFT(D322,4)),3,1)),7)+7+TIME(7,0,0)&lt;DATE(VALUE(LEFT(D322,4)),11,1)+MOD(8-WEEKDAY(DATE(VALUE(LEFT(D322,4)),11,1)),7)+TIME(6,0,0)), TIME(4,0,0),TIME(5,0,0)))</f>
        <v>46121.524641203709</v>
      </c>
      <c r="F322" s="6">
        <f t="shared" ref="F322:F385" si="31">IF(E322="","",INT(E322))</f>
        <v>46121</v>
      </c>
      <c r="G322" s="7">
        <f t="shared" ref="G322:G329" si="32">IF(E322="","",MOD(E322,1))</f>
        <v>0.52464120370859746</v>
      </c>
      <c r="H322">
        <f t="shared" ref="H322:H329" si="33">IF(E322="","",MONTH(E322))</f>
        <v>4</v>
      </c>
      <c r="I322">
        <f t="shared" ref="I322:I329" si="34">IF(E322="","",YEAR(E322))</f>
        <v>2026</v>
      </c>
      <c r="J322">
        <f t="shared" ref="J322:J329" si="35">IF(E322="","",HOUR(E322))</f>
        <v>12</v>
      </c>
      <c r="K322" t="s">
        <v>1715</v>
      </c>
      <c r="L322" t="s">
        <v>116</v>
      </c>
      <c r="M322" t="s">
        <v>117</v>
      </c>
      <c r="P322" t="b">
        <v>1</v>
      </c>
      <c r="R322" t="s">
        <v>1716</v>
      </c>
      <c r="S322">
        <v>0</v>
      </c>
      <c r="T322" t="s">
        <v>119</v>
      </c>
      <c r="U322" t="s">
        <v>146</v>
      </c>
    </row>
    <row r="323" spans="1:21" x14ac:dyDescent="0.35">
      <c r="A323" t="s">
        <v>1717</v>
      </c>
      <c r="B323" t="s">
        <v>85</v>
      </c>
      <c r="C323" t="s">
        <v>1718</v>
      </c>
      <c r="D323" t="s">
        <v>1719</v>
      </c>
      <c r="E323" s="5">
        <f t="shared" si="30"/>
        <v>46105.680289351854</v>
      </c>
      <c r="F323" s="6">
        <f t="shared" si="31"/>
        <v>46105</v>
      </c>
      <c r="G323" s="7">
        <f t="shared" si="32"/>
        <v>0.68028935185429873</v>
      </c>
      <c r="H323">
        <f t="shared" si="33"/>
        <v>3</v>
      </c>
      <c r="I323">
        <f t="shared" si="34"/>
        <v>2026</v>
      </c>
      <c r="J323">
        <f t="shared" si="35"/>
        <v>16</v>
      </c>
      <c r="K323" t="s">
        <v>1720</v>
      </c>
      <c r="L323" t="s">
        <v>116</v>
      </c>
      <c r="M323" t="s">
        <v>117</v>
      </c>
      <c r="R323" t="s">
        <v>1721</v>
      </c>
      <c r="T323" t="s">
        <v>119</v>
      </c>
      <c r="U323" t="s">
        <v>120</v>
      </c>
    </row>
    <row r="324" spans="1:21" x14ac:dyDescent="0.35">
      <c r="A324" t="s">
        <v>1722</v>
      </c>
      <c r="B324" t="s">
        <v>85</v>
      </c>
      <c r="C324" t="s">
        <v>1723</v>
      </c>
      <c r="D324" t="s">
        <v>1724</v>
      </c>
      <c r="E324" s="5">
        <f t="shared" si="30"/>
        <v>46096.731111111112</v>
      </c>
      <c r="F324" s="6">
        <f t="shared" si="31"/>
        <v>46096</v>
      </c>
      <c r="G324" s="7">
        <f t="shared" si="32"/>
        <v>0.73111111111211358</v>
      </c>
      <c r="H324">
        <f t="shared" si="33"/>
        <v>3</v>
      </c>
      <c r="I324">
        <f t="shared" si="34"/>
        <v>2026</v>
      </c>
      <c r="J324">
        <f t="shared" si="35"/>
        <v>17</v>
      </c>
      <c r="K324" t="s">
        <v>1725</v>
      </c>
      <c r="L324" t="s">
        <v>116</v>
      </c>
      <c r="M324" t="s">
        <v>428</v>
      </c>
      <c r="N324" t="s">
        <v>117</v>
      </c>
      <c r="R324" t="s">
        <v>1726</v>
      </c>
      <c r="T324" t="s">
        <v>119</v>
      </c>
      <c r="U324" t="s">
        <v>120</v>
      </c>
    </row>
    <row r="325" spans="1:21" x14ac:dyDescent="0.35">
      <c r="A325" t="s">
        <v>1727</v>
      </c>
      <c r="B325" t="s">
        <v>87</v>
      </c>
      <c r="C325" t="s">
        <v>1728</v>
      </c>
      <c r="D325" t="s">
        <v>1729</v>
      </c>
      <c r="E325" s="5">
        <f t="shared" si="30"/>
        <v>46220.958402777782</v>
      </c>
      <c r="F325" s="6">
        <f t="shared" si="31"/>
        <v>46220</v>
      </c>
      <c r="G325" s="7">
        <f t="shared" si="32"/>
        <v>0.95840277778188465</v>
      </c>
      <c r="H325">
        <f t="shared" si="33"/>
        <v>7</v>
      </c>
      <c r="I325">
        <f t="shared" si="34"/>
        <v>2026</v>
      </c>
      <c r="J325">
        <f t="shared" si="35"/>
        <v>23</v>
      </c>
      <c r="K325" t="s">
        <v>1730</v>
      </c>
      <c r="L325" t="s">
        <v>116</v>
      </c>
      <c r="M325" t="s">
        <v>117</v>
      </c>
      <c r="R325" t="s">
        <v>1731</v>
      </c>
      <c r="T325" t="s">
        <v>119</v>
      </c>
      <c r="U325" t="s">
        <v>146</v>
      </c>
    </row>
    <row r="326" spans="1:21" x14ac:dyDescent="0.35">
      <c r="A326" t="s">
        <v>1732</v>
      </c>
      <c r="B326" t="s">
        <v>87</v>
      </c>
      <c r="C326" t="s">
        <v>1733</v>
      </c>
      <c r="D326" t="s">
        <v>1734</v>
      </c>
      <c r="E326" s="5">
        <f t="shared" si="30"/>
        <v>46207.915937500002</v>
      </c>
      <c r="F326" s="6">
        <f t="shared" si="31"/>
        <v>46207</v>
      </c>
      <c r="G326" s="7">
        <f t="shared" si="32"/>
        <v>0.91593750000174623</v>
      </c>
      <c r="H326">
        <f t="shared" si="33"/>
        <v>7</v>
      </c>
      <c r="I326">
        <f t="shared" si="34"/>
        <v>2026</v>
      </c>
      <c r="J326">
        <f t="shared" si="35"/>
        <v>21</v>
      </c>
      <c r="K326" t="s">
        <v>1735</v>
      </c>
      <c r="L326" t="s">
        <v>116</v>
      </c>
      <c r="M326" t="s">
        <v>117</v>
      </c>
      <c r="R326" t="s">
        <v>1736</v>
      </c>
      <c r="T326" t="s">
        <v>119</v>
      </c>
      <c r="U326" t="s">
        <v>146</v>
      </c>
    </row>
    <row r="327" spans="1:21" x14ac:dyDescent="0.35">
      <c r="A327" t="s">
        <v>1737</v>
      </c>
      <c r="B327" t="s">
        <v>87</v>
      </c>
      <c r="C327" t="s">
        <v>1738</v>
      </c>
      <c r="D327" t="s">
        <v>1739</v>
      </c>
      <c r="E327" s="5">
        <f t="shared" si="30"/>
        <v>46207.320335648154</v>
      </c>
      <c r="F327" s="6">
        <f t="shared" si="31"/>
        <v>46207</v>
      </c>
      <c r="G327" s="7">
        <f t="shared" si="32"/>
        <v>0.3203356481535593</v>
      </c>
      <c r="H327">
        <f t="shared" si="33"/>
        <v>7</v>
      </c>
      <c r="I327">
        <f t="shared" si="34"/>
        <v>2026</v>
      </c>
      <c r="J327">
        <f t="shared" si="35"/>
        <v>7</v>
      </c>
      <c r="K327" t="s">
        <v>1740</v>
      </c>
      <c r="L327" t="s">
        <v>116</v>
      </c>
      <c r="M327" t="s">
        <v>117</v>
      </c>
      <c r="R327" t="s">
        <v>1741</v>
      </c>
      <c r="T327" t="s">
        <v>119</v>
      </c>
      <c r="U327" t="s">
        <v>146</v>
      </c>
    </row>
    <row r="328" spans="1:21" x14ac:dyDescent="0.35">
      <c r="A328" t="s">
        <v>1742</v>
      </c>
      <c r="B328" t="s">
        <v>87</v>
      </c>
      <c r="C328" t="s">
        <v>1743</v>
      </c>
      <c r="D328" t="s">
        <v>1744</v>
      </c>
      <c r="E328" s="5">
        <f t="shared" si="30"/>
        <v>46140.702546296299</v>
      </c>
      <c r="F328" s="6">
        <f t="shared" si="31"/>
        <v>46140</v>
      </c>
      <c r="G328" s="7">
        <f t="shared" si="32"/>
        <v>0.70254629629926058</v>
      </c>
      <c r="H328">
        <f t="shared" si="33"/>
        <v>4</v>
      </c>
      <c r="I328">
        <f t="shared" si="34"/>
        <v>2026</v>
      </c>
      <c r="J328">
        <f t="shared" si="35"/>
        <v>16</v>
      </c>
      <c r="K328" t="s">
        <v>1745</v>
      </c>
      <c r="L328" t="s">
        <v>116</v>
      </c>
      <c r="M328" t="s">
        <v>117</v>
      </c>
      <c r="R328" t="s">
        <v>1746</v>
      </c>
      <c r="T328" t="s">
        <v>119</v>
      </c>
      <c r="U328" t="s">
        <v>146</v>
      </c>
    </row>
    <row r="329" spans="1:21" x14ac:dyDescent="0.35">
      <c r="A329" t="s">
        <v>1747</v>
      </c>
      <c r="B329" t="s">
        <v>87</v>
      </c>
      <c r="C329" t="s">
        <v>1344</v>
      </c>
      <c r="D329" t="s">
        <v>1748</v>
      </c>
      <c r="E329" s="5">
        <f t="shared" si="30"/>
        <v>46137.517326388894</v>
      </c>
      <c r="F329" s="6">
        <f t="shared" si="31"/>
        <v>46137</v>
      </c>
      <c r="G329" s="7">
        <f t="shared" si="32"/>
        <v>0.51732638889370719</v>
      </c>
      <c r="H329">
        <f t="shared" si="33"/>
        <v>4</v>
      </c>
      <c r="I329">
        <f t="shared" si="34"/>
        <v>2026</v>
      </c>
      <c r="J329">
        <f t="shared" si="35"/>
        <v>12</v>
      </c>
      <c r="K329" t="s">
        <v>1749</v>
      </c>
      <c r="L329" t="s">
        <v>116</v>
      </c>
      <c r="M329" t="s">
        <v>117</v>
      </c>
      <c r="R329" t="s">
        <v>1750</v>
      </c>
      <c r="T329" t="s">
        <v>119</v>
      </c>
      <c r="U329" t="s">
        <v>146</v>
      </c>
    </row>
  </sheetData>
  <autoFilter ref="A1:X329"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M329"/>
  <sheetViews>
    <sheetView tabSelected="1" workbookViewId="0">
      <pane ySplit="1" topLeftCell="A2" activePane="bottomLeft" state="frozen"/>
      <selection pane="bottomLeft"/>
    </sheetView>
  </sheetViews>
  <sheetFormatPr defaultRowHeight="14.5" x14ac:dyDescent="0.35"/>
  <cols>
    <col min="1" max="1" width="21" customWidth="1"/>
    <col min="2" max="2" width="60" customWidth="1"/>
    <col min="3" max="6" width="24" customWidth="1"/>
    <col min="7" max="8" width="22" customWidth="1"/>
    <col min="9" max="9" width="24" customWidth="1"/>
    <col min="10" max="10" width="20" customWidth="1"/>
    <col min="11" max="11" width="17" customWidth="1"/>
    <col min="12" max="12" width="16" customWidth="1"/>
    <col min="13" max="13" width="19" customWidth="1"/>
    <col min="14" max="14" width="25" customWidth="1"/>
    <col min="15" max="15" width="19" customWidth="1"/>
    <col min="16" max="17" width="20" customWidth="1"/>
    <col min="18" max="18" width="24" customWidth="1"/>
    <col min="19" max="19" width="43" customWidth="1"/>
    <col min="20" max="24" width="60" customWidth="1"/>
    <col min="25" max="25" width="46" customWidth="1"/>
    <col min="26" max="26" width="53" customWidth="1"/>
    <col min="27" max="27" width="60" customWidth="1"/>
    <col min="28" max="28" width="13" customWidth="1"/>
    <col min="29" max="29" width="16" customWidth="1"/>
    <col min="30" max="30" width="50" customWidth="1"/>
    <col min="31" max="31" width="27" customWidth="1"/>
    <col min="32" max="32" width="23" customWidth="1"/>
    <col min="33" max="33" width="32" customWidth="1"/>
    <col min="34" max="34" width="31" customWidth="1"/>
    <col min="35" max="35" width="32" customWidth="1"/>
    <col min="36" max="36" width="16" customWidth="1"/>
    <col min="37" max="37" width="23" customWidth="1"/>
    <col min="38" max="39" width="16" customWidth="1"/>
    <col min="40" max="40" width="18" customWidth="1"/>
    <col min="41" max="41" width="16" customWidth="1"/>
    <col min="42" max="42" width="17" customWidth="1"/>
    <col min="43" max="43" width="22" customWidth="1"/>
    <col min="44" max="44" width="28" customWidth="1"/>
    <col min="45" max="45" width="21" customWidth="1"/>
    <col min="46" max="46" width="22" customWidth="1"/>
    <col min="47" max="47" width="25" customWidth="1"/>
    <col min="48" max="48" width="43" customWidth="1"/>
    <col min="49" max="50" width="60" customWidth="1"/>
    <col min="51" max="51" width="33" customWidth="1"/>
    <col min="52" max="52" width="35" customWidth="1"/>
    <col min="53" max="53" width="52" customWidth="1"/>
    <col min="54" max="55" width="33" customWidth="1"/>
    <col min="56" max="56" width="60" customWidth="1"/>
    <col min="57" max="57" width="14" customWidth="1"/>
    <col min="58" max="58" width="38" customWidth="1"/>
    <col min="59" max="59" width="60" customWidth="1"/>
    <col min="60" max="60" width="20" customWidth="1"/>
    <col min="61" max="61" width="43" customWidth="1"/>
    <col min="62" max="62" width="27" customWidth="1"/>
    <col min="63" max="63" width="26" customWidth="1"/>
    <col min="64" max="67" width="27" customWidth="1"/>
    <col min="68" max="69" width="60" customWidth="1"/>
    <col min="70" max="70" width="27" customWidth="1"/>
    <col min="71" max="71" width="30" customWidth="1"/>
    <col min="72" max="72" width="60" customWidth="1"/>
    <col min="73" max="73" width="34" customWidth="1"/>
    <col min="74" max="74" width="42" customWidth="1"/>
    <col min="75" max="75" width="35" customWidth="1"/>
    <col min="76" max="76" width="26" customWidth="1"/>
    <col min="77" max="77" width="34" customWidth="1"/>
    <col min="78" max="78" width="33" customWidth="1"/>
    <col min="79" max="79" width="45" customWidth="1"/>
    <col min="80" max="80" width="27" customWidth="1"/>
    <col min="81" max="81" width="14" customWidth="1"/>
    <col min="82" max="82" width="29" customWidth="1"/>
    <col min="83" max="83" width="14" customWidth="1"/>
    <col min="84" max="84" width="19" customWidth="1"/>
    <col min="85" max="85" width="20" customWidth="1"/>
    <col min="86" max="89" width="18" customWidth="1"/>
    <col min="90" max="90" width="20" customWidth="1"/>
    <col min="91" max="91" width="19" customWidth="1"/>
    <col min="92" max="93" width="20" customWidth="1"/>
    <col min="94" max="94" width="18" customWidth="1"/>
    <col min="95" max="96" width="23" customWidth="1"/>
    <col min="97" max="97" width="21" customWidth="1"/>
    <col min="98" max="98" width="18" customWidth="1"/>
    <col min="99" max="100" width="24" customWidth="1"/>
    <col min="101" max="102" width="25" customWidth="1"/>
    <col min="103" max="103" width="27" customWidth="1"/>
    <col min="104" max="104" width="26" customWidth="1"/>
    <col min="105" max="105" width="34" customWidth="1"/>
    <col min="106" max="106" width="36" customWidth="1"/>
    <col min="107" max="109" width="22" customWidth="1"/>
    <col min="110" max="110" width="20" customWidth="1"/>
    <col min="111" max="111" width="22" customWidth="1"/>
    <col min="112" max="114" width="24" customWidth="1"/>
    <col min="115" max="116" width="23" customWidth="1"/>
    <col min="117" max="117" width="19" customWidth="1"/>
    <col min="118" max="118" width="33" customWidth="1"/>
    <col min="119" max="119" width="47" customWidth="1"/>
    <col min="120" max="120" width="25" customWidth="1"/>
    <col min="121" max="121" width="29" customWidth="1"/>
    <col min="122" max="122" width="27" customWidth="1"/>
    <col min="123" max="123" width="32" customWidth="1"/>
    <col min="124" max="124" width="36" customWidth="1"/>
    <col min="125" max="125" width="26" customWidth="1"/>
    <col min="126" max="126" width="27" customWidth="1"/>
    <col min="127" max="127" width="32" customWidth="1"/>
    <col min="128" max="128" width="40" customWidth="1"/>
    <col min="129" max="129" width="29" customWidth="1"/>
    <col min="130" max="131" width="33" customWidth="1"/>
    <col min="132" max="132" width="37" customWidth="1"/>
    <col min="133" max="133" width="42" customWidth="1"/>
    <col min="134" max="134" width="46" customWidth="1"/>
    <col min="135" max="135" width="37" customWidth="1"/>
    <col min="136" max="136" width="49" customWidth="1"/>
    <col min="137" max="137" width="45" customWidth="1"/>
    <col min="138" max="138" width="47" customWidth="1"/>
    <col min="139" max="139" width="41" customWidth="1"/>
    <col min="140" max="140" width="49" customWidth="1"/>
    <col min="141" max="141" width="46" customWidth="1"/>
    <col min="142" max="142" width="23" customWidth="1"/>
    <col min="143" max="143" width="34" customWidth="1"/>
  </cols>
  <sheetData>
    <row r="1" spans="1:143" x14ac:dyDescent="0.35">
      <c r="A1" s="1" t="s">
        <v>1751</v>
      </c>
      <c r="B1" s="1" t="s">
        <v>1752</v>
      </c>
      <c r="C1" s="1" t="s">
        <v>1753</v>
      </c>
      <c r="D1" s="1" t="s">
        <v>1754</v>
      </c>
      <c r="E1" s="1" t="s">
        <v>1755</v>
      </c>
      <c r="F1" s="1" t="s">
        <v>1756</v>
      </c>
      <c r="G1" s="1" t="s">
        <v>1757</v>
      </c>
      <c r="H1" s="1" t="s">
        <v>1758</v>
      </c>
      <c r="I1" s="1" t="s">
        <v>1759</v>
      </c>
      <c r="J1" s="1" t="s">
        <v>1760</v>
      </c>
      <c r="K1" s="1" t="s">
        <v>1761</v>
      </c>
      <c r="L1" s="1" t="s">
        <v>1762</v>
      </c>
      <c r="M1" s="1" t="s">
        <v>1763</v>
      </c>
      <c r="N1" s="1" t="s">
        <v>1764</v>
      </c>
      <c r="O1" s="1" t="s">
        <v>1765</v>
      </c>
      <c r="P1" s="1" t="s">
        <v>1766</v>
      </c>
      <c r="Q1" s="1" t="s">
        <v>1767</v>
      </c>
      <c r="R1" s="1" t="s">
        <v>1768</v>
      </c>
      <c r="S1" s="1" t="s">
        <v>1769</v>
      </c>
      <c r="T1" s="1" t="s">
        <v>1770</v>
      </c>
      <c r="U1" s="1" t="s">
        <v>1771</v>
      </c>
      <c r="V1" s="1" t="s">
        <v>1772</v>
      </c>
      <c r="W1" s="1" t="s">
        <v>1773</v>
      </c>
      <c r="X1" s="1" t="s">
        <v>1774</v>
      </c>
      <c r="Y1" s="1" t="s">
        <v>1775</v>
      </c>
      <c r="Z1" s="1" t="s">
        <v>1776</v>
      </c>
      <c r="AA1" s="1" t="s">
        <v>1777</v>
      </c>
      <c r="AB1" s="1" t="s">
        <v>1778</v>
      </c>
      <c r="AC1" s="1" t="s">
        <v>1779</v>
      </c>
      <c r="AD1" s="1" t="s">
        <v>1780</v>
      </c>
      <c r="AE1" s="1" t="s">
        <v>1781</v>
      </c>
      <c r="AF1" s="1" t="s">
        <v>1782</v>
      </c>
      <c r="AG1" s="1" t="s">
        <v>1783</v>
      </c>
      <c r="AH1" s="1" t="s">
        <v>1784</v>
      </c>
      <c r="AI1" s="1" t="s">
        <v>1785</v>
      </c>
      <c r="AJ1" s="1" t="s">
        <v>1786</v>
      </c>
      <c r="AK1" s="1" t="s">
        <v>1787</v>
      </c>
      <c r="AL1" s="1" t="s">
        <v>1788</v>
      </c>
      <c r="AM1" s="1" t="s">
        <v>1789</v>
      </c>
      <c r="AN1" s="1" t="s">
        <v>1790</v>
      </c>
      <c r="AO1" s="1" t="s">
        <v>1791</v>
      </c>
      <c r="AP1" s="1" t="s">
        <v>1792</v>
      </c>
      <c r="AQ1" s="1" t="s">
        <v>1793</v>
      </c>
      <c r="AR1" s="1" t="s">
        <v>1794</v>
      </c>
      <c r="AS1" s="1" t="s">
        <v>1795</v>
      </c>
      <c r="AT1" s="1" t="s">
        <v>1796</v>
      </c>
      <c r="AU1" s="1" t="s">
        <v>1797</v>
      </c>
      <c r="AV1" s="1" t="s">
        <v>1798</v>
      </c>
      <c r="AW1" s="1" t="s">
        <v>1799</v>
      </c>
      <c r="AX1" s="1" t="s">
        <v>1800</v>
      </c>
      <c r="AY1" s="1" t="s">
        <v>1801</v>
      </c>
      <c r="AZ1" s="1" t="s">
        <v>1802</v>
      </c>
      <c r="BA1" s="1" t="s">
        <v>1803</v>
      </c>
      <c r="BB1" s="1" t="s">
        <v>1804</v>
      </c>
      <c r="BC1" s="1" t="s">
        <v>1805</v>
      </c>
      <c r="BD1" s="1" t="s">
        <v>1806</v>
      </c>
      <c r="BE1" s="1" t="s">
        <v>1807</v>
      </c>
      <c r="BF1" s="1" t="s">
        <v>1808</v>
      </c>
      <c r="BG1" s="1" t="s">
        <v>1809</v>
      </c>
      <c r="BH1" s="1" t="s">
        <v>1810</v>
      </c>
      <c r="BI1" s="1" t="s">
        <v>1811</v>
      </c>
      <c r="BJ1" s="1" t="s">
        <v>1812</v>
      </c>
      <c r="BK1" s="1" t="s">
        <v>1813</v>
      </c>
      <c r="BL1" s="1" t="s">
        <v>1814</v>
      </c>
      <c r="BM1" s="1" t="s">
        <v>1815</v>
      </c>
      <c r="BN1" s="1" t="s">
        <v>1816</v>
      </c>
      <c r="BO1" s="1" t="s">
        <v>1817</v>
      </c>
      <c r="BP1" s="1" t="s">
        <v>1818</v>
      </c>
      <c r="BQ1" s="1" t="s">
        <v>1819</v>
      </c>
      <c r="BR1" s="1" t="s">
        <v>1820</v>
      </c>
      <c r="BS1" s="1" t="s">
        <v>1821</v>
      </c>
      <c r="BT1" s="1" t="s">
        <v>1822</v>
      </c>
      <c r="BU1" s="1" t="s">
        <v>1823</v>
      </c>
      <c r="BV1" s="1" t="s">
        <v>1824</v>
      </c>
      <c r="BW1" s="1" t="s">
        <v>1825</v>
      </c>
      <c r="BX1" s="1" t="s">
        <v>1826</v>
      </c>
      <c r="BY1" s="1" t="s">
        <v>1827</v>
      </c>
      <c r="BZ1" s="1" t="s">
        <v>1828</v>
      </c>
      <c r="CA1" s="1" t="s">
        <v>1829</v>
      </c>
      <c r="CB1" s="1" t="s">
        <v>1830</v>
      </c>
      <c r="CC1" s="1" t="s">
        <v>1831</v>
      </c>
      <c r="CD1" s="1" t="s">
        <v>1832</v>
      </c>
      <c r="CE1" s="1" t="s">
        <v>1833</v>
      </c>
      <c r="CF1" s="1" t="s">
        <v>1834</v>
      </c>
      <c r="CG1" s="1" t="s">
        <v>1835</v>
      </c>
      <c r="CH1" s="1" t="s">
        <v>1836</v>
      </c>
      <c r="CI1" s="1" t="s">
        <v>1837</v>
      </c>
      <c r="CJ1" s="1" t="s">
        <v>1838</v>
      </c>
      <c r="CK1" s="1" t="s">
        <v>1839</v>
      </c>
      <c r="CL1" s="1" t="s">
        <v>1840</v>
      </c>
      <c r="CM1" s="1" t="s">
        <v>1841</v>
      </c>
      <c r="CN1" s="1" t="s">
        <v>1842</v>
      </c>
      <c r="CO1" s="1" t="s">
        <v>1843</v>
      </c>
      <c r="CP1" s="1" t="s">
        <v>1844</v>
      </c>
      <c r="CQ1" s="1" t="s">
        <v>1845</v>
      </c>
      <c r="CR1" s="1" t="s">
        <v>1846</v>
      </c>
      <c r="CS1" s="1" t="s">
        <v>1847</v>
      </c>
      <c r="CT1" s="1" t="s">
        <v>1848</v>
      </c>
      <c r="CU1" s="1" t="s">
        <v>1849</v>
      </c>
      <c r="CV1" s="1" t="s">
        <v>1850</v>
      </c>
      <c r="CW1" s="1" t="s">
        <v>1851</v>
      </c>
      <c r="CX1" s="1" t="s">
        <v>1852</v>
      </c>
      <c r="CY1" s="1" t="s">
        <v>1853</v>
      </c>
      <c r="CZ1" s="1" t="s">
        <v>1854</v>
      </c>
      <c r="DA1" s="1" t="s">
        <v>1855</v>
      </c>
      <c r="DB1" s="1" t="s">
        <v>1856</v>
      </c>
      <c r="DC1" s="1" t="s">
        <v>1857</v>
      </c>
      <c r="DD1" s="1" t="s">
        <v>1858</v>
      </c>
      <c r="DE1" s="1" t="s">
        <v>1859</v>
      </c>
      <c r="DF1" s="1" t="s">
        <v>1860</v>
      </c>
      <c r="DG1" s="1" t="s">
        <v>1861</v>
      </c>
      <c r="DH1" s="1" t="s">
        <v>1862</v>
      </c>
      <c r="DI1" s="1" t="s">
        <v>1863</v>
      </c>
      <c r="DJ1" s="1" t="s">
        <v>1864</v>
      </c>
      <c r="DK1" s="1" t="s">
        <v>1865</v>
      </c>
      <c r="DL1" s="1" t="s">
        <v>1866</v>
      </c>
      <c r="DM1" s="1" t="s">
        <v>1867</v>
      </c>
      <c r="DN1" s="1" t="s">
        <v>1868</v>
      </c>
      <c r="DO1" s="1" t="s">
        <v>1869</v>
      </c>
      <c r="DP1" s="1" t="s">
        <v>1870</v>
      </c>
      <c r="DQ1" s="1" t="s">
        <v>1871</v>
      </c>
      <c r="DR1" s="1" t="s">
        <v>1872</v>
      </c>
      <c r="DS1" s="1" t="s">
        <v>1873</v>
      </c>
      <c r="DT1" s="1" t="s">
        <v>1874</v>
      </c>
      <c r="DU1" s="1" t="s">
        <v>1875</v>
      </c>
      <c r="DV1" s="1" t="s">
        <v>1876</v>
      </c>
      <c r="DW1" s="1" t="s">
        <v>1877</v>
      </c>
      <c r="DX1" s="1" t="s">
        <v>1878</v>
      </c>
      <c r="DY1" s="1" t="s">
        <v>1879</v>
      </c>
      <c r="DZ1" s="1" t="s">
        <v>1880</v>
      </c>
      <c r="EA1" s="1" t="s">
        <v>1881</v>
      </c>
      <c r="EB1" s="1" t="s">
        <v>1882</v>
      </c>
      <c r="EC1" s="1" t="s">
        <v>1883</v>
      </c>
      <c r="ED1" s="1" t="s">
        <v>1884</v>
      </c>
      <c r="EE1" s="1" t="s">
        <v>1885</v>
      </c>
      <c r="EF1" s="1" t="s">
        <v>1886</v>
      </c>
      <c r="EG1" s="1" t="s">
        <v>1887</v>
      </c>
      <c r="EH1" s="1" t="s">
        <v>1888</v>
      </c>
      <c r="EI1" s="1" t="s">
        <v>1889</v>
      </c>
      <c r="EJ1" s="1" t="s">
        <v>1890</v>
      </c>
      <c r="EK1" s="1" t="s">
        <v>1891</v>
      </c>
      <c r="EL1" s="1" t="s">
        <v>1892</v>
      </c>
      <c r="EM1" s="1" t="s">
        <v>1893</v>
      </c>
    </row>
    <row r="2" spans="1:143" x14ac:dyDescent="0.35">
      <c r="A2" t="s">
        <v>9</v>
      </c>
      <c r="B2" t="s">
        <v>112</v>
      </c>
      <c r="C2" t="s">
        <v>116</v>
      </c>
      <c r="D2" t="s">
        <v>120</v>
      </c>
      <c r="G2" t="s">
        <v>1894</v>
      </c>
      <c r="H2" t="s">
        <v>1895</v>
      </c>
      <c r="L2" t="s">
        <v>1896</v>
      </c>
      <c r="M2" t="s">
        <v>1897</v>
      </c>
      <c r="N2" t="s">
        <v>1898</v>
      </c>
      <c r="R2" t="s">
        <v>119</v>
      </c>
      <c r="S2" t="s">
        <v>113</v>
      </c>
      <c r="T2" t="s">
        <v>117</v>
      </c>
      <c r="Z2" t="s">
        <v>1899</v>
      </c>
      <c r="AA2" t="s">
        <v>1900</v>
      </c>
      <c r="AB2">
        <v>2</v>
      </c>
      <c r="AC2">
        <v>7</v>
      </c>
      <c r="AD2" t="s">
        <v>1901</v>
      </c>
      <c r="AE2">
        <v>2002</v>
      </c>
      <c r="AG2" t="s">
        <v>1902</v>
      </c>
      <c r="AH2" t="s">
        <v>1903</v>
      </c>
      <c r="AI2">
        <v>105100</v>
      </c>
      <c r="AJ2">
        <v>0</v>
      </c>
      <c r="AL2">
        <v>0</v>
      </c>
      <c r="AS2" t="b">
        <v>1</v>
      </c>
      <c r="AU2">
        <v>0</v>
      </c>
      <c r="AV2" t="s">
        <v>113</v>
      </c>
      <c r="AX2" t="s">
        <v>118</v>
      </c>
      <c r="AY2" t="b">
        <v>1</v>
      </c>
      <c r="AZ2" t="b">
        <v>1</v>
      </c>
      <c r="BA2" t="s">
        <v>1904</v>
      </c>
      <c r="BD2" t="s">
        <v>1905</v>
      </c>
      <c r="BF2" t="s">
        <v>1906</v>
      </c>
      <c r="BG2" t="s">
        <v>1907</v>
      </c>
      <c r="BI2" t="s">
        <v>113</v>
      </c>
      <c r="BK2" t="b">
        <v>0</v>
      </c>
      <c r="BM2" t="s">
        <v>114</v>
      </c>
      <c r="BN2" t="s">
        <v>114</v>
      </c>
      <c r="BO2" t="s">
        <v>114</v>
      </c>
      <c r="BQ2" t="s">
        <v>1899</v>
      </c>
      <c r="BR2">
        <v>2</v>
      </c>
      <c r="BS2">
        <v>7</v>
      </c>
      <c r="BU2" t="s">
        <v>1908</v>
      </c>
      <c r="BW2" t="s">
        <v>1909</v>
      </c>
      <c r="BX2" t="s">
        <v>1910</v>
      </c>
      <c r="BY2" t="s">
        <v>1911</v>
      </c>
      <c r="CB2" t="s">
        <v>1912</v>
      </c>
      <c r="CC2" t="s">
        <v>1913</v>
      </c>
      <c r="CD2" t="s">
        <v>1914</v>
      </c>
      <c r="CE2">
        <v>87.1</v>
      </c>
      <c r="CF2">
        <v>68.8</v>
      </c>
      <c r="CG2">
        <v>91.8</v>
      </c>
      <c r="CH2">
        <v>1011</v>
      </c>
      <c r="CI2">
        <v>55</v>
      </c>
      <c r="CJ2">
        <v>71.599999999999994</v>
      </c>
      <c r="CK2">
        <v>89.4</v>
      </c>
      <c r="CL2">
        <v>91.8</v>
      </c>
      <c r="CM2">
        <v>87.1</v>
      </c>
      <c r="CN2">
        <v>31680</v>
      </c>
      <c r="CO2">
        <v>11</v>
      </c>
      <c r="CP2">
        <v>292</v>
      </c>
      <c r="CQ2">
        <v>88</v>
      </c>
      <c r="CR2">
        <v>0.01</v>
      </c>
      <c r="CS2">
        <v>0</v>
      </c>
      <c r="CT2" t="s">
        <v>1915</v>
      </c>
      <c r="CU2">
        <v>125</v>
      </c>
      <c r="CV2">
        <v>112</v>
      </c>
      <c r="CW2">
        <v>0.6</v>
      </c>
      <c r="CX2">
        <v>0.6</v>
      </c>
      <c r="CY2">
        <v>3.3</v>
      </c>
      <c r="CZ2">
        <v>3.7</v>
      </c>
      <c r="DA2">
        <v>1</v>
      </c>
      <c r="DB2">
        <v>1</v>
      </c>
      <c r="DC2">
        <v>0</v>
      </c>
      <c r="DD2">
        <v>0</v>
      </c>
      <c r="DE2">
        <v>0</v>
      </c>
      <c r="DF2">
        <v>0</v>
      </c>
      <c r="DG2">
        <v>95.75</v>
      </c>
      <c r="DH2">
        <v>43.47</v>
      </c>
      <c r="DI2">
        <v>0</v>
      </c>
      <c r="DJ2" t="s">
        <v>1916</v>
      </c>
      <c r="DK2" t="s">
        <v>1917</v>
      </c>
      <c r="DL2" t="s">
        <v>1918</v>
      </c>
      <c r="DM2">
        <v>31.84</v>
      </c>
      <c r="DN2">
        <v>194.2</v>
      </c>
      <c r="EL2">
        <v>0</v>
      </c>
      <c r="EM2" t="s">
        <v>115</v>
      </c>
    </row>
    <row r="3" spans="1:143" x14ac:dyDescent="0.35">
      <c r="A3" t="s">
        <v>9</v>
      </c>
      <c r="B3" t="s">
        <v>121</v>
      </c>
      <c r="C3" t="s">
        <v>116</v>
      </c>
      <c r="D3" t="s">
        <v>120</v>
      </c>
      <c r="G3" t="s">
        <v>1919</v>
      </c>
      <c r="H3" t="s">
        <v>1920</v>
      </c>
      <c r="L3" t="s">
        <v>1896</v>
      </c>
      <c r="M3" t="s">
        <v>1921</v>
      </c>
      <c r="N3" t="s">
        <v>1898</v>
      </c>
      <c r="R3" t="s">
        <v>119</v>
      </c>
      <c r="S3" t="s">
        <v>122</v>
      </c>
      <c r="T3" t="s">
        <v>117</v>
      </c>
      <c r="V3" t="s">
        <v>1922</v>
      </c>
      <c r="W3" t="s">
        <v>1923</v>
      </c>
      <c r="X3" t="s">
        <v>13</v>
      </c>
      <c r="Z3" t="s">
        <v>1924</v>
      </c>
      <c r="AA3" t="s">
        <v>1925</v>
      </c>
      <c r="AB3">
        <v>4</v>
      </c>
      <c r="AC3">
        <v>10</v>
      </c>
      <c r="AD3" t="s">
        <v>1926</v>
      </c>
      <c r="AE3">
        <v>2003</v>
      </c>
      <c r="AF3" t="s">
        <v>1927</v>
      </c>
      <c r="AG3" t="s">
        <v>1928</v>
      </c>
      <c r="AH3" t="s">
        <v>1929</v>
      </c>
      <c r="AI3">
        <v>85400</v>
      </c>
      <c r="AJ3">
        <v>0</v>
      </c>
      <c r="AL3">
        <v>0</v>
      </c>
      <c r="AS3" t="b">
        <v>1</v>
      </c>
      <c r="AV3" t="s">
        <v>122</v>
      </c>
      <c r="AW3" t="s">
        <v>1930</v>
      </c>
      <c r="AX3" t="s">
        <v>125</v>
      </c>
      <c r="AY3" t="b">
        <v>1</v>
      </c>
      <c r="AZ3" t="b">
        <v>1</v>
      </c>
      <c r="BA3" t="s">
        <v>1931</v>
      </c>
      <c r="BD3" t="s">
        <v>1932</v>
      </c>
      <c r="BF3" t="s">
        <v>1906</v>
      </c>
      <c r="BG3" t="s">
        <v>1933</v>
      </c>
      <c r="BI3" t="s">
        <v>122</v>
      </c>
      <c r="BK3" t="b">
        <v>0</v>
      </c>
      <c r="BM3" t="s">
        <v>123</v>
      </c>
      <c r="BN3" t="s">
        <v>123</v>
      </c>
      <c r="BO3" t="s">
        <v>123</v>
      </c>
      <c r="BQ3" t="s">
        <v>1924</v>
      </c>
      <c r="BR3">
        <v>4</v>
      </c>
      <c r="BS3">
        <v>10</v>
      </c>
      <c r="BU3" t="s">
        <v>1908</v>
      </c>
      <c r="BV3">
        <v>2</v>
      </c>
      <c r="BW3" t="s">
        <v>1934</v>
      </c>
      <c r="BX3" t="s">
        <v>1935</v>
      </c>
      <c r="BY3" t="s">
        <v>1911</v>
      </c>
      <c r="CA3" t="s">
        <v>1936</v>
      </c>
      <c r="CB3" t="s">
        <v>1937</v>
      </c>
      <c r="CC3" t="s">
        <v>1938</v>
      </c>
      <c r="CD3" t="s">
        <v>1939</v>
      </c>
      <c r="CE3">
        <v>56.5</v>
      </c>
      <c r="CF3">
        <v>38.5</v>
      </c>
      <c r="CG3">
        <v>52.8</v>
      </c>
      <c r="CH3">
        <v>1012</v>
      </c>
      <c r="CI3">
        <v>48</v>
      </c>
      <c r="CJ3">
        <v>39</v>
      </c>
      <c r="CK3">
        <v>63.6</v>
      </c>
      <c r="CL3">
        <v>56.5</v>
      </c>
      <c r="CM3">
        <v>52.8</v>
      </c>
      <c r="CN3">
        <v>31680</v>
      </c>
      <c r="CO3">
        <v>15.9</v>
      </c>
      <c r="CP3">
        <v>249</v>
      </c>
      <c r="CQ3">
        <v>67</v>
      </c>
      <c r="CR3">
        <v>0</v>
      </c>
      <c r="CS3">
        <v>0</v>
      </c>
      <c r="CT3" t="s">
        <v>1915</v>
      </c>
      <c r="CU3">
        <v>171.8500061035156</v>
      </c>
      <c r="CV3">
        <v>69</v>
      </c>
      <c r="CW3">
        <v>9.6499996185302734</v>
      </c>
      <c r="CX3">
        <v>6.5500001907348633</v>
      </c>
      <c r="CY3">
        <v>8.6499996185302734</v>
      </c>
      <c r="CZ3">
        <v>9.1499996185302734</v>
      </c>
      <c r="DA3">
        <v>1</v>
      </c>
      <c r="DB3">
        <v>1</v>
      </c>
      <c r="DC3">
        <v>0</v>
      </c>
      <c r="DD3">
        <v>0</v>
      </c>
      <c r="DE3">
        <v>140.68</v>
      </c>
      <c r="DF3">
        <v>164.23</v>
      </c>
      <c r="DG3">
        <v>0</v>
      </c>
      <c r="DH3">
        <v>0</v>
      </c>
      <c r="DI3">
        <v>0</v>
      </c>
      <c r="DJ3" t="s">
        <v>1940</v>
      </c>
      <c r="DM3">
        <v>27.64</v>
      </c>
      <c r="DN3">
        <v>180</v>
      </c>
      <c r="EL3">
        <v>0</v>
      </c>
      <c r="EM3" t="s">
        <v>124</v>
      </c>
    </row>
    <row r="4" spans="1:143" x14ac:dyDescent="0.35">
      <c r="A4" t="s">
        <v>9</v>
      </c>
      <c r="B4" t="s">
        <v>126</v>
      </c>
      <c r="C4" t="s">
        <v>116</v>
      </c>
      <c r="D4" t="s">
        <v>120</v>
      </c>
      <c r="G4" t="s">
        <v>1894</v>
      </c>
      <c r="H4" t="s">
        <v>1895</v>
      </c>
      <c r="J4" t="s">
        <v>1941</v>
      </c>
      <c r="L4" t="s">
        <v>1896</v>
      </c>
      <c r="M4" t="s">
        <v>1897</v>
      </c>
      <c r="N4" t="s">
        <v>1898</v>
      </c>
      <c r="R4" t="s">
        <v>119</v>
      </c>
      <c r="S4" t="s">
        <v>127</v>
      </c>
      <c r="T4" t="s">
        <v>117</v>
      </c>
      <c r="Z4" t="s">
        <v>1942</v>
      </c>
      <c r="AA4" t="s">
        <v>1943</v>
      </c>
      <c r="AB4">
        <v>4</v>
      </c>
      <c r="AC4">
        <v>6</v>
      </c>
      <c r="AD4" t="s">
        <v>1944</v>
      </c>
      <c r="AG4" t="s">
        <v>1945</v>
      </c>
      <c r="AH4" t="s">
        <v>1929</v>
      </c>
      <c r="AI4">
        <v>50000</v>
      </c>
      <c r="AJ4">
        <v>0</v>
      </c>
      <c r="AL4">
        <v>0</v>
      </c>
      <c r="AS4" t="b">
        <v>0</v>
      </c>
      <c r="AV4" t="s">
        <v>127</v>
      </c>
      <c r="AX4" t="s">
        <v>130</v>
      </c>
      <c r="AY4" t="b">
        <v>1</v>
      </c>
      <c r="AZ4" t="b">
        <v>1</v>
      </c>
      <c r="BA4" t="s">
        <v>1946</v>
      </c>
      <c r="BD4" t="s">
        <v>1947</v>
      </c>
      <c r="BI4" t="s">
        <v>127</v>
      </c>
      <c r="BK4" t="b">
        <v>0</v>
      </c>
      <c r="BM4" t="s">
        <v>128</v>
      </c>
      <c r="BN4" t="s">
        <v>128</v>
      </c>
      <c r="BO4" t="s">
        <v>128</v>
      </c>
      <c r="BQ4" t="s">
        <v>1942</v>
      </c>
      <c r="BR4">
        <v>4</v>
      </c>
      <c r="BS4">
        <v>6</v>
      </c>
      <c r="BU4" t="s">
        <v>1908</v>
      </c>
      <c r="BV4">
        <v>0</v>
      </c>
      <c r="BW4" t="s">
        <v>1948</v>
      </c>
      <c r="BX4" t="s">
        <v>1949</v>
      </c>
      <c r="BY4" t="s">
        <v>1911</v>
      </c>
      <c r="CA4" t="s">
        <v>1950</v>
      </c>
      <c r="EL4">
        <v>0</v>
      </c>
      <c r="EM4" t="s">
        <v>129</v>
      </c>
    </row>
    <row r="5" spans="1:143" x14ac:dyDescent="0.35">
      <c r="A5" t="s">
        <v>9</v>
      </c>
      <c r="B5" t="s">
        <v>131</v>
      </c>
      <c r="C5" t="s">
        <v>116</v>
      </c>
      <c r="D5" t="s">
        <v>120</v>
      </c>
      <c r="G5" t="s">
        <v>1951</v>
      </c>
      <c r="H5" t="s">
        <v>1920</v>
      </c>
      <c r="L5" t="s">
        <v>1896</v>
      </c>
      <c r="M5" t="s">
        <v>1897</v>
      </c>
      <c r="N5" t="s">
        <v>1898</v>
      </c>
      <c r="R5" t="s">
        <v>119</v>
      </c>
      <c r="S5" t="s">
        <v>132</v>
      </c>
      <c r="T5" t="s">
        <v>117</v>
      </c>
      <c r="Z5" t="s">
        <v>1952</v>
      </c>
      <c r="AA5" t="s">
        <v>1953</v>
      </c>
      <c r="AB5">
        <v>5</v>
      </c>
      <c r="AC5">
        <v>8</v>
      </c>
      <c r="AD5" t="s">
        <v>1954</v>
      </c>
      <c r="AE5">
        <v>1986</v>
      </c>
      <c r="AG5" t="s">
        <v>1928</v>
      </c>
      <c r="AH5" t="s">
        <v>1929</v>
      </c>
      <c r="AI5">
        <v>56400</v>
      </c>
      <c r="AJ5">
        <v>0</v>
      </c>
      <c r="AL5">
        <v>0</v>
      </c>
      <c r="AS5" t="b">
        <v>1</v>
      </c>
      <c r="AV5" t="s">
        <v>132</v>
      </c>
      <c r="AW5" t="s">
        <v>1955</v>
      </c>
      <c r="AX5" t="s">
        <v>135</v>
      </c>
      <c r="AY5" t="b">
        <v>1</v>
      </c>
      <c r="AZ5" t="b">
        <v>1</v>
      </c>
      <c r="BA5" t="s">
        <v>1956</v>
      </c>
      <c r="BD5" t="s">
        <v>1957</v>
      </c>
      <c r="BF5" t="s">
        <v>1906</v>
      </c>
      <c r="BG5" t="s">
        <v>1958</v>
      </c>
      <c r="BI5" t="s">
        <v>132</v>
      </c>
      <c r="BK5" t="b">
        <v>0</v>
      </c>
      <c r="BM5" t="s">
        <v>133</v>
      </c>
      <c r="BN5" t="s">
        <v>133</v>
      </c>
      <c r="BO5" t="s">
        <v>133</v>
      </c>
      <c r="BQ5" t="s">
        <v>1952</v>
      </c>
      <c r="BR5">
        <v>5</v>
      </c>
      <c r="BS5">
        <v>8</v>
      </c>
      <c r="BU5" t="s">
        <v>1908</v>
      </c>
      <c r="BV5">
        <v>0.1</v>
      </c>
      <c r="BW5" t="s">
        <v>1948</v>
      </c>
      <c r="BX5" t="s">
        <v>1910</v>
      </c>
      <c r="BY5" t="s">
        <v>1911</v>
      </c>
      <c r="CA5" t="s">
        <v>1959</v>
      </c>
      <c r="CB5" t="s">
        <v>1960</v>
      </c>
      <c r="CC5" t="s">
        <v>1961</v>
      </c>
      <c r="CD5" t="s">
        <v>1962</v>
      </c>
      <c r="CE5">
        <v>51.1</v>
      </c>
      <c r="CF5">
        <v>32.5</v>
      </c>
      <c r="CG5">
        <v>48.2</v>
      </c>
      <c r="CH5">
        <v>1021</v>
      </c>
      <c r="CI5">
        <v>47</v>
      </c>
      <c r="CJ5">
        <v>37.9</v>
      </c>
      <c r="CK5">
        <v>54.4</v>
      </c>
      <c r="CL5">
        <v>51.1</v>
      </c>
      <c r="CM5">
        <v>48.2</v>
      </c>
      <c r="CN5">
        <v>31680</v>
      </c>
      <c r="CO5">
        <v>7.6</v>
      </c>
      <c r="CP5">
        <v>93</v>
      </c>
      <c r="CQ5">
        <v>33</v>
      </c>
      <c r="CR5">
        <v>0</v>
      </c>
      <c r="CS5">
        <v>0</v>
      </c>
      <c r="CT5" t="s">
        <v>1915</v>
      </c>
      <c r="CU5">
        <v>153.8500061035156</v>
      </c>
      <c r="CV5">
        <v>99</v>
      </c>
      <c r="CW5">
        <v>2.6500000953674321</v>
      </c>
      <c r="CX5">
        <v>1.549999952316284</v>
      </c>
      <c r="CY5">
        <v>3.0499999523162842</v>
      </c>
      <c r="CZ5">
        <v>4.4499998092651367</v>
      </c>
      <c r="DA5">
        <v>1</v>
      </c>
      <c r="DB5">
        <v>1</v>
      </c>
      <c r="DC5">
        <v>0</v>
      </c>
      <c r="DD5">
        <v>0</v>
      </c>
      <c r="DE5">
        <v>210.25</v>
      </c>
      <c r="DF5">
        <v>287.58999999999997</v>
      </c>
      <c r="DG5">
        <v>0</v>
      </c>
      <c r="DH5">
        <v>0</v>
      </c>
      <c r="DI5">
        <v>0</v>
      </c>
      <c r="DJ5" t="s">
        <v>1916</v>
      </c>
      <c r="DM5">
        <v>31.84</v>
      </c>
      <c r="DN5">
        <v>194.2</v>
      </c>
      <c r="EL5">
        <v>0</v>
      </c>
      <c r="EM5" t="s">
        <v>134</v>
      </c>
    </row>
    <row r="6" spans="1:143" x14ac:dyDescent="0.35">
      <c r="A6" t="s">
        <v>9</v>
      </c>
      <c r="B6" t="s">
        <v>136</v>
      </c>
      <c r="C6" t="s">
        <v>116</v>
      </c>
      <c r="D6" t="s">
        <v>120</v>
      </c>
      <c r="G6" t="s">
        <v>1963</v>
      </c>
      <c r="H6" t="s">
        <v>1920</v>
      </c>
      <c r="L6" t="s">
        <v>1896</v>
      </c>
      <c r="M6" t="s">
        <v>1897</v>
      </c>
      <c r="N6" t="s">
        <v>1898</v>
      </c>
      <c r="R6" t="s">
        <v>119</v>
      </c>
      <c r="S6" t="s">
        <v>137</v>
      </c>
      <c r="T6" t="s">
        <v>117</v>
      </c>
      <c r="Z6" t="s">
        <v>1964</v>
      </c>
      <c r="AA6" t="s">
        <v>1965</v>
      </c>
      <c r="AB6">
        <v>1</v>
      </c>
      <c r="AC6">
        <v>2</v>
      </c>
      <c r="AD6" t="s">
        <v>1966</v>
      </c>
      <c r="AE6">
        <v>1850</v>
      </c>
      <c r="AG6" t="s">
        <v>1967</v>
      </c>
      <c r="AH6" t="s">
        <v>1903</v>
      </c>
      <c r="AI6">
        <v>70413</v>
      </c>
      <c r="AJ6">
        <v>0</v>
      </c>
      <c r="AL6">
        <v>0</v>
      </c>
      <c r="AS6" t="b">
        <v>1</v>
      </c>
      <c r="AU6">
        <v>0</v>
      </c>
      <c r="AV6" t="s">
        <v>137</v>
      </c>
      <c r="AW6" t="s">
        <v>1968</v>
      </c>
      <c r="AX6" t="s">
        <v>140</v>
      </c>
      <c r="AY6" t="b">
        <v>1</v>
      </c>
      <c r="AZ6" t="b">
        <v>1</v>
      </c>
      <c r="BA6" t="s">
        <v>1956</v>
      </c>
      <c r="BD6" t="s">
        <v>1969</v>
      </c>
      <c r="BF6" t="s">
        <v>1906</v>
      </c>
      <c r="BG6" t="s">
        <v>1907</v>
      </c>
      <c r="BI6" t="s">
        <v>137</v>
      </c>
      <c r="BK6" t="b">
        <v>0</v>
      </c>
      <c r="BM6" t="s">
        <v>138</v>
      </c>
      <c r="BN6" t="s">
        <v>138</v>
      </c>
      <c r="BO6" t="s">
        <v>138</v>
      </c>
      <c r="BQ6" t="s">
        <v>1964</v>
      </c>
      <c r="BR6">
        <v>1</v>
      </c>
      <c r="BS6">
        <v>2</v>
      </c>
      <c r="BU6" t="s">
        <v>1908</v>
      </c>
      <c r="BW6" t="s">
        <v>1948</v>
      </c>
      <c r="BX6" t="s">
        <v>1949</v>
      </c>
      <c r="BY6" t="s">
        <v>1970</v>
      </c>
      <c r="CA6" t="s">
        <v>1950</v>
      </c>
      <c r="CB6" t="s">
        <v>1971</v>
      </c>
      <c r="CC6" t="s">
        <v>1972</v>
      </c>
      <c r="CD6" t="s">
        <v>1973</v>
      </c>
      <c r="CE6">
        <v>45.5</v>
      </c>
      <c r="CF6">
        <v>29.7</v>
      </c>
      <c r="CG6">
        <v>40.6</v>
      </c>
      <c r="CH6">
        <v>1028</v>
      </c>
      <c r="CI6">
        <v>54</v>
      </c>
      <c r="CJ6">
        <v>38.299999999999997</v>
      </c>
      <c r="CK6">
        <v>50.2</v>
      </c>
      <c r="CL6">
        <v>45.5</v>
      </c>
      <c r="CM6">
        <v>40.6</v>
      </c>
      <c r="CN6">
        <v>31680</v>
      </c>
      <c r="CO6">
        <v>6.7</v>
      </c>
      <c r="CP6">
        <v>202</v>
      </c>
      <c r="CQ6">
        <v>100</v>
      </c>
      <c r="CR6">
        <v>0</v>
      </c>
      <c r="CS6">
        <v>0</v>
      </c>
      <c r="CT6" t="s">
        <v>1915</v>
      </c>
      <c r="CU6">
        <v>172.8500061035156</v>
      </c>
      <c r="CV6">
        <v>109</v>
      </c>
      <c r="CW6">
        <v>4.9499998092651367</v>
      </c>
      <c r="CX6">
        <v>2.1500000953674321</v>
      </c>
      <c r="CY6">
        <v>4.9499998092651367</v>
      </c>
      <c r="CZ6">
        <v>5.5500001907348633</v>
      </c>
      <c r="DA6">
        <v>1</v>
      </c>
      <c r="DB6">
        <v>1</v>
      </c>
      <c r="DC6">
        <v>0</v>
      </c>
      <c r="DD6">
        <v>0</v>
      </c>
      <c r="DE6">
        <v>89.76</v>
      </c>
      <c r="DF6">
        <v>132.71</v>
      </c>
      <c r="DG6">
        <v>0</v>
      </c>
      <c r="DH6">
        <v>0</v>
      </c>
      <c r="DI6">
        <v>0</v>
      </c>
      <c r="DJ6" t="s">
        <v>1916</v>
      </c>
      <c r="DM6">
        <v>31.84</v>
      </c>
      <c r="DN6">
        <v>194.2</v>
      </c>
      <c r="EL6">
        <v>0</v>
      </c>
      <c r="EM6" t="s">
        <v>139</v>
      </c>
    </row>
    <row r="7" spans="1:143" x14ac:dyDescent="0.35">
      <c r="A7" t="s">
        <v>11</v>
      </c>
      <c r="B7" t="s">
        <v>141</v>
      </c>
      <c r="C7" t="s">
        <v>116</v>
      </c>
      <c r="D7" t="s">
        <v>146</v>
      </c>
      <c r="K7" t="s">
        <v>1974</v>
      </c>
      <c r="L7" t="s">
        <v>1896</v>
      </c>
      <c r="M7" t="s">
        <v>1975</v>
      </c>
      <c r="N7" t="s">
        <v>1898</v>
      </c>
      <c r="R7" t="s">
        <v>119</v>
      </c>
      <c r="S7" t="s">
        <v>142</v>
      </c>
      <c r="T7" t="s">
        <v>117</v>
      </c>
      <c r="Z7" t="s">
        <v>1976</v>
      </c>
      <c r="AB7">
        <v>1</v>
      </c>
      <c r="AC7">
        <v>8</v>
      </c>
      <c r="AD7" t="s">
        <v>1966</v>
      </c>
      <c r="AJ7">
        <v>0</v>
      </c>
      <c r="AL7">
        <v>0</v>
      </c>
      <c r="AS7" t="b">
        <v>1</v>
      </c>
      <c r="AU7">
        <v>0</v>
      </c>
      <c r="AV7" t="s">
        <v>142</v>
      </c>
      <c r="AX7" t="s">
        <v>145</v>
      </c>
      <c r="AY7" t="b">
        <v>1</v>
      </c>
      <c r="AZ7" t="b">
        <v>1</v>
      </c>
      <c r="BA7" t="s">
        <v>1977</v>
      </c>
      <c r="BF7" t="s">
        <v>1906</v>
      </c>
      <c r="BG7" t="s">
        <v>1907</v>
      </c>
      <c r="BI7" t="s">
        <v>142</v>
      </c>
      <c r="BK7" t="b">
        <v>0</v>
      </c>
      <c r="BM7" t="s">
        <v>143</v>
      </c>
      <c r="BN7" t="s">
        <v>143</v>
      </c>
      <c r="BO7" t="s">
        <v>143</v>
      </c>
      <c r="BQ7" t="s">
        <v>1976</v>
      </c>
      <c r="BR7">
        <v>1</v>
      </c>
      <c r="BS7">
        <v>8</v>
      </c>
      <c r="CB7" t="s">
        <v>1978</v>
      </c>
      <c r="CC7" t="s">
        <v>1972</v>
      </c>
      <c r="CD7" t="s">
        <v>1973</v>
      </c>
      <c r="CE7">
        <v>32.4</v>
      </c>
      <c r="CF7">
        <v>9</v>
      </c>
      <c r="CG7">
        <v>24.3</v>
      </c>
      <c r="CH7">
        <v>1032</v>
      </c>
      <c r="CI7">
        <v>39</v>
      </c>
      <c r="CJ7">
        <v>21.7</v>
      </c>
      <c r="CK7">
        <v>40.5</v>
      </c>
      <c r="CL7">
        <v>32.4</v>
      </c>
      <c r="CM7">
        <v>24.3</v>
      </c>
      <c r="CN7">
        <v>31680</v>
      </c>
      <c r="CO7">
        <v>10.1</v>
      </c>
      <c r="CP7">
        <v>238</v>
      </c>
      <c r="CQ7">
        <v>92</v>
      </c>
      <c r="CR7">
        <v>0</v>
      </c>
      <c r="CS7">
        <v>0</v>
      </c>
      <c r="CT7" t="s">
        <v>1915</v>
      </c>
      <c r="DJ7" t="s">
        <v>1979</v>
      </c>
      <c r="DM7">
        <v>35.83</v>
      </c>
      <c r="DN7">
        <v>97.5</v>
      </c>
      <c r="EL7">
        <v>0</v>
      </c>
      <c r="EM7" t="s">
        <v>144</v>
      </c>
    </row>
    <row r="8" spans="1:143" x14ac:dyDescent="0.35">
      <c r="A8" t="s">
        <v>13</v>
      </c>
      <c r="B8" t="s">
        <v>147</v>
      </c>
      <c r="C8" t="s">
        <v>151</v>
      </c>
      <c r="D8" t="s">
        <v>120</v>
      </c>
      <c r="G8" t="s">
        <v>1980</v>
      </c>
      <c r="H8" t="s">
        <v>1920</v>
      </c>
      <c r="K8" t="s">
        <v>1981</v>
      </c>
      <c r="L8" t="s">
        <v>1896</v>
      </c>
      <c r="M8" t="s">
        <v>1921</v>
      </c>
      <c r="N8" t="s">
        <v>1898</v>
      </c>
      <c r="R8" t="s">
        <v>153</v>
      </c>
      <c r="S8" t="s">
        <v>148</v>
      </c>
      <c r="T8" t="s">
        <v>117</v>
      </c>
      <c r="V8" t="s">
        <v>1982</v>
      </c>
      <c r="W8" t="s">
        <v>1983</v>
      </c>
      <c r="X8" t="s">
        <v>1984</v>
      </c>
      <c r="Y8" t="s">
        <v>1985</v>
      </c>
      <c r="AB8">
        <v>0</v>
      </c>
      <c r="AC8">
        <v>0</v>
      </c>
      <c r="AE8">
        <v>1981</v>
      </c>
      <c r="AF8" t="s">
        <v>1927</v>
      </c>
      <c r="AG8" t="s">
        <v>1986</v>
      </c>
      <c r="AH8" t="s">
        <v>1903</v>
      </c>
      <c r="AI8">
        <v>147800</v>
      </c>
      <c r="AJ8">
        <v>0</v>
      </c>
      <c r="AL8">
        <v>0</v>
      </c>
      <c r="AS8" t="b">
        <v>1</v>
      </c>
      <c r="AT8">
        <v>0</v>
      </c>
      <c r="AU8">
        <v>0</v>
      </c>
      <c r="AV8" t="s">
        <v>148</v>
      </c>
      <c r="AX8" t="s">
        <v>152</v>
      </c>
      <c r="BA8" t="s">
        <v>1987</v>
      </c>
      <c r="BD8" t="s">
        <v>1988</v>
      </c>
      <c r="BF8" t="s">
        <v>1906</v>
      </c>
      <c r="BG8" t="s">
        <v>1989</v>
      </c>
      <c r="BI8" t="s">
        <v>1990</v>
      </c>
      <c r="BJ8" t="s">
        <v>1991</v>
      </c>
      <c r="BL8" t="s">
        <v>1992</v>
      </c>
      <c r="BM8" t="s">
        <v>149</v>
      </c>
      <c r="BN8" t="s">
        <v>149</v>
      </c>
      <c r="BO8" t="s">
        <v>149</v>
      </c>
      <c r="BR8">
        <v>7</v>
      </c>
      <c r="BS8">
        <v>15</v>
      </c>
      <c r="BU8" t="s">
        <v>1908</v>
      </c>
      <c r="BV8">
        <v>0</v>
      </c>
      <c r="BW8" t="s">
        <v>1993</v>
      </c>
      <c r="BX8" t="s">
        <v>1994</v>
      </c>
      <c r="BY8" t="s">
        <v>1911</v>
      </c>
      <c r="BZ8" t="s">
        <v>1995</v>
      </c>
      <c r="CA8" t="s">
        <v>1950</v>
      </c>
      <c r="CB8" t="s">
        <v>149</v>
      </c>
      <c r="CC8" t="s">
        <v>1996</v>
      </c>
      <c r="CD8" t="s">
        <v>1997</v>
      </c>
      <c r="CE8">
        <v>73.900000000000006</v>
      </c>
      <c r="CF8">
        <v>52.3</v>
      </c>
      <c r="CG8">
        <v>76.400000000000006</v>
      </c>
      <c r="CH8">
        <v>1008</v>
      </c>
      <c r="CI8">
        <v>45</v>
      </c>
      <c r="CJ8">
        <v>48.9</v>
      </c>
      <c r="CK8">
        <v>76.099999999999994</v>
      </c>
      <c r="CL8">
        <v>76.400000000000006</v>
      </c>
      <c r="CM8">
        <v>73.900000000000006</v>
      </c>
      <c r="CN8">
        <v>31680</v>
      </c>
      <c r="CO8">
        <v>15.9</v>
      </c>
      <c r="CP8">
        <v>203</v>
      </c>
      <c r="CQ8">
        <v>11</v>
      </c>
      <c r="CR8">
        <v>0</v>
      </c>
      <c r="CS8">
        <v>0</v>
      </c>
      <c r="CT8" t="s">
        <v>1915</v>
      </c>
      <c r="CU8">
        <v>166.8500061035156</v>
      </c>
      <c r="CV8">
        <v>145</v>
      </c>
      <c r="CW8">
        <v>3.6500000953674321</v>
      </c>
      <c r="CX8">
        <v>3.8499999046325679</v>
      </c>
      <c r="CY8">
        <v>10.55000019073486</v>
      </c>
      <c r="CZ8">
        <v>11.35000038146973</v>
      </c>
      <c r="DA8">
        <v>1</v>
      </c>
      <c r="DB8">
        <v>1</v>
      </c>
      <c r="DC8">
        <v>0</v>
      </c>
      <c r="DD8">
        <v>0</v>
      </c>
      <c r="DE8">
        <v>370.65</v>
      </c>
      <c r="DF8">
        <v>372.74</v>
      </c>
      <c r="DG8">
        <v>0</v>
      </c>
      <c r="DH8">
        <v>0</v>
      </c>
      <c r="DI8">
        <v>0</v>
      </c>
      <c r="DJ8" t="s">
        <v>1940</v>
      </c>
      <c r="DM8">
        <v>27.64</v>
      </c>
      <c r="DN8">
        <v>180</v>
      </c>
      <c r="EL8">
        <v>0</v>
      </c>
      <c r="EM8" t="s">
        <v>150</v>
      </c>
    </row>
    <row r="9" spans="1:143" x14ac:dyDescent="0.35">
      <c r="A9" t="s">
        <v>13</v>
      </c>
      <c r="B9" t="s">
        <v>154</v>
      </c>
      <c r="C9" t="s">
        <v>151</v>
      </c>
      <c r="D9" t="s">
        <v>146</v>
      </c>
      <c r="G9" t="s">
        <v>1919</v>
      </c>
      <c r="K9" t="s">
        <v>1981</v>
      </c>
      <c r="L9" t="s">
        <v>1896</v>
      </c>
      <c r="M9" t="s">
        <v>1921</v>
      </c>
      <c r="N9" t="s">
        <v>1898</v>
      </c>
      <c r="R9" t="s">
        <v>153</v>
      </c>
      <c r="S9" t="s">
        <v>155</v>
      </c>
      <c r="T9" t="s">
        <v>117</v>
      </c>
      <c r="V9" t="s">
        <v>1998</v>
      </c>
      <c r="W9" t="s">
        <v>1999</v>
      </c>
      <c r="X9" t="s">
        <v>2000</v>
      </c>
      <c r="Y9" t="s">
        <v>2001</v>
      </c>
      <c r="AB9">
        <v>0</v>
      </c>
      <c r="AC9">
        <v>0</v>
      </c>
      <c r="AJ9">
        <v>0</v>
      </c>
      <c r="AL9">
        <v>1</v>
      </c>
      <c r="AM9" t="s">
        <v>2002</v>
      </c>
      <c r="AN9" t="s">
        <v>2003</v>
      </c>
      <c r="AS9" t="b">
        <v>1</v>
      </c>
      <c r="AT9">
        <v>0</v>
      </c>
      <c r="AU9">
        <v>0</v>
      </c>
      <c r="AV9" t="s">
        <v>155</v>
      </c>
      <c r="AW9" t="s">
        <v>2004</v>
      </c>
      <c r="AX9" t="s">
        <v>158</v>
      </c>
      <c r="BA9" t="s">
        <v>1931</v>
      </c>
      <c r="BF9" t="s">
        <v>1906</v>
      </c>
      <c r="BG9" t="s">
        <v>2005</v>
      </c>
      <c r="BI9" t="s">
        <v>2006</v>
      </c>
      <c r="BJ9" t="s">
        <v>2007</v>
      </c>
      <c r="BL9" t="s">
        <v>2008</v>
      </c>
      <c r="BM9" t="s">
        <v>156</v>
      </c>
      <c r="BN9" t="s">
        <v>156</v>
      </c>
      <c r="BO9" t="s">
        <v>156</v>
      </c>
      <c r="BR9">
        <v>7</v>
      </c>
      <c r="BS9">
        <v>14</v>
      </c>
      <c r="BU9" t="s">
        <v>1908</v>
      </c>
      <c r="BV9">
        <v>2</v>
      </c>
      <c r="BW9" t="s">
        <v>1948</v>
      </c>
      <c r="BX9" t="s">
        <v>1994</v>
      </c>
      <c r="BY9" t="s">
        <v>1911</v>
      </c>
      <c r="BZ9" t="s">
        <v>1995</v>
      </c>
      <c r="CA9" t="s">
        <v>1950</v>
      </c>
      <c r="CB9" t="s">
        <v>2009</v>
      </c>
      <c r="CC9" t="s">
        <v>1996</v>
      </c>
      <c r="CD9" t="s">
        <v>1997</v>
      </c>
      <c r="CE9">
        <v>53.8</v>
      </c>
      <c r="CF9">
        <v>38.1</v>
      </c>
      <c r="CG9">
        <v>49.7</v>
      </c>
      <c r="CH9">
        <v>1012</v>
      </c>
      <c r="CI9">
        <v>54</v>
      </c>
      <c r="CJ9">
        <v>39</v>
      </c>
      <c r="CK9">
        <v>63.6</v>
      </c>
      <c r="CL9">
        <v>53.8</v>
      </c>
      <c r="CM9">
        <v>49.7</v>
      </c>
      <c r="CN9">
        <v>31680</v>
      </c>
      <c r="CO9">
        <v>13.9</v>
      </c>
      <c r="CP9">
        <v>244</v>
      </c>
      <c r="CQ9">
        <v>23</v>
      </c>
      <c r="CR9">
        <v>0</v>
      </c>
      <c r="CS9">
        <v>0</v>
      </c>
      <c r="CT9" t="s">
        <v>1915</v>
      </c>
      <c r="CU9">
        <v>171.8500061035156</v>
      </c>
      <c r="CV9">
        <v>60</v>
      </c>
      <c r="CW9">
        <v>10.25</v>
      </c>
      <c r="CX9">
        <v>5.0500001907348633</v>
      </c>
      <c r="CY9">
        <v>8.75</v>
      </c>
      <c r="CZ9">
        <v>9.4499998092651367</v>
      </c>
      <c r="DA9">
        <v>1</v>
      </c>
      <c r="DB9">
        <v>1</v>
      </c>
      <c r="DC9">
        <v>0</v>
      </c>
      <c r="DD9">
        <v>0</v>
      </c>
      <c r="DE9">
        <v>87.73</v>
      </c>
      <c r="DF9">
        <v>101.53</v>
      </c>
      <c r="DG9">
        <v>0</v>
      </c>
      <c r="DH9">
        <v>0</v>
      </c>
      <c r="DI9">
        <v>0</v>
      </c>
      <c r="DJ9" t="s">
        <v>1940</v>
      </c>
      <c r="DM9">
        <v>27.64</v>
      </c>
      <c r="DN9">
        <v>180</v>
      </c>
      <c r="EL9">
        <v>0</v>
      </c>
      <c r="EM9" t="s">
        <v>157</v>
      </c>
    </row>
    <row r="10" spans="1:143" x14ac:dyDescent="0.35">
      <c r="A10" t="s">
        <v>13</v>
      </c>
      <c r="B10" t="s">
        <v>159</v>
      </c>
      <c r="C10" t="s">
        <v>151</v>
      </c>
      <c r="D10" t="s">
        <v>146</v>
      </c>
      <c r="G10" t="s">
        <v>2010</v>
      </c>
      <c r="K10" t="s">
        <v>2011</v>
      </c>
      <c r="L10" t="s">
        <v>1896</v>
      </c>
      <c r="M10" t="s">
        <v>2012</v>
      </c>
      <c r="N10" t="s">
        <v>2013</v>
      </c>
      <c r="R10" t="s">
        <v>153</v>
      </c>
      <c r="S10" t="s">
        <v>160</v>
      </c>
      <c r="T10" t="s">
        <v>117</v>
      </c>
      <c r="V10" t="s">
        <v>2014</v>
      </c>
      <c r="W10" t="s">
        <v>1923</v>
      </c>
      <c r="X10" t="s">
        <v>2015</v>
      </c>
      <c r="AB10">
        <v>0</v>
      </c>
      <c r="AC10">
        <v>0</v>
      </c>
      <c r="AJ10">
        <v>0</v>
      </c>
      <c r="AL10">
        <v>0</v>
      </c>
      <c r="AT10">
        <v>0</v>
      </c>
      <c r="AU10">
        <v>0</v>
      </c>
      <c r="AV10" t="s">
        <v>160</v>
      </c>
      <c r="AX10" t="s">
        <v>163</v>
      </c>
      <c r="BA10" t="s">
        <v>1931</v>
      </c>
      <c r="BF10" t="s">
        <v>2016</v>
      </c>
      <c r="BI10" t="s">
        <v>2017</v>
      </c>
      <c r="BJ10" t="s">
        <v>2018</v>
      </c>
      <c r="BL10" t="s">
        <v>2019</v>
      </c>
      <c r="BM10" t="s">
        <v>161</v>
      </c>
      <c r="BN10" t="s">
        <v>161</v>
      </c>
      <c r="BO10" t="s">
        <v>161</v>
      </c>
      <c r="BR10">
        <v>2</v>
      </c>
      <c r="BS10">
        <v>5</v>
      </c>
      <c r="CB10" t="s">
        <v>2020</v>
      </c>
      <c r="CC10" t="s">
        <v>1938</v>
      </c>
      <c r="CD10" t="s">
        <v>1939</v>
      </c>
      <c r="CE10">
        <v>49.1</v>
      </c>
      <c r="CF10">
        <v>24.8</v>
      </c>
      <c r="CG10">
        <v>47</v>
      </c>
      <c r="CH10">
        <v>1032</v>
      </c>
      <c r="CI10">
        <v>37</v>
      </c>
      <c r="CJ10">
        <v>36.299999999999997</v>
      </c>
      <c r="CK10">
        <v>53.1</v>
      </c>
      <c r="CL10">
        <v>49.1</v>
      </c>
      <c r="CM10">
        <v>47</v>
      </c>
      <c r="CN10">
        <v>31680</v>
      </c>
      <c r="CO10">
        <v>5.0999999999999996</v>
      </c>
      <c r="CP10">
        <v>234</v>
      </c>
      <c r="CQ10">
        <v>61</v>
      </c>
      <c r="CR10">
        <v>0</v>
      </c>
      <c r="CS10">
        <v>0</v>
      </c>
      <c r="CT10" t="s">
        <v>1915</v>
      </c>
      <c r="CU10">
        <v>154.8500061035156</v>
      </c>
      <c r="CV10">
        <v>110</v>
      </c>
      <c r="CW10">
        <v>1.75</v>
      </c>
      <c r="CX10">
        <v>1.450000047683716</v>
      </c>
      <c r="CY10">
        <v>3.9500000476837158</v>
      </c>
      <c r="CZ10">
        <v>4.75</v>
      </c>
      <c r="DA10">
        <v>1</v>
      </c>
      <c r="DB10">
        <v>1</v>
      </c>
      <c r="DC10">
        <v>0</v>
      </c>
      <c r="DD10">
        <v>1.86</v>
      </c>
      <c r="DE10">
        <v>141.68</v>
      </c>
      <c r="DF10">
        <v>194.88</v>
      </c>
      <c r="DG10">
        <v>0</v>
      </c>
      <c r="DH10">
        <v>0</v>
      </c>
      <c r="DI10">
        <v>0</v>
      </c>
      <c r="DJ10" t="s">
        <v>2021</v>
      </c>
      <c r="DK10" t="s">
        <v>2022</v>
      </c>
      <c r="DL10" t="s">
        <v>2023</v>
      </c>
      <c r="DM10">
        <v>37.159999999999997</v>
      </c>
      <c r="DN10">
        <v>169.4</v>
      </c>
      <c r="DO10" t="s">
        <v>2024</v>
      </c>
      <c r="EL10">
        <v>0</v>
      </c>
      <c r="EM10" t="s">
        <v>162</v>
      </c>
    </row>
    <row r="11" spans="1:143" x14ac:dyDescent="0.35">
      <c r="A11" t="s">
        <v>13</v>
      </c>
      <c r="B11" t="s">
        <v>164</v>
      </c>
      <c r="C11" t="s">
        <v>151</v>
      </c>
      <c r="D11" t="s">
        <v>146</v>
      </c>
      <c r="G11" t="s">
        <v>2025</v>
      </c>
      <c r="K11" t="s">
        <v>1981</v>
      </c>
      <c r="L11" t="s">
        <v>1896</v>
      </c>
      <c r="M11" t="s">
        <v>1921</v>
      </c>
      <c r="N11" t="s">
        <v>1898</v>
      </c>
      <c r="R11" t="s">
        <v>153</v>
      </c>
      <c r="S11" t="s">
        <v>165</v>
      </c>
      <c r="U11" t="s">
        <v>2026</v>
      </c>
      <c r="Y11" t="s">
        <v>2027</v>
      </c>
      <c r="AB11">
        <v>0</v>
      </c>
      <c r="AC11">
        <v>0</v>
      </c>
      <c r="AJ11">
        <v>0</v>
      </c>
      <c r="AL11">
        <v>0</v>
      </c>
      <c r="AS11" t="b">
        <v>0</v>
      </c>
      <c r="AT11">
        <v>0</v>
      </c>
      <c r="AU11">
        <v>0</v>
      </c>
      <c r="AV11" t="s">
        <v>165</v>
      </c>
      <c r="AX11" t="s">
        <v>169</v>
      </c>
      <c r="BA11" t="s">
        <v>1931</v>
      </c>
      <c r="BF11" t="s">
        <v>1906</v>
      </c>
      <c r="BG11" t="s">
        <v>2028</v>
      </c>
      <c r="BI11" t="s">
        <v>2029</v>
      </c>
      <c r="BJ11" t="s">
        <v>2030</v>
      </c>
      <c r="BL11" t="s">
        <v>2031</v>
      </c>
      <c r="BM11" t="s">
        <v>166</v>
      </c>
      <c r="BN11" t="s">
        <v>166</v>
      </c>
      <c r="BO11" t="s">
        <v>166</v>
      </c>
      <c r="BR11">
        <v>3</v>
      </c>
      <c r="BS11">
        <v>6</v>
      </c>
      <c r="BU11" t="s">
        <v>1908</v>
      </c>
      <c r="BV11">
        <v>0</v>
      </c>
      <c r="BW11" t="s">
        <v>2032</v>
      </c>
      <c r="BX11" t="s">
        <v>1949</v>
      </c>
      <c r="BY11" t="s">
        <v>2033</v>
      </c>
      <c r="BZ11" t="s">
        <v>1995</v>
      </c>
      <c r="CA11" t="s">
        <v>2034</v>
      </c>
      <c r="CB11" t="s">
        <v>2035</v>
      </c>
      <c r="CC11" t="s">
        <v>1996</v>
      </c>
      <c r="CD11" t="s">
        <v>1997</v>
      </c>
      <c r="CE11">
        <v>49.1</v>
      </c>
      <c r="CF11">
        <v>29.5</v>
      </c>
      <c r="CG11">
        <v>43.5</v>
      </c>
      <c r="CH11">
        <v>1025</v>
      </c>
      <c r="CI11">
        <v>46</v>
      </c>
      <c r="CJ11">
        <v>41</v>
      </c>
      <c r="CK11">
        <v>54.3</v>
      </c>
      <c r="CL11">
        <v>49.1</v>
      </c>
      <c r="CM11">
        <v>43.5</v>
      </c>
      <c r="CN11">
        <v>31680</v>
      </c>
      <c r="CO11">
        <v>14.8</v>
      </c>
      <c r="CP11">
        <v>311</v>
      </c>
      <c r="CQ11">
        <v>0</v>
      </c>
      <c r="CR11">
        <v>0</v>
      </c>
      <c r="CS11">
        <v>0</v>
      </c>
      <c r="CT11" t="s">
        <v>1915</v>
      </c>
      <c r="CU11">
        <v>168.8500061035156</v>
      </c>
      <c r="CV11">
        <v>95</v>
      </c>
      <c r="CW11">
        <v>1.8500000238418579</v>
      </c>
      <c r="CX11">
        <v>1.25</v>
      </c>
      <c r="CY11">
        <v>2.0499999523162842</v>
      </c>
      <c r="CZ11">
        <v>2.25</v>
      </c>
      <c r="DA11">
        <v>1</v>
      </c>
      <c r="DB11">
        <v>1</v>
      </c>
      <c r="DC11">
        <v>0</v>
      </c>
      <c r="DD11">
        <v>2.48</v>
      </c>
      <c r="DE11">
        <v>111.03</v>
      </c>
      <c r="DF11">
        <v>147.15</v>
      </c>
      <c r="DG11">
        <v>0</v>
      </c>
      <c r="DH11">
        <v>0</v>
      </c>
      <c r="DI11">
        <v>0</v>
      </c>
      <c r="DJ11" t="s">
        <v>1940</v>
      </c>
      <c r="DK11" t="s">
        <v>2036</v>
      </c>
      <c r="DL11" t="s">
        <v>2037</v>
      </c>
      <c r="DM11">
        <v>27.64</v>
      </c>
      <c r="DN11">
        <v>180</v>
      </c>
      <c r="DP11">
        <v>0</v>
      </c>
      <c r="DQ11" t="s">
        <v>2038</v>
      </c>
      <c r="DR11" t="s">
        <v>2039</v>
      </c>
      <c r="DS11">
        <v>1018233</v>
      </c>
      <c r="DT11" t="s">
        <v>2040</v>
      </c>
      <c r="DU11" t="s">
        <v>2039</v>
      </c>
      <c r="DV11" t="s">
        <v>2039</v>
      </c>
      <c r="DW11" t="s">
        <v>2039</v>
      </c>
      <c r="DX11" t="s">
        <v>2039</v>
      </c>
      <c r="DY11" t="b">
        <v>0</v>
      </c>
      <c r="DZ11" t="s">
        <v>2041</v>
      </c>
      <c r="EA11">
        <v>83633</v>
      </c>
      <c r="EB11" t="s">
        <v>2040</v>
      </c>
      <c r="EC11">
        <v>83633</v>
      </c>
      <c r="ED11" t="s">
        <v>2040</v>
      </c>
      <c r="EE11" t="s">
        <v>2039</v>
      </c>
      <c r="EL11">
        <v>1</v>
      </c>
      <c r="EM11" t="s">
        <v>167</v>
      </c>
    </row>
    <row r="12" spans="1:143" x14ac:dyDescent="0.35">
      <c r="A12" t="s">
        <v>15</v>
      </c>
      <c r="B12" t="s">
        <v>170</v>
      </c>
      <c r="C12" t="s">
        <v>116</v>
      </c>
      <c r="D12" t="s">
        <v>146</v>
      </c>
      <c r="G12" t="s">
        <v>2042</v>
      </c>
      <c r="K12" t="s">
        <v>2043</v>
      </c>
      <c r="L12" t="s">
        <v>1896</v>
      </c>
      <c r="M12" t="s">
        <v>2044</v>
      </c>
      <c r="N12" t="s">
        <v>1898</v>
      </c>
      <c r="R12" t="s">
        <v>119</v>
      </c>
      <c r="S12" t="s">
        <v>171</v>
      </c>
      <c r="T12" t="s">
        <v>174</v>
      </c>
      <c r="U12" t="s">
        <v>117</v>
      </c>
      <c r="Z12" t="s">
        <v>2045</v>
      </c>
      <c r="AA12" t="s">
        <v>2046</v>
      </c>
      <c r="AB12">
        <v>5</v>
      </c>
      <c r="AC12">
        <v>10</v>
      </c>
      <c r="AJ12">
        <v>0</v>
      </c>
      <c r="AL12">
        <v>0</v>
      </c>
      <c r="AV12" t="s">
        <v>171</v>
      </c>
      <c r="AW12" t="s">
        <v>2047</v>
      </c>
      <c r="AX12" t="s">
        <v>175</v>
      </c>
      <c r="BF12" t="s">
        <v>1906</v>
      </c>
      <c r="BG12" t="s">
        <v>2048</v>
      </c>
      <c r="BI12" t="s">
        <v>171</v>
      </c>
      <c r="BM12" t="s">
        <v>172</v>
      </c>
      <c r="BN12" t="s">
        <v>172</v>
      </c>
      <c r="BO12" t="s">
        <v>172</v>
      </c>
      <c r="BQ12" t="s">
        <v>2045</v>
      </c>
      <c r="BR12">
        <v>5</v>
      </c>
      <c r="BS12">
        <v>10</v>
      </c>
      <c r="BU12" t="s">
        <v>1908</v>
      </c>
      <c r="BW12" t="s">
        <v>1948</v>
      </c>
      <c r="BX12" t="s">
        <v>1949</v>
      </c>
      <c r="BY12" t="s">
        <v>1970</v>
      </c>
      <c r="CB12" t="s">
        <v>2049</v>
      </c>
      <c r="CC12" t="s">
        <v>1972</v>
      </c>
      <c r="CD12" t="s">
        <v>1973</v>
      </c>
      <c r="CE12">
        <v>49.3</v>
      </c>
      <c r="CF12">
        <v>29.3</v>
      </c>
      <c r="CG12">
        <v>45.5</v>
      </c>
      <c r="CH12">
        <v>1028</v>
      </c>
      <c r="CI12">
        <v>43</v>
      </c>
      <c r="CJ12">
        <v>39</v>
      </c>
      <c r="CK12">
        <v>51.8</v>
      </c>
      <c r="CL12">
        <v>49.3</v>
      </c>
      <c r="CM12">
        <v>45.5</v>
      </c>
      <c r="CN12">
        <v>31680</v>
      </c>
      <c r="CO12">
        <v>7.8</v>
      </c>
      <c r="CP12">
        <v>218</v>
      </c>
      <c r="CQ12">
        <v>100</v>
      </c>
      <c r="CR12">
        <v>0</v>
      </c>
      <c r="CS12">
        <v>0</v>
      </c>
      <c r="CT12" t="s">
        <v>1915</v>
      </c>
      <c r="CU12">
        <v>165.8500061035156</v>
      </c>
      <c r="CV12">
        <v>108</v>
      </c>
      <c r="CW12">
        <v>6.4499998092651367</v>
      </c>
      <c r="CX12">
        <v>2.0499999523162842</v>
      </c>
      <c r="CY12">
        <v>5.0500001907348633</v>
      </c>
      <c r="CZ12">
        <v>5.75</v>
      </c>
      <c r="DA12">
        <v>1</v>
      </c>
      <c r="DB12">
        <v>1</v>
      </c>
      <c r="DC12">
        <v>0</v>
      </c>
      <c r="DD12">
        <v>0</v>
      </c>
      <c r="DE12">
        <v>206.56</v>
      </c>
      <c r="DF12">
        <v>258.79000000000002</v>
      </c>
      <c r="DG12">
        <v>0</v>
      </c>
      <c r="DH12">
        <v>0</v>
      </c>
      <c r="DI12">
        <v>0</v>
      </c>
      <c r="DJ12" t="s">
        <v>2050</v>
      </c>
      <c r="DM12">
        <v>11.83</v>
      </c>
      <c r="DN12">
        <v>477.3</v>
      </c>
      <c r="EL12">
        <v>0</v>
      </c>
      <c r="EM12" t="s">
        <v>173</v>
      </c>
    </row>
    <row r="13" spans="1:143" x14ac:dyDescent="0.35">
      <c r="A13" t="s">
        <v>15</v>
      </c>
      <c r="B13" t="s">
        <v>176</v>
      </c>
      <c r="C13" t="s">
        <v>116</v>
      </c>
      <c r="D13" t="s">
        <v>146</v>
      </c>
      <c r="G13" t="s">
        <v>2051</v>
      </c>
      <c r="K13" t="s">
        <v>2043</v>
      </c>
      <c r="L13" t="s">
        <v>1896</v>
      </c>
      <c r="M13" t="s">
        <v>2044</v>
      </c>
      <c r="N13" t="s">
        <v>1898</v>
      </c>
      <c r="R13" t="s">
        <v>119</v>
      </c>
      <c r="S13" t="s">
        <v>177</v>
      </c>
      <c r="T13" t="s">
        <v>117</v>
      </c>
      <c r="Z13" t="s">
        <v>2052</v>
      </c>
      <c r="AA13" t="s">
        <v>2053</v>
      </c>
      <c r="AB13">
        <v>1</v>
      </c>
      <c r="AC13">
        <v>2</v>
      </c>
      <c r="AD13" t="s">
        <v>1966</v>
      </c>
      <c r="AJ13">
        <v>0</v>
      </c>
      <c r="AL13">
        <v>0</v>
      </c>
      <c r="AV13" t="s">
        <v>177</v>
      </c>
      <c r="AX13" t="s">
        <v>180</v>
      </c>
      <c r="BF13" t="s">
        <v>1906</v>
      </c>
      <c r="BG13" t="s">
        <v>1907</v>
      </c>
      <c r="BI13" t="s">
        <v>177</v>
      </c>
      <c r="BK13" t="b">
        <v>0</v>
      </c>
      <c r="BM13" t="s">
        <v>2054</v>
      </c>
      <c r="BN13" t="s">
        <v>178</v>
      </c>
      <c r="BO13" t="s">
        <v>178</v>
      </c>
      <c r="BQ13" t="s">
        <v>2052</v>
      </c>
      <c r="BR13">
        <v>1</v>
      </c>
      <c r="BS13">
        <v>2</v>
      </c>
      <c r="BU13" t="s">
        <v>1908</v>
      </c>
      <c r="BW13" t="s">
        <v>1934</v>
      </c>
      <c r="BX13" t="s">
        <v>1949</v>
      </c>
      <c r="BY13" t="s">
        <v>1911</v>
      </c>
      <c r="CA13" t="s">
        <v>2055</v>
      </c>
      <c r="CB13" t="s">
        <v>2056</v>
      </c>
      <c r="CC13" t="s">
        <v>1961</v>
      </c>
      <c r="CD13" t="s">
        <v>1962</v>
      </c>
      <c r="CE13">
        <v>37.799999999999997</v>
      </c>
      <c r="CF13">
        <v>21.7</v>
      </c>
      <c r="CG13">
        <v>31.1</v>
      </c>
      <c r="CH13">
        <v>1022</v>
      </c>
      <c r="CI13">
        <v>52</v>
      </c>
      <c r="CJ13">
        <v>32.700000000000003</v>
      </c>
      <c r="CK13">
        <v>41.2</v>
      </c>
      <c r="CL13">
        <v>37.799999999999997</v>
      </c>
      <c r="CM13">
        <v>31.1</v>
      </c>
      <c r="CN13">
        <v>31680</v>
      </c>
      <c r="CO13">
        <v>8.1</v>
      </c>
      <c r="CP13">
        <v>286</v>
      </c>
      <c r="CQ13">
        <v>39</v>
      </c>
      <c r="CR13">
        <v>0</v>
      </c>
      <c r="CS13">
        <v>0</v>
      </c>
      <c r="CT13" t="s">
        <v>1915</v>
      </c>
      <c r="DJ13" t="s">
        <v>2057</v>
      </c>
      <c r="DM13">
        <v>26.07</v>
      </c>
      <c r="DN13">
        <v>128</v>
      </c>
      <c r="EL13">
        <v>0</v>
      </c>
      <c r="EM13" t="s">
        <v>179</v>
      </c>
    </row>
    <row r="14" spans="1:143" x14ac:dyDescent="0.35">
      <c r="A14" t="s">
        <v>17</v>
      </c>
      <c r="B14" t="s">
        <v>181</v>
      </c>
      <c r="C14" t="s">
        <v>116</v>
      </c>
      <c r="D14" t="s">
        <v>146</v>
      </c>
      <c r="G14" t="s">
        <v>1894</v>
      </c>
      <c r="K14" t="s">
        <v>2058</v>
      </c>
      <c r="L14" t="s">
        <v>1896</v>
      </c>
      <c r="M14" t="s">
        <v>2059</v>
      </c>
      <c r="N14" t="s">
        <v>1898</v>
      </c>
      <c r="R14" t="s">
        <v>119</v>
      </c>
      <c r="S14" t="s">
        <v>182</v>
      </c>
      <c r="T14" t="s">
        <v>117</v>
      </c>
      <c r="Z14" t="s">
        <v>2060</v>
      </c>
      <c r="AA14" t="s">
        <v>2061</v>
      </c>
      <c r="AB14">
        <v>1</v>
      </c>
      <c r="AC14">
        <v>0</v>
      </c>
      <c r="AJ14">
        <v>0</v>
      </c>
      <c r="AL14">
        <v>0</v>
      </c>
      <c r="AS14" t="b">
        <v>1</v>
      </c>
      <c r="AV14" t="s">
        <v>182</v>
      </c>
      <c r="AX14" t="s">
        <v>185</v>
      </c>
      <c r="AY14" t="b">
        <v>1</v>
      </c>
      <c r="AZ14" t="b">
        <v>1</v>
      </c>
      <c r="BA14" t="s">
        <v>2062</v>
      </c>
      <c r="BF14" t="s">
        <v>2016</v>
      </c>
      <c r="BH14" t="s">
        <v>2063</v>
      </c>
      <c r="BI14" t="s">
        <v>182</v>
      </c>
      <c r="BK14" t="b">
        <v>1</v>
      </c>
      <c r="BL14" t="s">
        <v>2064</v>
      </c>
      <c r="BM14" t="s">
        <v>183</v>
      </c>
      <c r="BN14" t="s">
        <v>183</v>
      </c>
      <c r="BO14" t="s">
        <v>183</v>
      </c>
      <c r="BQ14" t="s">
        <v>2060</v>
      </c>
      <c r="BR14">
        <v>1</v>
      </c>
      <c r="BS14">
        <v>0</v>
      </c>
      <c r="BT14" t="s">
        <v>2065</v>
      </c>
      <c r="BU14" t="s">
        <v>1908</v>
      </c>
      <c r="BW14" t="s">
        <v>1934</v>
      </c>
      <c r="BX14" t="s">
        <v>1910</v>
      </c>
      <c r="BY14" t="s">
        <v>1911</v>
      </c>
      <c r="BZ14" t="s">
        <v>1910</v>
      </c>
      <c r="CA14" t="s">
        <v>1910</v>
      </c>
      <c r="CB14" t="s">
        <v>2066</v>
      </c>
      <c r="CC14" t="s">
        <v>1996</v>
      </c>
      <c r="CD14" t="s">
        <v>1997</v>
      </c>
      <c r="CE14">
        <v>78.900000000000006</v>
      </c>
      <c r="CF14">
        <v>51.4</v>
      </c>
      <c r="CG14">
        <v>78.8</v>
      </c>
      <c r="CH14">
        <v>1018</v>
      </c>
      <c r="CI14">
        <v>38</v>
      </c>
      <c r="CJ14">
        <v>58.9</v>
      </c>
      <c r="CK14">
        <v>80.2</v>
      </c>
      <c r="CL14">
        <v>78.8</v>
      </c>
      <c r="CM14">
        <v>78.900000000000006</v>
      </c>
      <c r="CN14">
        <v>31680</v>
      </c>
      <c r="CO14">
        <v>4.3</v>
      </c>
      <c r="CP14">
        <v>187</v>
      </c>
      <c r="CQ14">
        <v>15</v>
      </c>
      <c r="CR14">
        <v>0</v>
      </c>
      <c r="CS14">
        <v>0</v>
      </c>
      <c r="CT14" t="s">
        <v>1915</v>
      </c>
      <c r="CU14">
        <v>121</v>
      </c>
      <c r="CV14">
        <v>110</v>
      </c>
      <c r="CW14">
        <v>1.4</v>
      </c>
      <c r="CX14">
        <v>0.6</v>
      </c>
      <c r="CY14">
        <v>4</v>
      </c>
      <c r="CZ14">
        <v>4.0999999999999996</v>
      </c>
      <c r="DA14">
        <v>1</v>
      </c>
      <c r="DB14">
        <v>1</v>
      </c>
      <c r="DC14">
        <v>0</v>
      </c>
      <c r="DD14">
        <v>0</v>
      </c>
      <c r="DE14">
        <v>0</v>
      </c>
      <c r="DF14">
        <v>0</v>
      </c>
      <c r="DG14">
        <v>17.329999999999998</v>
      </c>
      <c r="DH14">
        <v>60.02</v>
      </c>
      <c r="DI14">
        <v>99.94</v>
      </c>
      <c r="DJ14" t="s">
        <v>2067</v>
      </c>
      <c r="DK14" t="s">
        <v>2068</v>
      </c>
      <c r="DL14" t="s">
        <v>2069</v>
      </c>
      <c r="DM14">
        <v>0.65</v>
      </c>
      <c r="DN14">
        <v>6103.1</v>
      </c>
      <c r="DO14" t="s">
        <v>2070</v>
      </c>
      <c r="EL14">
        <v>0</v>
      </c>
      <c r="EM14" t="s">
        <v>184</v>
      </c>
    </row>
    <row r="15" spans="1:143" x14ac:dyDescent="0.35">
      <c r="A15" t="s">
        <v>17</v>
      </c>
      <c r="B15" t="s">
        <v>186</v>
      </c>
      <c r="C15" t="s">
        <v>116</v>
      </c>
      <c r="D15" t="s">
        <v>146</v>
      </c>
      <c r="G15" t="s">
        <v>2071</v>
      </c>
      <c r="K15" t="s">
        <v>2072</v>
      </c>
      <c r="L15" t="s">
        <v>1896</v>
      </c>
      <c r="M15" t="s">
        <v>2073</v>
      </c>
      <c r="N15" t="s">
        <v>1898</v>
      </c>
      <c r="R15" t="s">
        <v>119</v>
      </c>
      <c r="S15" t="s">
        <v>187</v>
      </c>
      <c r="T15" t="s">
        <v>117</v>
      </c>
      <c r="V15" t="s">
        <v>2014</v>
      </c>
      <c r="W15" t="s">
        <v>1923</v>
      </c>
      <c r="X15" t="s">
        <v>81</v>
      </c>
      <c r="Z15" t="s">
        <v>2060</v>
      </c>
      <c r="AA15" t="s">
        <v>2061</v>
      </c>
      <c r="AB15">
        <v>1</v>
      </c>
      <c r="AC15">
        <v>0</v>
      </c>
      <c r="AJ15">
        <v>0</v>
      </c>
      <c r="AL15">
        <v>0</v>
      </c>
      <c r="AS15" t="b">
        <v>1</v>
      </c>
      <c r="AV15" t="s">
        <v>187</v>
      </c>
      <c r="AX15" t="s">
        <v>190</v>
      </c>
      <c r="AY15" t="b">
        <v>1</v>
      </c>
      <c r="AZ15" t="b">
        <v>1</v>
      </c>
      <c r="BA15" t="s">
        <v>1931</v>
      </c>
      <c r="BF15" t="s">
        <v>1906</v>
      </c>
      <c r="BG15" t="s">
        <v>2074</v>
      </c>
      <c r="BH15" t="s">
        <v>2063</v>
      </c>
      <c r="BI15" t="s">
        <v>187</v>
      </c>
      <c r="BL15" t="s">
        <v>2075</v>
      </c>
      <c r="BM15" t="s">
        <v>188</v>
      </c>
      <c r="BN15" t="s">
        <v>188</v>
      </c>
      <c r="BO15" t="s">
        <v>188</v>
      </c>
      <c r="BQ15" t="s">
        <v>2060</v>
      </c>
      <c r="BR15">
        <v>1</v>
      </c>
      <c r="BS15">
        <v>0</v>
      </c>
      <c r="BT15" t="s">
        <v>2076</v>
      </c>
      <c r="CB15" t="s">
        <v>2077</v>
      </c>
      <c r="CC15" t="s">
        <v>1996</v>
      </c>
      <c r="CD15" t="s">
        <v>1997</v>
      </c>
      <c r="CE15">
        <v>83.5</v>
      </c>
      <c r="CF15">
        <v>50.3</v>
      </c>
      <c r="CG15">
        <v>81.3</v>
      </c>
      <c r="CH15">
        <v>1015</v>
      </c>
      <c r="CI15">
        <v>29</v>
      </c>
      <c r="CJ15">
        <v>58.3</v>
      </c>
      <c r="CK15">
        <v>85.3</v>
      </c>
      <c r="CL15">
        <v>81.3</v>
      </c>
      <c r="CM15">
        <v>83.5</v>
      </c>
      <c r="CN15">
        <v>31680</v>
      </c>
      <c r="CO15">
        <v>8.3000000000000007</v>
      </c>
      <c r="CP15">
        <v>310</v>
      </c>
      <c r="CQ15">
        <v>0</v>
      </c>
      <c r="CR15">
        <v>0</v>
      </c>
      <c r="CS15">
        <v>0</v>
      </c>
      <c r="CT15" t="s">
        <v>1915</v>
      </c>
      <c r="CU15">
        <v>99</v>
      </c>
      <c r="CV15">
        <v>90</v>
      </c>
      <c r="CW15">
        <v>0.5</v>
      </c>
      <c r="CX15">
        <v>0.3</v>
      </c>
      <c r="CY15">
        <v>8.9</v>
      </c>
      <c r="CZ15">
        <v>9.6</v>
      </c>
      <c r="DA15">
        <v>1</v>
      </c>
      <c r="DB15">
        <v>1</v>
      </c>
      <c r="DC15">
        <v>0</v>
      </c>
      <c r="DD15">
        <v>0</v>
      </c>
      <c r="DE15">
        <v>0</v>
      </c>
      <c r="DF15">
        <v>0</v>
      </c>
      <c r="DG15">
        <v>234.7</v>
      </c>
      <c r="DH15">
        <v>122.39</v>
      </c>
      <c r="DI15">
        <v>0</v>
      </c>
      <c r="DJ15" t="s">
        <v>2078</v>
      </c>
      <c r="DK15" t="s">
        <v>2079</v>
      </c>
      <c r="DL15" t="s">
        <v>2080</v>
      </c>
      <c r="DM15">
        <v>20.079999999999998</v>
      </c>
      <c r="DN15">
        <v>282.10000000000002</v>
      </c>
      <c r="EL15">
        <v>0</v>
      </c>
      <c r="EM15" t="s">
        <v>189</v>
      </c>
    </row>
    <row r="16" spans="1:143" x14ac:dyDescent="0.35">
      <c r="A16" t="s">
        <v>17</v>
      </c>
      <c r="B16" t="s">
        <v>191</v>
      </c>
      <c r="C16" t="s">
        <v>116</v>
      </c>
      <c r="D16" t="s">
        <v>146</v>
      </c>
      <c r="G16" t="s">
        <v>2081</v>
      </c>
      <c r="K16" t="s">
        <v>2058</v>
      </c>
      <c r="L16" t="s">
        <v>1896</v>
      </c>
      <c r="M16" t="s">
        <v>2059</v>
      </c>
      <c r="N16" t="s">
        <v>1898</v>
      </c>
      <c r="R16" t="s">
        <v>119</v>
      </c>
      <c r="S16" t="s">
        <v>192</v>
      </c>
      <c r="T16" t="s">
        <v>117</v>
      </c>
      <c r="Z16" t="s">
        <v>2060</v>
      </c>
      <c r="AA16" t="s">
        <v>2061</v>
      </c>
      <c r="AB16">
        <v>1</v>
      </c>
      <c r="AC16">
        <v>0</v>
      </c>
      <c r="AJ16">
        <v>0</v>
      </c>
      <c r="AL16">
        <v>0</v>
      </c>
      <c r="AS16" t="b">
        <v>1</v>
      </c>
      <c r="AV16" t="s">
        <v>192</v>
      </c>
      <c r="AX16" t="s">
        <v>195</v>
      </c>
      <c r="AY16" t="b">
        <v>1</v>
      </c>
      <c r="AZ16" t="b">
        <v>1</v>
      </c>
      <c r="BA16" t="s">
        <v>2062</v>
      </c>
      <c r="BF16" t="s">
        <v>1906</v>
      </c>
      <c r="BG16" t="s">
        <v>1907</v>
      </c>
      <c r="BH16" t="s">
        <v>2063</v>
      </c>
      <c r="BI16" t="s">
        <v>192</v>
      </c>
      <c r="BL16" t="s">
        <v>2082</v>
      </c>
      <c r="BM16" t="s">
        <v>193</v>
      </c>
      <c r="BN16" t="s">
        <v>193</v>
      </c>
      <c r="BO16" t="s">
        <v>193</v>
      </c>
      <c r="BQ16" t="s">
        <v>2060</v>
      </c>
      <c r="BR16">
        <v>1</v>
      </c>
      <c r="BS16">
        <v>0</v>
      </c>
      <c r="BT16" t="s">
        <v>2083</v>
      </c>
      <c r="BU16" t="s">
        <v>1908</v>
      </c>
      <c r="BW16" t="s">
        <v>1909</v>
      </c>
      <c r="BX16" t="s">
        <v>2084</v>
      </c>
      <c r="BY16" t="s">
        <v>2033</v>
      </c>
      <c r="BZ16" t="s">
        <v>1995</v>
      </c>
      <c r="CB16" t="s">
        <v>2085</v>
      </c>
      <c r="CC16" t="s">
        <v>1996</v>
      </c>
      <c r="CD16" t="s">
        <v>1997</v>
      </c>
      <c r="CE16">
        <v>72.400000000000006</v>
      </c>
      <c r="CF16">
        <v>60.9</v>
      </c>
      <c r="CG16">
        <v>76.5</v>
      </c>
      <c r="CH16">
        <v>1002</v>
      </c>
      <c r="CI16">
        <v>66</v>
      </c>
      <c r="CJ16">
        <v>62.6</v>
      </c>
      <c r="CK16">
        <v>77.400000000000006</v>
      </c>
      <c r="CL16">
        <v>76.5</v>
      </c>
      <c r="CM16">
        <v>72.400000000000006</v>
      </c>
      <c r="CN16">
        <v>31680</v>
      </c>
      <c r="CO16">
        <v>12.5</v>
      </c>
      <c r="CP16">
        <v>309</v>
      </c>
      <c r="CQ16">
        <v>24</v>
      </c>
      <c r="CR16">
        <v>0</v>
      </c>
      <c r="CS16">
        <v>0</v>
      </c>
      <c r="CT16" t="s">
        <v>1915</v>
      </c>
      <c r="CU16">
        <v>128</v>
      </c>
      <c r="CV16">
        <v>94</v>
      </c>
      <c r="CW16">
        <v>2.2999999999999998</v>
      </c>
      <c r="CX16">
        <v>0.3</v>
      </c>
      <c r="CY16">
        <v>5.7</v>
      </c>
      <c r="CZ16">
        <v>6</v>
      </c>
      <c r="DA16">
        <v>1</v>
      </c>
      <c r="DB16">
        <v>1</v>
      </c>
      <c r="DC16">
        <v>0</v>
      </c>
      <c r="DD16">
        <v>0</v>
      </c>
      <c r="DE16">
        <v>0</v>
      </c>
      <c r="DF16">
        <v>0</v>
      </c>
      <c r="DG16">
        <v>14.3</v>
      </c>
      <c r="DH16">
        <v>2.94</v>
      </c>
      <c r="DI16">
        <v>0</v>
      </c>
      <c r="DJ16" t="s">
        <v>2067</v>
      </c>
      <c r="DK16" t="s">
        <v>2068</v>
      </c>
      <c r="DL16" t="s">
        <v>2086</v>
      </c>
      <c r="DM16">
        <v>0.65</v>
      </c>
      <c r="DN16">
        <v>6103.1</v>
      </c>
      <c r="EL16">
        <v>0</v>
      </c>
      <c r="EM16" t="s">
        <v>194</v>
      </c>
    </row>
    <row r="17" spans="1:143" x14ac:dyDescent="0.35">
      <c r="A17" t="s">
        <v>17</v>
      </c>
      <c r="B17" t="s">
        <v>196</v>
      </c>
      <c r="C17" t="s">
        <v>116</v>
      </c>
      <c r="D17" t="s">
        <v>146</v>
      </c>
      <c r="G17" t="s">
        <v>2087</v>
      </c>
      <c r="K17" t="s">
        <v>2058</v>
      </c>
      <c r="L17" t="s">
        <v>1896</v>
      </c>
      <c r="M17" t="s">
        <v>2059</v>
      </c>
      <c r="N17" t="s">
        <v>1898</v>
      </c>
      <c r="R17" t="s">
        <v>119</v>
      </c>
      <c r="S17" t="s">
        <v>197</v>
      </c>
      <c r="T17" t="s">
        <v>117</v>
      </c>
      <c r="Z17" t="s">
        <v>2088</v>
      </c>
      <c r="AA17" t="s">
        <v>2089</v>
      </c>
      <c r="AB17">
        <v>2</v>
      </c>
      <c r="AC17">
        <v>0</v>
      </c>
      <c r="AJ17">
        <v>0</v>
      </c>
      <c r="AL17">
        <v>0</v>
      </c>
      <c r="AV17" t="s">
        <v>197</v>
      </c>
      <c r="AX17" t="s">
        <v>200</v>
      </c>
      <c r="AY17" t="b">
        <v>0</v>
      </c>
      <c r="BA17" t="s">
        <v>1931</v>
      </c>
      <c r="BF17" t="s">
        <v>1906</v>
      </c>
      <c r="BG17" t="s">
        <v>2090</v>
      </c>
      <c r="BH17" t="s">
        <v>2063</v>
      </c>
      <c r="BI17" t="s">
        <v>197</v>
      </c>
      <c r="BL17" t="s">
        <v>2091</v>
      </c>
      <c r="BM17" t="s">
        <v>198</v>
      </c>
      <c r="BN17" t="s">
        <v>198</v>
      </c>
      <c r="BO17" t="s">
        <v>198</v>
      </c>
      <c r="BQ17" t="s">
        <v>2088</v>
      </c>
      <c r="BR17">
        <v>2</v>
      </c>
      <c r="BS17">
        <v>0</v>
      </c>
      <c r="BT17" t="s">
        <v>2092</v>
      </c>
      <c r="BU17" t="s">
        <v>1908</v>
      </c>
      <c r="BW17" t="s">
        <v>2093</v>
      </c>
      <c r="BX17" t="s">
        <v>2094</v>
      </c>
      <c r="BY17" t="s">
        <v>2033</v>
      </c>
      <c r="BZ17" t="s">
        <v>1995</v>
      </c>
      <c r="CB17" t="s">
        <v>2095</v>
      </c>
      <c r="CC17" t="s">
        <v>1913</v>
      </c>
      <c r="CD17" t="s">
        <v>1914</v>
      </c>
      <c r="CE17">
        <v>48.7</v>
      </c>
      <c r="CF17">
        <v>36.299999999999997</v>
      </c>
      <c r="CG17">
        <v>46.6</v>
      </c>
      <c r="CH17">
        <v>1022</v>
      </c>
      <c r="CI17">
        <v>61</v>
      </c>
      <c r="CJ17">
        <v>39.200000000000003</v>
      </c>
      <c r="CK17">
        <v>53.8</v>
      </c>
      <c r="CL17">
        <v>48.7</v>
      </c>
      <c r="CM17">
        <v>46.6</v>
      </c>
      <c r="CN17">
        <v>31680</v>
      </c>
      <c r="CO17">
        <v>5.6</v>
      </c>
      <c r="CP17">
        <v>120</v>
      </c>
      <c r="CQ17">
        <v>87</v>
      </c>
      <c r="CR17">
        <v>0</v>
      </c>
      <c r="CS17">
        <v>0</v>
      </c>
      <c r="CT17" t="s">
        <v>1915</v>
      </c>
      <c r="CU17">
        <v>188.8500061035156</v>
      </c>
      <c r="CV17">
        <v>94</v>
      </c>
      <c r="CW17">
        <v>8.75</v>
      </c>
      <c r="CX17">
        <v>2.3499999046325679</v>
      </c>
      <c r="CY17">
        <v>5.1500000953674316</v>
      </c>
      <c r="CZ17">
        <v>6.3499999046325684</v>
      </c>
      <c r="DA17">
        <v>1</v>
      </c>
      <c r="DB17">
        <v>1</v>
      </c>
      <c r="DC17">
        <v>0</v>
      </c>
      <c r="DD17">
        <v>0</v>
      </c>
      <c r="DE17">
        <v>258.43</v>
      </c>
      <c r="DF17">
        <v>344.57</v>
      </c>
      <c r="DG17">
        <v>0</v>
      </c>
      <c r="DH17">
        <v>0</v>
      </c>
      <c r="DI17">
        <v>0</v>
      </c>
      <c r="DJ17" t="s">
        <v>2096</v>
      </c>
      <c r="DM17">
        <v>4.3</v>
      </c>
      <c r="DN17">
        <v>1117.9000000000001</v>
      </c>
      <c r="EL17">
        <v>0</v>
      </c>
      <c r="EM17" t="s">
        <v>199</v>
      </c>
    </row>
    <row r="18" spans="1:143" x14ac:dyDescent="0.35">
      <c r="A18" t="s">
        <v>17</v>
      </c>
      <c r="B18" t="s">
        <v>201</v>
      </c>
      <c r="C18" t="s">
        <v>116</v>
      </c>
      <c r="D18" t="s">
        <v>146</v>
      </c>
      <c r="G18" t="s">
        <v>2072</v>
      </c>
      <c r="K18" t="s">
        <v>2097</v>
      </c>
      <c r="L18" t="s">
        <v>1896</v>
      </c>
      <c r="M18" t="s">
        <v>2098</v>
      </c>
      <c r="N18" t="s">
        <v>1898</v>
      </c>
      <c r="R18" t="s">
        <v>119</v>
      </c>
      <c r="S18" t="s">
        <v>202</v>
      </c>
      <c r="T18" t="s">
        <v>117</v>
      </c>
      <c r="V18" t="s">
        <v>2014</v>
      </c>
      <c r="W18" t="s">
        <v>1923</v>
      </c>
      <c r="X18" t="s">
        <v>36</v>
      </c>
      <c r="Z18" t="s">
        <v>2060</v>
      </c>
      <c r="AB18">
        <v>1</v>
      </c>
      <c r="AC18">
        <v>0</v>
      </c>
      <c r="AJ18">
        <v>0</v>
      </c>
      <c r="AL18">
        <v>0</v>
      </c>
      <c r="AV18" t="s">
        <v>202</v>
      </c>
      <c r="AX18" t="s">
        <v>205</v>
      </c>
      <c r="AY18" t="b">
        <v>1</v>
      </c>
      <c r="AZ18" t="b">
        <v>1</v>
      </c>
      <c r="BA18" t="s">
        <v>1931</v>
      </c>
      <c r="BF18" t="s">
        <v>1906</v>
      </c>
      <c r="BG18" t="s">
        <v>1989</v>
      </c>
      <c r="BH18" t="s">
        <v>2063</v>
      </c>
      <c r="BI18" t="s">
        <v>202</v>
      </c>
      <c r="BL18" t="s">
        <v>2099</v>
      </c>
      <c r="BM18" t="s">
        <v>203</v>
      </c>
      <c r="BN18" t="s">
        <v>203</v>
      </c>
      <c r="BO18" t="s">
        <v>203</v>
      </c>
      <c r="BQ18" t="s">
        <v>2060</v>
      </c>
      <c r="BR18">
        <v>1</v>
      </c>
      <c r="BS18">
        <v>0</v>
      </c>
      <c r="BT18" t="s">
        <v>2100</v>
      </c>
      <c r="BU18" t="s">
        <v>1908</v>
      </c>
      <c r="BV18">
        <v>1</v>
      </c>
      <c r="BW18" t="s">
        <v>1948</v>
      </c>
      <c r="BX18" t="s">
        <v>1949</v>
      </c>
      <c r="BY18" t="s">
        <v>2033</v>
      </c>
      <c r="BZ18" t="s">
        <v>1995</v>
      </c>
      <c r="CA18" t="s">
        <v>1950</v>
      </c>
      <c r="CB18" t="s">
        <v>2020</v>
      </c>
      <c r="CC18" t="s">
        <v>1961</v>
      </c>
      <c r="CD18" t="s">
        <v>1962</v>
      </c>
      <c r="CE18">
        <v>49.1</v>
      </c>
      <c r="CF18">
        <v>24.3</v>
      </c>
      <c r="CG18">
        <v>47.9</v>
      </c>
      <c r="CH18">
        <v>1032</v>
      </c>
      <c r="CI18">
        <v>37</v>
      </c>
      <c r="CJ18">
        <v>36.4</v>
      </c>
      <c r="CK18">
        <v>54</v>
      </c>
      <c r="CL18">
        <v>49.1</v>
      </c>
      <c r="CM18">
        <v>47.9</v>
      </c>
      <c r="CN18">
        <v>31680</v>
      </c>
      <c r="CO18">
        <v>3.8</v>
      </c>
      <c r="CP18">
        <v>244</v>
      </c>
      <c r="CQ18">
        <v>49</v>
      </c>
      <c r="CR18">
        <v>0</v>
      </c>
      <c r="CS18">
        <v>0</v>
      </c>
      <c r="CT18" t="s">
        <v>1915</v>
      </c>
      <c r="CU18">
        <v>160.8500061035156</v>
      </c>
      <c r="CV18">
        <v>107</v>
      </c>
      <c r="CW18">
        <v>3.25</v>
      </c>
      <c r="CX18">
        <v>1.950000047683716</v>
      </c>
      <c r="CY18">
        <v>4.8499999046325684</v>
      </c>
      <c r="CZ18">
        <v>5.8499999046325684</v>
      </c>
      <c r="DA18">
        <v>1</v>
      </c>
      <c r="DB18">
        <v>1</v>
      </c>
      <c r="DC18">
        <v>0</v>
      </c>
      <c r="DD18">
        <v>0</v>
      </c>
      <c r="DE18">
        <v>138.94</v>
      </c>
      <c r="DF18">
        <v>208.83</v>
      </c>
      <c r="DG18">
        <v>0</v>
      </c>
      <c r="DH18">
        <v>0</v>
      </c>
      <c r="DI18">
        <v>0</v>
      </c>
      <c r="DJ18" t="s">
        <v>2101</v>
      </c>
      <c r="DM18">
        <v>27.98</v>
      </c>
      <c r="DN18">
        <v>301.7</v>
      </c>
      <c r="EL18">
        <v>0</v>
      </c>
      <c r="EM18" t="s">
        <v>204</v>
      </c>
    </row>
    <row r="19" spans="1:143" x14ac:dyDescent="0.35">
      <c r="A19" t="s">
        <v>19</v>
      </c>
      <c r="B19" t="s">
        <v>206</v>
      </c>
      <c r="C19" t="s">
        <v>116</v>
      </c>
      <c r="D19" t="s">
        <v>146</v>
      </c>
      <c r="G19" t="s">
        <v>2102</v>
      </c>
      <c r="K19" t="s">
        <v>2103</v>
      </c>
      <c r="L19" t="s">
        <v>1896</v>
      </c>
      <c r="M19" t="s">
        <v>2104</v>
      </c>
      <c r="N19" t="s">
        <v>1898</v>
      </c>
      <c r="R19" t="s">
        <v>153</v>
      </c>
      <c r="S19" t="s">
        <v>207</v>
      </c>
      <c r="T19" t="s">
        <v>117</v>
      </c>
      <c r="AB19">
        <v>0</v>
      </c>
      <c r="AC19">
        <v>0</v>
      </c>
      <c r="AJ19">
        <v>0</v>
      </c>
      <c r="AL19">
        <v>0</v>
      </c>
      <c r="AT19">
        <v>0</v>
      </c>
      <c r="AU19">
        <v>0</v>
      </c>
      <c r="AV19" t="s">
        <v>207</v>
      </c>
      <c r="AX19" t="s">
        <v>210</v>
      </c>
      <c r="BA19" t="s">
        <v>1987</v>
      </c>
      <c r="BI19" t="s">
        <v>2105</v>
      </c>
      <c r="BL19" t="s">
        <v>2106</v>
      </c>
      <c r="BM19" t="s">
        <v>208</v>
      </c>
      <c r="BN19" t="s">
        <v>208</v>
      </c>
      <c r="BO19" t="s">
        <v>208</v>
      </c>
      <c r="BR19">
        <v>3</v>
      </c>
      <c r="BS19">
        <v>4</v>
      </c>
      <c r="BU19" t="s">
        <v>1908</v>
      </c>
      <c r="BV19">
        <v>0</v>
      </c>
      <c r="BW19" t="s">
        <v>2093</v>
      </c>
      <c r="BX19" t="s">
        <v>1949</v>
      </c>
      <c r="BY19" t="s">
        <v>2039</v>
      </c>
      <c r="BZ19" t="s">
        <v>1910</v>
      </c>
      <c r="CB19" t="s">
        <v>208</v>
      </c>
      <c r="CC19" t="s">
        <v>1961</v>
      </c>
      <c r="CD19" t="s">
        <v>1962</v>
      </c>
      <c r="CE19">
        <v>43.5</v>
      </c>
      <c r="CF19">
        <v>30.4</v>
      </c>
      <c r="CG19">
        <v>39.4</v>
      </c>
      <c r="CH19">
        <v>1019</v>
      </c>
      <c r="CI19">
        <v>59</v>
      </c>
      <c r="CJ19">
        <v>31.8</v>
      </c>
      <c r="CK19">
        <v>46.8</v>
      </c>
      <c r="CL19">
        <v>43.5</v>
      </c>
      <c r="CM19">
        <v>39.4</v>
      </c>
      <c r="CN19">
        <v>31680</v>
      </c>
      <c r="CO19">
        <v>7.2</v>
      </c>
      <c r="CP19">
        <v>250</v>
      </c>
      <c r="CQ19">
        <v>33</v>
      </c>
      <c r="CR19">
        <v>0</v>
      </c>
      <c r="CS19">
        <v>0</v>
      </c>
      <c r="CT19" t="s">
        <v>1915</v>
      </c>
      <c r="DJ19" t="s">
        <v>2107</v>
      </c>
      <c r="DM19">
        <v>10.42</v>
      </c>
      <c r="DN19">
        <v>213.4</v>
      </c>
      <c r="DR19" t="s">
        <v>2039</v>
      </c>
      <c r="DS19">
        <v>527997</v>
      </c>
      <c r="DT19" t="s">
        <v>2108</v>
      </c>
      <c r="DU19" t="s">
        <v>2039</v>
      </c>
      <c r="DV19" t="s">
        <v>2039</v>
      </c>
      <c r="DW19" t="s">
        <v>2039</v>
      </c>
      <c r="DX19" t="s">
        <v>2039</v>
      </c>
      <c r="EL19">
        <v>0</v>
      </c>
      <c r="EM19" t="s">
        <v>209</v>
      </c>
    </row>
    <row r="20" spans="1:143" x14ac:dyDescent="0.35">
      <c r="A20" t="s">
        <v>21</v>
      </c>
      <c r="B20" t="s">
        <v>211</v>
      </c>
      <c r="C20" t="s">
        <v>116</v>
      </c>
      <c r="D20" t="s">
        <v>146</v>
      </c>
      <c r="G20" t="s">
        <v>2109</v>
      </c>
      <c r="K20" t="s">
        <v>2110</v>
      </c>
      <c r="L20" t="s">
        <v>1896</v>
      </c>
      <c r="M20" t="s">
        <v>2111</v>
      </c>
      <c r="N20" t="s">
        <v>1898</v>
      </c>
      <c r="R20" t="s">
        <v>119</v>
      </c>
      <c r="S20" t="s">
        <v>212</v>
      </c>
      <c r="T20" t="s">
        <v>117</v>
      </c>
      <c r="Z20" t="s">
        <v>2112</v>
      </c>
      <c r="AB20">
        <v>1</v>
      </c>
      <c r="AC20">
        <v>2</v>
      </c>
      <c r="AJ20">
        <v>0</v>
      </c>
      <c r="AL20">
        <v>0</v>
      </c>
      <c r="AV20" t="s">
        <v>212</v>
      </c>
      <c r="AX20" t="s">
        <v>215</v>
      </c>
      <c r="BF20" t="s">
        <v>1906</v>
      </c>
      <c r="BG20" t="s">
        <v>1907</v>
      </c>
      <c r="BI20" t="s">
        <v>212</v>
      </c>
      <c r="BL20" t="s">
        <v>2113</v>
      </c>
      <c r="BM20" t="s">
        <v>213</v>
      </c>
      <c r="BN20" t="s">
        <v>213</v>
      </c>
      <c r="BO20" t="s">
        <v>213</v>
      </c>
      <c r="BQ20" t="s">
        <v>2112</v>
      </c>
      <c r="BR20">
        <v>1</v>
      </c>
      <c r="BS20">
        <v>2</v>
      </c>
      <c r="BU20" t="s">
        <v>1908</v>
      </c>
      <c r="BW20" t="s">
        <v>2114</v>
      </c>
      <c r="BX20" t="s">
        <v>1910</v>
      </c>
      <c r="BY20" t="s">
        <v>1911</v>
      </c>
      <c r="BZ20" t="s">
        <v>1910</v>
      </c>
      <c r="CB20" t="s">
        <v>2115</v>
      </c>
      <c r="CC20" t="s">
        <v>1972</v>
      </c>
      <c r="CD20" t="s">
        <v>1973</v>
      </c>
      <c r="CE20">
        <v>83.3</v>
      </c>
      <c r="CF20">
        <v>61.1</v>
      </c>
      <c r="CG20">
        <v>84.3</v>
      </c>
      <c r="CH20">
        <v>1016</v>
      </c>
      <c r="CI20">
        <v>47</v>
      </c>
      <c r="CJ20">
        <v>60.6</v>
      </c>
      <c r="CK20">
        <v>86.2</v>
      </c>
      <c r="CL20">
        <v>84.3</v>
      </c>
      <c r="CM20">
        <v>83.3</v>
      </c>
      <c r="CN20">
        <v>31680</v>
      </c>
      <c r="CO20">
        <v>11.6</v>
      </c>
      <c r="CP20">
        <v>194</v>
      </c>
      <c r="CQ20">
        <v>100</v>
      </c>
      <c r="CR20">
        <v>0</v>
      </c>
      <c r="CS20">
        <v>0</v>
      </c>
      <c r="CT20" t="s">
        <v>1915</v>
      </c>
      <c r="CU20">
        <v>131</v>
      </c>
      <c r="CV20">
        <v>113</v>
      </c>
      <c r="CW20">
        <v>1.3</v>
      </c>
      <c r="CX20">
        <v>0.8</v>
      </c>
      <c r="CY20">
        <v>8.5</v>
      </c>
      <c r="CZ20">
        <v>11.1</v>
      </c>
      <c r="DA20">
        <v>1</v>
      </c>
      <c r="DB20">
        <v>1</v>
      </c>
      <c r="DC20">
        <v>0</v>
      </c>
      <c r="DD20">
        <v>0</v>
      </c>
      <c r="DE20">
        <v>0</v>
      </c>
      <c r="DF20">
        <v>0</v>
      </c>
      <c r="DG20">
        <v>37.64</v>
      </c>
      <c r="DH20">
        <v>106.57</v>
      </c>
      <c r="DI20">
        <v>124.55</v>
      </c>
      <c r="DJ20" t="s">
        <v>2116</v>
      </c>
      <c r="DK20" t="s">
        <v>2117</v>
      </c>
      <c r="DL20" t="s">
        <v>2118</v>
      </c>
      <c r="DM20">
        <v>3.89</v>
      </c>
      <c r="DN20">
        <v>1372.5</v>
      </c>
      <c r="EL20">
        <v>0</v>
      </c>
      <c r="EM20" t="s">
        <v>214</v>
      </c>
    </row>
    <row r="21" spans="1:143" x14ac:dyDescent="0.35">
      <c r="A21" t="s">
        <v>21</v>
      </c>
      <c r="B21" t="s">
        <v>216</v>
      </c>
      <c r="C21" t="s">
        <v>116</v>
      </c>
      <c r="D21" t="s">
        <v>146</v>
      </c>
      <c r="G21" t="s">
        <v>2119</v>
      </c>
      <c r="K21" t="s">
        <v>2110</v>
      </c>
      <c r="L21" t="s">
        <v>1896</v>
      </c>
      <c r="M21" t="s">
        <v>2111</v>
      </c>
      <c r="N21" t="s">
        <v>1898</v>
      </c>
      <c r="R21" t="s">
        <v>119</v>
      </c>
      <c r="S21" t="s">
        <v>217</v>
      </c>
      <c r="U21" t="s">
        <v>117</v>
      </c>
      <c r="Z21" t="s">
        <v>2120</v>
      </c>
      <c r="AB21">
        <v>1</v>
      </c>
      <c r="AC21">
        <v>3</v>
      </c>
      <c r="AJ21">
        <v>0</v>
      </c>
      <c r="AL21">
        <v>0</v>
      </c>
      <c r="AV21" t="s">
        <v>217</v>
      </c>
      <c r="AX21" t="s">
        <v>220</v>
      </c>
      <c r="BI21" t="s">
        <v>217</v>
      </c>
      <c r="BL21" t="s">
        <v>2121</v>
      </c>
      <c r="BM21" t="s">
        <v>218</v>
      </c>
      <c r="BN21" t="s">
        <v>218</v>
      </c>
      <c r="BO21" t="s">
        <v>218</v>
      </c>
      <c r="BQ21" t="s">
        <v>2120</v>
      </c>
      <c r="BR21">
        <v>1</v>
      </c>
      <c r="BS21">
        <v>3</v>
      </c>
      <c r="BU21" t="s">
        <v>1908</v>
      </c>
      <c r="BW21" t="s">
        <v>1948</v>
      </c>
      <c r="BX21" t="s">
        <v>1910</v>
      </c>
      <c r="BY21" t="s">
        <v>1911</v>
      </c>
      <c r="BZ21" t="s">
        <v>1910</v>
      </c>
      <c r="CB21" t="s">
        <v>2122</v>
      </c>
      <c r="CC21" t="s">
        <v>1996</v>
      </c>
      <c r="CD21" t="s">
        <v>1997</v>
      </c>
      <c r="CE21">
        <v>82.6</v>
      </c>
      <c r="CF21">
        <v>50.6</v>
      </c>
      <c r="CG21">
        <v>81.2</v>
      </c>
      <c r="CH21">
        <v>1016</v>
      </c>
      <c r="CI21">
        <v>33</v>
      </c>
      <c r="CJ21">
        <v>62.4</v>
      </c>
      <c r="CK21">
        <v>84.4</v>
      </c>
      <c r="CL21">
        <v>81.2</v>
      </c>
      <c r="CM21">
        <v>82.6</v>
      </c>
      <c r="CN21">
        <v>31680</v>
      </c>
      <c r="CO21">
        <v>10.1</v>
      </c>
      <c r="CP21">
        <v>316</v>
      </c>
      <c r="CQ21">
        <v>22</v>
      </c>
      <c r="CR21">
        <v>0</v>
      </c>
      <c r="CS21">
        <v>0</v>
      </c>
      <c r="CT21" t="s">
        <v>1915</v>
      </c>
      <c r="CU21">
        <v>116</v>
      </c>
      <c r="CV21">
        <v>97</v>
      </c>
      <c r="CW21">
        <v>1.5</v>
      </c>
      <c r="CX21">
        <v>0.6</v>
      </c>
      <c r="CY21">
        <v>2.4</v>
      </c>
      <c r="CZ21">
        <v>2.5</v>
      </c>
      <c r="DA21">
        <v>1</v>
      </c>
      <c r="DB21">
        <v>1</v>
      </c>
      <c r="DC21">
        <v>0</v>
      </c>
      <c r="DD21">
        <v>0</v>
      </c>
      <c r="DE21">
        <v>0</v>
      </c>
      <c r="DF21">
        <v>0</v>
      </c>
      <c r="DG21">
        <v>68.06</v>
      </c>
      <c r="DH21">
        <v>150.94999999999999</v>
      </c>
      <c r="DI21">
        <v>5.09</v>
      </c>
      <c r="DJ21" t="s">
        <v>2123</v>
      </c>
      <c r="DK21" t="s">
        <v>2124</v>
      </c>
      <c r="DL21" t="s">
        <v>1961</v>
      </c>
      <c r="DM21">
        <v>0.86</v>
      </c>
      <c r="DN21">
        <v>4961.6000000000004</v>
      </c>
      <c r="EL21">
        <v>0</v>
      </c>
      <c r="EM21" t="s">
        <v>219</v>
      </c>
    </row>
    <row r="22" spans="1:143" x14ac:dyDescent="0.35">
      <c r="A22" t="s">
        <v>21</v>
      </c>
      <c r="B22" t="s">
        <v>221</v>
      </c>
      <c r="C22" t="s">
        <v>116</v>
      </c>
      <c r="D22" t="s">
        <v>146</v>
      </c>
      <c r="F22" t="s">
        <v>2125</v>
      </c>
      <c r="G22" t="s">
        <v>1894</v>
      </c>
      <c r="K22" t="s">
        <v>2110</v>
      </c>
      <c r="L22" t="s">
        <v>1896</v>
      </c>
      <c r="M22" t="s">
        <v>2111</v>
      </c>
      <c r="N22" t="s">
        <v>1898</v>
      </c>
      <c r="R22" t="s">
        <v>119</v>
      </c>
      <c r="S22" t="s">
        <v>222</v>
      </c>
      <c r="U22" t="s">
        <v>117</v>
      </c>
      <c r="Z22" t="s">
        <v>2112</v>
      </c>
      <c r="AB22">
        <v>1</v>
      </c>
      <c r="AC22">
        <v>2</v>
      </c>
      <c r="AJ22">
        <v>0</v>
      </c>
      <c r="AL22">
        <v>0</v>
      </c>
      <c r="AS22" t="b">
        <v>1</v>
      </c>
      <c r="AV22" t="s">
        <v>222</v>
      </c>
      <c r="AX22" t="s">
        <v>225</v>
      </c>
      <c r="AY22" t="b">
        <v>1</v>
      </c>
      <c r="AZ22" t="b">
        <v>1</v>
      </c>
      <c r="BA22" t="s">
        <v>2126</v>
      </c>
      <c r="BF22" t="s">
        <v>1906</v>
      </c>
      <c r="BG22" t="s">
        <v>1907</v>
      </c>
      <c r="BI22" t="s">
        <v>222</v>
      </c>
      <c r="BL22" t="s">
        <v>2127</v>
      </c>
      <c r="BM22" t="s">
        <v>223</v>
      </c>
      <c r="BN22" t="s">
        <v>223</v>
      </c>
      <c r="BO22" t="s">
        <v>223</v>
      </c>
      <c r="BQ22" t="s">
        <v>2112</v>
      </c>
      <c r="BR22">
        <v>1</v>
      </c>
      <c r="BS22">
        <v>2</v>
      </c>
      <c r="BU22" t="s">
        <v>1908</v>
      </c>
      <c r="BV22">
        <v>0</v>
      </c>
      <c r="BW22" t="s">
        <v>2128</v>
      </c>
      <c r="BX22" t="s">
        <v>1910</v>
      </c>
      <c r="BY22" t="s">
        <v>1911</v>
      </c>
      <c r="BZ22" t="s">
        <v>1910</v>
      </c>
      <c r="CA22" t="s">
        <v>2129</v>
      </c>
      <c r="CB22" t="s">
        <v>2130</v>
      </c>
      <c r="CC22" t="s">
        <v>1996</v>
      </c>
      <c r="CD22" t="s">
        <v>1997</v>
      </c>
      <c r="CE22">
        <v>86</v>
      </c>
      <c r="CF22">
        <v>52.8</v>
      </c>
      <c r="CG22">
        <v>84.4</v>
      </c>
      <c r="CH22">
        <v>1009</v>
      </c>
      <c r="CI22">
        <v>32</v>
      </c>
      <c r="CJ22">
        <v>55</v>
      </c>
      <c r="CK22">
        <v>86</v>
      </c>
      <c r="CL22">
        <v>84.4</v>
      </c>
      <c r="CM22">
        <v>86</v>
      </c>
      <c r="CN22">
        <v>31680</v>
      </c>
      <c r="CO22">
        <v>0.7</v>
      </c>
      <c r="CP22">
        <v>34</v>
      </c>
      <c r="CQ22">
        <v>13</v>
      </c>
      <c r="CR22">
        <v>0</v>
      </c>
      <c r="CS22">
        <v>0</v>
      </c>
      <c r="CT22" t="s">
        <v>1915</v>
      </c>
      <c r="CU22">
        <v>139</v>
      </c>
      <c r="CV22">
        <v>137</v>
      </c>
      <c r="CW22">
        <v>1.8</v>
      </c>
      <c r="CX22">
        <v>0.7</v>
      </c>
      <c r="CY22">
        <v>9.1</v>
      </c>
      <c r="CZ22">
        <v>10.3</v>
      </c>
      <c r="DA22">
        <v>1</v>
      </c>
      <c r="DB22">
        <v>1</v>
      </c>
      <c r="DC22">
        <v>0</v>
      </c>
      <c r="DD22">
        <v>0</v>
      </c>
      <c r="DE22">
        <v>0</v>
      </c>
      <c r="DF22">
        <v>0</v>
      </c>
      <c r="DG22">
        <v>170.68</v>
      </c>
      <c r="DH22">
        <v>142.62</v>
      </c>
      <c r="DI22">
        <v>0</v>
      </c>
      <c r="DJ22" t="s">
        <v>2116</v>
      </c>
      <c r="DK22" t="s">
        <v>2117</v>
      </c>
      <c r="DL22" t="s">
        <v>2131</v>
      </c>
      <c r="DM22">
        <v>3.89</v>
      </c>
      <c r="DN22">
        <v>1372.5</v>
      </c>
      <c r="DR22" t="s">
        <v>2039</v>
      </c>
      <c r="DS22">
        <v>1041067</v>
      </c>
      <c r="DT22" t="s">
        <v>2132</v>
      </c>
      <c r="DU22" t="s">
        <v>2039</v>
      </c>
      <c r="DV22" t="s">
        <v>2039</v>
      </c>
      <c r="DW22" t="s">
        <v>2039</v>
      </c>
      <c r="DX22" t="s">
        <v>2039</v>
      </c>
      <c r="EL22">
        <v>0</v>
      </c>
      <c r="EM22" t="s">
        <v>224</v>
      </c>
    </row>
    <row r="23" spans="1:143" x14ac:dyDescent="0.35">
      <c r="A23" t="s">
        <v>21</v>
      </c>
      <c r="B23" t="s">
        <v>226</v>
      </c>
      <c r="C23" t="s">
        <v>116</v>
      </c>
      <c r="D23" t="s">
        <v>146</v>
      </c>
      <c r="G23" t="s">
        <v>2133</v>
      </c>
      <c r="I23" t="s">
        <v>1903</v>
      </c>
      <c r="K23" t="s">
        <v>2110</v>
      </c>
      <c r="L23" t="s">
        <v>1896</v>
      </c>
      <c r="M23" t="s">
        <v>2111</v>
      </c>
      <c r="N23" t="s">
        <v>1898</v>
      </c>
      <c r="R23" t="s">
        <v>119</v>
      </c>
      <c r="S23" t="s">
        <v>227</v>
      </c>
      <c r="T23" t="s">
        <v>117</v>
      </c>
      <c r="V23" t="s">
        <v>2014</v>
      </c>
      <c r="W23" t="s">
        <v>2134</v>
      </c>
      <c r="X23" t="s">
        <v>2135</v>
      </c>
      <c r="Y23" t="s">
        <v>2136</v>
      </c>
      <c r="Z23" t="s">
        <v>2112</v>
      </c>
      <c r="AB23">
        <v>1</v>
      </c>
      <c r="AC23">
        <v>4</v>
      </c>
      <c r="AD23" t="s">
        <v>1966</v>
      </c>
      <c r="AJ23">
        <v>0</v>
      </c>
      <c r="AL23">
        <v>0</v>
      </c>
      <c r="AV23" t="s">
        <v>227</v>
      </c>
      <c r="AX23" t="s">
        <v>230</v>
      </c>
      <c r="AY23" t="b">
        <v>1</v>
      </c>
      <c r="BA23" t="s">
        <v>2137</v>
      </c>
      <c r="BF23" t="s">
        <v>1906</v>
      </c>
      <c r="BG23" t="s">
        <v>1907</v>
      </c>
      <c r="BI23" t="s">
        <v>227</v>
      </c>
      <c r="BL23" t="s">
        <v>2138</v>
      </c>
      <c r="BM23" t="s">
        <v>228</v>
      </c>
      <c r="BN23" t="s">
        <v>228</v>
      </c>
      <c r="BO23" t="s">
        <v>228</v>
      </c>
      <c r="BQ23" t="s">
        <v>2112</v>
      </c>
      <c r="BR23">
        <v>1</v>
      </c>
      <c r="BS23">
        <v>4</v>
      </c>
      <c r="BU23" t="s">
        <v>1908</v>
      </c>
      <c r="BW23" t="s">
        <v>1909</v>
      </c>
      <c r="BX23" t="s">
        <v>1949</v>
      </c>
      <c r="BY23" t="s">
        <v>1911</v>
      </c>
      <c r="BZ23" t="s">
        <v>1910</v>
      </c>
      <c r="CA23" t="s">
        <v>2139</v>
      </c>
      <c r="CB23" t="s">
        <v>2140</v>
      </c>
      <c r="CC23" t="s">
        <v>2141</v>
      </c>
      <c r="CD23" t="s">
        <v>2142</v>
      </c>
      <c r="CE23">
        <v>84.7</v>
      </c>
      <c r="CF23">
        <v>73.7</v>
      </c>
      <c r="CG23">
        <v>92.1</v>
      </c>
      <c r="CH23">
        <v>1002</v>
      </c>
      <c r="CI23">
        <v>70</v>
      </c>
      <c r="CJ23">
        <v>71.7</v>
      </c>
      <c r="CK23">
        <v>90.2</v>
      </c>
      <c r="CL23">
        <v>92.1</v>
      </c>
      <c r="CM23">
        <v>84.7</v>
      </c>
      <c r="CN23">
        <v>26400</v>
      </c>
      <c r="CO23">
        <v>1.8</v>
      </c>
      <c r="CP23">
        <v>24</v>
      </c>
      <c r="CQ23">
        <v>71</v>
      </c>
      <c r="CR23">
        <v>0</v>
      </c>
      <c r="CS23">
        <v>0</v>
      </c>
      <c r="CT23" t="s">
        <v>1915</v>
      </c>
      <c r="CU23">
        <v>132</v>
      </c>
      <c r="CV23">
        <v>122</v>
      </c>
      <c r="CW23">
        <v>3.9</v>
      </c>
      <c r="CX23">
        <v>0.5</v>
      </c>
      <c r="CY23">
        <v>7.2</v>
      </c>
      <c r="CZ23">
        <v>7.8</v>
      </c>
      <c r="DA23">
        <v>1</v>
      </c>
      <c r="DB23">
        <v>1</v>
      </c>
      <c r="DC23">
        <v>0</v>
      </c>
      <c r="DD23">
        <v>0</v>
      </c>
      <c r="DE23">
        <v>0</v>
      </c>
      <c r="DF23">
        <v>0</v>
      </c>
      <c r="DG23">
        <v>54.78</v>
      </c>
      <c r="DH23">
        <v>9.65</v>
      </c>
      <c r="DI23">
        <v>0</v>
      </c>
      <c r="DJ23" t="s">
        <v>2116</v>
      </c>
      <c r="DM23">
        <v>3.89</v>
      </c>
      <c r="DN23">
        <v>1372.5</v>
      </c>
      <c r="EL23">
        <v>0</v>
      </c>
      <c r="EM23" t="s">
        <v>229</v>
      </c>
    </row>
    <row r="24" spans="1:143" x14ac:dyDescent="0.35">
      <c r="A24" t="s">
        <v>21</v>
      </c>
      <c r="B24" t="s">
        <v>231</v>
      </c>
      <c r="C24" t="s">
        <v>116</v>
      </c>
      <c r="D24" t="s">
        <v>146</v>
      </c>
      <c r="G24" t="s">
        <v>2143</v>
      </c>
      <c r="K24" t="s">
        <v>2110</v>
      </c>
      <c r="L24" t="s">
        <v>1896</v>
      </c>
      <c r="M24" t="s">
        <v>2111</v>
      </c>
      <c r="N24" t="s">
        <v>1898</v>
      </c>
      <c r="R24" t="s">
        <v>119</v>
      </c>
      <c r="S24" t="s">
        <v>232</v>
      </c>
      <c r="U24" t="s">
        <v>117</v>
      </c>
      <c r="Z24" t="s">
        <v>2144</v>
      </c>
      <c r="AB24">
        <v>2</v>
      </c>
      <c r="AC24">
        <v>5</v>
      </c>
      <c r="AJ24">
        <v>0</v>
      </c>
      <c r="AL24">
        <v>0</v>
      </c>
      <c r="AV24" t="s">
        <v>232</v>
      </c>
      <c r="AX24" t="s">
        <v>235</v>
      </c>
      <c r="AY24" t="b">
        <v>1</v>
      </c>
      <c r="AZ24" t="b">
        <v>1</v>
      </c>
      <c r="BA24" t="s">
        <v>2145</v>
      </c>
      <c r="BF24" t="s">
        <v>1906</v>
      </c>
      <c r="BG24" t="s">
        <v>1907</v>
      </c>
      <c r="BI24" t="s">
        <v>232</v>
      </c>
      <c r="BL24" t="s">
        <v>2146</v>
      </c>
      <c r="BM24" t="s">
        <v>233</v>
      </c>
      <c r="BN24" t="s">
        <v>233</v>
      </c>
      <c r="BO24" t="s">
        <v>233</v>
      </c>
      <c r="BQ24" t="s">
        <v>2144</v>
      </c>
      <c r="BR24">
        <v>2</v>
      </c>
      <c r="BS24">
        <v>5</v>
      </c>
      <c r="BU24" t="s">
        <v>1908</v>
      </c>
      <c r="BV24">
        <v>0</v>
      </c>
      <c r="BW24" t="s">
        <v>1934</v>
      </c>
      <c r="BX24" t="s">
        <v>1949</v>
      </c>
      <c r="BY24" t="s">
        <v>1911</v>
      </c>
      <c r="BZ24" t="s">
        <v>1910</v>
      </c>
      <c r="CA24" t="s">
        <v>2147</v>
      </c>
      <c r="CB24" t="s">
        <v>2148</v>
      </c>
      <c r="CC24" t="s">
        <v>1996</v>
      </c>
      <c r="CD24" t="s">
        <v>1997</v>
      </c>
      <c r="CE24">
        <v>84.4</v>
      </c>
      <c r="CF24">
        <v>50.9</v>
      </c>
      <c r="CG24">
        <v>82.7</v>
      </c>
      <c r="CH24">
        <v>1017</v>
      </c>
      <c r="CI24">
        <v>31</v>
      </c>
      <c r="CJ24">
        <v>55.6</v>
      </c>
      <c r="CK24">
        <v>84.9</v>
      </c>
      <c r="CL24">
        <v>82.7</v>
      </c>
      <c r="CM24">
        <v>84.4</v>
      </c>
      <c r="CN24">
        <v>31680</v>
      </c>
      <c r="CO24">
        <v>6.9</v>
      </c>
      <c r="CP24">
        <v>258</v>
      </c>
      <c r="CQ24">
        <v>12</v>
      </c>
      <c r="CR24">
        <v>0</v>
      </c>
      <c r="CS24">
        <v>0</v>
      </c>
      <c r="CT24" t="s">
        <v>1915</v>
      </c>
      <c r="CU24">
        <v>124</v>
      </c>
      <c r="CV24">
        <v>124</v>
      </c>
      <c r="CW24">
        <v>1.3</v>
      </c>
      <c r="CX24">
        <v>0.4</v>
      </c>
      <c r="CY24">
        <v>2.9</v>
      </c>
      <c r="CZ24">
        <v>3.1</v>
      </c>
      <c r="DA24">
        <v>1</v>
      </c>
      <c r="DB24">
        <v>1</v>
      </c>
      <c r="DC24">
        <v>0</v>
      </c>
      <c r="DD24">
        <v>0</v>
      </c>
      <c r="DE24">
        <v>0</v>
      </c>
      <c r="DF24">
        <v>0</v>
      </c>
      <c r="DG24">
        <v>166.89</v>
      </c>
      <c r="DH24">
        <v>0</v>
      </c>
      <c r="DI24">
        <v>0</v>
      </c>
      <c r="DJ24" t="s">
        <v>2123</v>
      </c>
      <c r="DM24">
        <v>0.86</v>
      </c>
      <c r="DN24">
        <v>4961.6000000000004</v>
      </c>
      <c r="EL24">
        <v>0</v>
      </c>
      <c r="EM24" t="s">
        <v>234</v>
      </c>
    </row>
    <row r="25" spans="1:143" x14ac:dyDescent="0.35">
      <c r="A25" t="s">
        <v>21</v>
      </c>
      <c r="B25" t="s">
        <v>236</v>
      </c>
      <c r="C25" t="s">
        <v>116</v>
      </c>
      <c r="D25" t="s">
        <v>146</v>
      </c>
      <c r="F25" t="s">
        <v>2149</v>
      </c>
      <c r="G25" t="s">
        <v>1894</v>
      </c>
      <c r="K25" t="s">
        <v>2150</v>
      </c>
      <c r="L25" t="s">
        <v>1896</v>
      </c>
      <c r="M25" t="s">
        <v>2151</v>
      </c>
      <c r="N25" t="s">
        <v>2152</v>
      </c>
      <c r="R25" t="s">
        <v>119</v>
      </c>
      <c r="S25" t="s">
        <v>237</v>
      </c>
      <c r="U25" t="s">
        <v>117</v>
      </c>
      <c r="V25" t="s">
        <v>2014</v>
      </c>
      <c r="W25" t="s">
        <v>1923</v>
      </c>
      <c r="X25" t="s">
        <v>2135</v>
      </c>
      <c r="Z25" t="s">
        <v>2153</v>
      </c>
      <c r="AB25">
        <v>2</v>
      </c>
      <c r="AC25">
        <v>2</v>
      </c>
      <c r="AJ25">
        <v>0</v>
      </c>
      <c r="AL25">
        <v>0</v>
      </c>
      <c r="AS25" t="b">
        <v>1</v>
      </c>
      <c r="AV25" t="s">
        <v>237</v>
      </c>
      <c r="AW25" t="s">
        <v>2154</v>
      </c>
      <c r="AX25" t="s">
        <v>240</v>
      </c>
      <c r="AY25" t="b">
        <v>1</v>
      </c>
      <c r="AZ25" t="b">
        <v>1</v>
      </c>
      <c r="BA25" t="s">
        <v>2155</v>
      </c>
      <c r="BF25" t="s">
        <v>1906</v>
      </c>
      <c r="BG25" t="s">
        <v>1907</v>
      </c>
      <c r="BI25" t="s">
        <v>237</v>
      </c>
      <c r="BL25" t="s">
        <v>2156</v>
      </c>
      <c r="BM25" t="s">
        <v>238</v>
      </c>
      <c r="BN25" t="s">
        <v>238</v>
      </c>
      <c r="BO25" t="s">
        <v>238</v>
      </c>
      <c r="BQ25" t="s">
        <v>2153</v>
      </c>
      <c r="BR25">
        <v>2</v>
      </c>
      <c r="BS25">
        <v>2</v>
      </c>
      <c r="BU25" t="s">
        <v>1908</v>
      </c>
      <c r="BW25" t="s">
        <v>1934</v>
      </c>
      <c r="BX25" t="s">
        <v>1994</v>
      </c>
      <c r="BY25" t="s">
        <v>2157</v>
      </c>
      <c r="BZ25" t="s">
        <v>1910</v>
      </c>
      <c r="CB25" t="s">
        <v>2158</v>
      </c>
      <c r="CC25" t="s">
        <v>2159</v>
      </c>
      <c r="CD25" t="s">
        <v>2160</v>
      </c>
      <c r="CE25">
        <v>57.4</v>
      </c>
      <c r="CF25">
        <v>53.4</v>
      </c>
      <c r="CG25">
        <v>56.1</v>
      </c>
      <c r="CH25">
        <v>1014</v>
      </c>
      <c r="CI25">
        <v>83</v>
      </c>
      <c r="CJ25">
        <v>41.5</v>
      </c>
      <c r="CK25">
        <v>58.7</v>
      </c>
      <c r="CL25">
        <v>57.4</v>
      </c>
      <c r="CM25">
        <v>56.1</v>
      </c>
      <c r="CN25">
        <v>26400</v>
      </c>
      <c r="CO25">
        <v>7.2</v>
      </c>
      <c r="CP25">
        <v>28</v>
      </c>
      <c r="CQ25">
        <v>100</v>
      </c>
      <c r="CR25">
        <v>0.04</v>
      </c>
      <c r="CS25">
        <v>0</v>
      </c>
      <c r="CT25" t="s">
        <v>1915</v>
      </c>
      <c r="CU25">
        <v>114</v>
      </c>
      <c r="CV25">
        <v>85</v>
      </c>
      <c r="CW25">
        <v>2.5</v>
      </c>
      <c r="CX25">
        <v>0.5</v>
      </c>
      <c r="CY25">
        <v>4.4000000000000004</v>
      </c>
      <c r="CZ25">
        <v>6.1</v>
      </c>
      <c r="DA25">
        <v>1</v>
      </c>
      <c r="DB25">
        <v>1</v>
      </c>
      <c r="DC25">
        <v>0</v>
      </c>
      <c r="DD25">
        <v>0</v>
      </c>
      <c r="DE25">
        <v>0</v>
      </c>
      <c r="DF25">
        <v>0</v>
      </c>
      <c r="DG25">
        <v>27.16</v>
      </c>
      <c r="DH25">
        <v>0</v>
      </c>
      <c r="DI25">
        <v>0</v>
      </c>
      <c r="DJ25" t="s">
        <v>2161</v>
      </c>
      <c r="DM25">
        <v>4.13</v>
      </c>
      <c r="DN25">
        <v>1104.5999999999999</v>
      </c>
      <c r="EL25">
        <v>0</v>
      </c>
      <c r="EM25" t="s">
        <v>239</v>
      </c>
    </row>
    <row r="26" spans="1:143" x14ac:dyDescent="0.35">
      <c r="A26" t="s">
        <v>21</v>
      </c>
      <c r="B26" t="s">
        <v>241</v>
      </c>
      <c r="C26" t="s">
        <v>116</v>
      </c>
      <c r="D26" t="s">
        <v>146</v>
      </c>
      <c r="G26" t="s">
        <v>2162</v>
      </c>
      <c r="K26" t="s">
        <v>2110</v>
      </c>
      <c r="L26" t="s">
        <v>1896</v>
      </c>
      <c r="M26" t="s">
        <v>2111</v>
      </c>
      <c r="N26" t="s">
        <v>1898</v>
      </c>
      <c r="R26" t="s">
        <v>119</v>
      </c>
      <c r="S26" t="s">
        <v>242</v>
      </c>
      <c r="T26" t="s">
        <v>117</v>
      </c>
      <c r="Z26" t="s">
        <v>2163</v>
      </c>
      <c r="AB26">
        <v>4</v>
      </c>
      <c r="AC26">
        <v>9</v>
      </c>
      <c r="AD26" t="s">
        <v>1926</v>
      </c>
      <c r="AJ26">
        <v>0</v>
      </c>
      <c r="AL26">
        <v>0</v>
      </c>
      <c r="AV26" t="s">
        <v>242</v>
      </c>
      <c r="AX26" t="s">
        <v>245</v>
      </c>
      <c r="AY26" t="b">
        <v>1</v>
      </c>
      <c r="BA26" t="s">
        <v>2164</v>
      </c>
      <c r="BF26" t="s">
        <v>1906</v>
      </c>
      <c r="BG26" t="s">
        <v>1907</v>
      </c>
      <c r="BI26" t="s">
        <v>242</v>
      </c>
      <c r="BL26" t="s">
        <v>2165</v>
      </c>
      <c r="BM26" t="s">
        <v>243</v>
      </c>
      <c r="BN26" t="s">
        <v>243</v>
      </c>
      <c r="BO26" t="s">
        <v>243</v>
      </c>
      <c r="BQ26" t="s">
        <v>2163</v>
      </c>
      <c r="BR26">
        <v>4</v>
      </c>
      <c r="BS26">
        <v>9</v>
      </c>
      <c r="BU26" t="s">
        <v>1908</v>
      </c>
      <c r="BW26" t="s">
        <v>2128</v>
      </c>
      <c r="BX26" t="s">
        <v>1949</v>
      </c>
      <c r="BY26" t="s">
        <v>2039</v>
      </c>
      <c r="BZ26" t="s">
        <v>1910</v>
      </c>
      <c r="CA26" t="s">
        <v>2139</v>
      </c>
      <c r="CB26" t="s">
        <v>2166</v>
      </c>
      <c r="CC26" t="s">
        <v>1961</v>
      </c>
      <c r="CD26" t="s">
        <v>1962</v>
      </c>
      <c r="CE26">
        <v>90</v>
      </c>
      <c r="CF26">
        <v>60.8</v>
      </c>
      <c r="CG26">
        <v>91.2</v>
      </c>
      <c r="CH26">
        <v>1013</v>
      </c>
      <c r="CI26">
        <v>35</v>
      </c>
      <c r="CJ26">
        <v>64.900000000000006</v>
      </c>
      <c r="CK26">
        <v>93.2</v>
      </c>
      <c r="CL26">
        <v>91.2</v>
      </c>
      <c r="CM26">
        <v>90</v>
      </c>
      <c r="CN26">
        <v>31680</v>
      </c>
      <c r="CO26">
        <v>9.8000000000000007</v>
      </c>
      <c r="CP26">
        <v>245</v>
      </c>
      <c r="CQ26">
        <v>28</v>
      </c>
      <c r="CR26">
        <v>0</v>
      </c>
      <c r="CS26">
        <v>0</v>
      </c>
      <c r="CT26" t="s">
        <v>1915</v>
      </c>
      <c r="CU26">
        <v>169.8500061035156</v>
      </c>
      <c r="CV26">
        <v>157</v>
      </c>
      <c r="CW26">
        <v>4.25</v>
      </c>
      <c r="CX26">
        <v>2.0499999523162842</v>
      </c>
      <c r="CY26">
        <v>15.25</v>
      </c>
      <c r="CZ26">
        <v>18.54999923706055</v>
      </c>
      <c r="DA26">
        <v>1</v>
      </c>
      <c r="DB26">
        <v>2</v>
      </c>
      <c r="DC26">
        <v>0</v>
      </c>
      <c r="DD26">
        <v>0</v>
      </c>
      <c r="DE26">
        <v>25.92</v>
      </c>
      <c r="DF26">
        <v>0</v>
      </c>
      <c r="DG26">
        <v>16.55</v>
      </c>
      <c r="DH26">
        <v>0</v>
      </c>
      <c r="DI26">
        <v>0</v>
      </c>
      <c r="DJ26" t="s">
        <v>2116</v>
      </c>
      <c r="DM26">
        <v>3.89</v>
      </c>
      <c r="DN26">
        <v>1372.5</v>
      </c>
      <c r="EL26">
        <v>0</v>
      </c>
      <c r="EM26" t="s">
        <v>244</v>
      </c>
    </row>
    <row r="27" spans="1:143" x14ac:dyDescent="0.35">
      <c r="A27" t="s">
        <v>21</v>
      </c>
      <c r="B27" t="s">
        <v>246</v>
      </c>
      <c r="C27" t="s">
        <v>116</v>
      </c>
      <c r="D27" t="s">
        <v>146</v>
      </c>
      <c r="G27" t="s">
        <v>1894</v>
      </c>
      <c r="K27" t="s">
        <v>2110</v>
      </c>
      <c r="L27" t="s">
        <v>1896</v>
      </c>
      <c r="M27" t="s">
        <v>2111</v>
      </c>
      <c r="N27" t="s">
        <v>1898</v>
      </c>
      <c r="R27" t="s">
        <v>119</v>
      </c>
      <c r="S27" t="s">
        <v>247</v>
      </c>
      <c r="T27" t="s">
        <v>117</v>
      </c>
      <c r="Z27" t="s">
        <v>2167</v>
      </c>
      <c r="AB27">
        <v>2</v>
      </c>
      <c r="AC27">
        <v>5</v>
      </c>
      <c r="AD27" t="s">
        <v>2168</v>
      </c>
      <c r="AJ27">
        <v>0</v>
      </c>
      <c r="AL27">
        <v>0</v>
      </c>
      <c r="AS27" t="b">
        <v>1</v>
      </c>
      <c r="AU27">
        <v>0</v>
      </c>
      <c r="AV27" t="s">
        <v>247</v>
      </c>
      <c r="AW27" t="s">
        <v>1968</v>
      </c>
      <c r="AX27" t="s">
        <v>250</v>
      </c>
      <c r="BF27" t="s">
        <v>1906</v>
      </c>
      <c r="BG27" t="s">
        <v>1907</v>
      </c>
      <c r="BI27" t="s">
        <v>247</v>
      </c>
      <c r="BL27" t="s">
        <v>2169</v>
      </c>
      <c r="BM27" t="s">
        <v>248</v>
      </c>
      <c r="BN27" t="s">
        <v>248</v>
      </c>
      <c r="BO27" t="s">
        <v>248</v>
      </c>
      <c r="BQ27" t="s">
        <v>2167</v>
      </c>
      <c r="BR27">
        <v>2</v>
      </c>
      <c r="BS27">
        <v>5</v>
      </c>
      <c r="BU27" t="s">
        <v>1908</v>
      </c>
      <c r="BV27">
        <v>0.1</v>
      </c>
      <c r="BW27" t="s">
        <v>1934</v>
      </c>
      <c r="BX27" t="s">
        <v>1949</v>
      </c>
      <c r="BY27" t="s">
        <v>1911</v>
      </c>
      <c r="BZ27" t="s">
        <v>1910</v>
      </c>
      <c r="CA27" t="s">
        <v>2139</v>
      </c>
      <c r="CB27" t="s">
        <v>2170</v>
      </c>
      <c r="CC27" t="s">
        <v>1961</v>
      </c>
      <c r="CD27" t="s">
        <v>1962</v>
      </c>
      <c r="CE27">
        <v>80.2</v>
      </c>
      <c r="CF27">
        <v>52.6</v>
      </c>
      <c r="CG27">
        <v>79.900000000000006</v>
      </c>
      <c r="CH27">
        <v>1022</v>
      </c>
      <c r="CI27">
        <v>40</v>
      </c>
      <c r="CJ27">
        <v>55.6</v>
      </c>
      <c r="CK27">
        <v>80.2</v>
      </c>
      <c r="CL27">
        <v>79.900000000000006</v>
      </c>
      <c r="CM27">
        <v>80.2</v>
      </c>
      <c r="CN27">
        <v>31680</v>
      </c>
      <c r="CO27">
        <v>8.3000000000000007</v>
      </c>
      <c r="CP27">
        <v>157</v>
      </c>
      <c r="CQ27">
        <v>36</v>
      </c>
      <c r="CR27">
        <v>0</v>
      </c>
      <c r="CS27">
        <v>0</v>
      </c>
      <c r="CT27" t="s">
        <v>1915</v>
      </c>
      <c r="CU27">
        <v>154.8500061035156</v>
      </c>
      <c r="CV27">
        <v>104</v>
      </c>
      <c r="CW27">
        <v>2.25</v>
      </c>
      <c r="CX27">
        <v>1.3500000238418579</v>
      </c>
      <c r="CY27">
        <v>5.25</v>
      </c>
      <c r="CZ27">
        <v>6.4499998092651367</v>
      </c>
      <c r="DA27">
        <v>1</v>
      </c>
      <c r="DB27">
        <v>1</v>
      </c>
      <c r="DC27">
        <v>0</v>
      </c>
      <c r="DD27">
        <v>0</v>
      </c>
      <c r="DE27">
        <v>42.75</v>
      </c>
      <c r="DF27">
        <v>2.0299999999999998</v>
      </c>
      <c r="DG27">
        <v>7.76</v>
      </c>
      <c r="DH27">
        <v>0</v>
      </c>
      <c r="DI27">
        <v>0</v>
      </c>
      <c r="DJ27" t="s">
        <v>2171</v>
      </c>
      <c r="DM27">
        <v>0.45</v>
      </c>
      <c r="DN27">
        <v>9888.9</v>
      </c>
      <c r="DR27" t="s">
        <v>2039</v>
      </c>
      <c r="DS27">
        <v>745083</v>
      </c>
      <c r="DT27" t="s">
        <v>2172</v>
      </c>
      <c r="DU27" t="s">
        <v>2039</v>
      </c>
      <c r="DV27" t="s">
        <v>2039</v>
      </c>
      <c r="DW27" t="s">
        <v>2039</v>
      </c>
      <c r="DX27" t="s">
        <v>2039</v>
      </c>
      <c r="EL27">
        <v>0</v>
      </c>
      <c r="EM27" t="s">
        <v>249</v>
      </c>
    </row>
    <row r="28" spans="1:143" x14ac:dyDescent="0.35">
      <c r="A28" t="s">
        <v>21</v>
      </c>
      <c r="B28" t="s">
        <v>251</v>
      </c>
      <c r="C28" t="s">
        <v>116</v>
      </c>
      <c r="D28" t="s">
        <v>146</v>
      </c>
      <c r="G28" t="s">
        <v>2173</v>
      </c>
      <c r="K28" t="s">
        <v>2110</v>
      </c>
      <c r="L28" t="s">
        <v>1896</v>
      </c>
      <c r="M28" t="s">
        <v>2111</v>
      </c>
      <c r="N28" t="s">
        <v>1898</v>
      </c>
      <c r="R28" t="s">
        <v>119</v>
      </c>
      <c r="S28" t="s">
        <v>252</v>
      </c>
      <c r="T28" t="s">
        <v>117</v>
      </c>
      <c r="Z28" t="s">
        <v>2174</v>
      </c>
      <c r="AB28">
        <v>2</v>
      </c>
      <c r="AC28">
        <v>4</v>
      </c>
      <c r="AJ28">
        <v>0</v>
      </c>
      <c r="AL28">
        <v>0</v>
      </c>
      <c r="AV28" t="s">
        <v>252</v>
      </c>
      <c r="AX28" t="s">
        <v>255</v>
      </c>
      <c r="BF28" t="s">
        <v>1906</v>
      </c>
      <c r="BG28" t="s">
        <v>1989</v>
      </c>
      <c r="BI28" t="s">
        <v>252</v>
      </c>
      <c r="BL28" t="s">
        <v>2175</v>
      </c>
      <c r="BM28" t="s">
        <v>253</v>
      </c>
      <c r="BN28" t="s">
        <v>253</v>
      </c>
      <c r="BO28" t="s">
        <v>253</v>
      </c>
      <c r="BQ28" t="s">
        <v>2174</v>
      </c>
      <c r="BR28">
        <v>2</v>
      </c>
      <c r="BS28">
        <v>4</v>
      </c>
      <c r="BU28" t="s">
        <v>1908</v>
      </c>
      <c r="BW28" t="s">
        <v>1909</v>
      </c>
      <c r="BX28" t="s">
        <v>1949</v>
      </c>
      <c r="BY28" t="s">
        <v>1911</v>
      </c>
      <c r="BZ28" t="s">
        <v>1910</v>
      </c>
      <c r="CA28" t="s">
        <v>2055</v>
      </c>
      <c r="CB28" t="s">
        <v>2176</v>
      </c>
      <c r="CC28" t="s">
        <v>1961</v>
      </c>
      <c r="CD28" t="s">
        <v>1962</v>
      </c>
      <c r="CE28">
        <v>62.2</v>
      </c>
      <c r="CF28">
        <v>28.8</v>
      </c>
      <c r="CG28">
        <v>62.2</v>
      </c>
      <c r="CH28">
        <v>1018</v>
      </c>
      <c r="CI28">
        <v>27</v>
      </c>
      <c r="CJ28">
        <v>39.700000000000003</v>
      </c>
      <c r="CK28">
        <v>62.2</v>
      </c>
      <c r="CL28">
        <v>62.2</v>
      </c>
      <c r="CM28">
        <v>62.2</v>
      </c>
      <c r="CN28">
        <v>31680</v>
      </c>
      <c r="CO28">
        <v>7.4</v>
      </c>
      <c r="CP28">
        <v>314</v>
      </c>
      <c r="CQ28">
        <v>32</v>
      </c>
      <c r="CR28">
        <v>0</v>
      </c>
      <c r="CS28">
        <v>0</v>
      </c>
      <c r="CT28" t="s">
        <v>1915</v>
      </c>
      <c r="CU28">
        <v>141.8500061035156</v>
      </c>
      <c r="CV28">
        <v>91</v>
      </c>
      <c r="CW28">
        <v>2.25</v>
      </c>
      <c r="CX28">
        <v>1.3500000238418579</v>
      </c>
      <c r="CY28">
        <v>1.8500000238418579</v>
      </c>
      <c r="CZ28">
        <v>1.950000047683716</v>
      </c>
      <c r="DA28">
        <v>1</v>
      </c>
      <c r="DB28">
        <v>1</v>
      </c>
      <c r="DC28">
        <v>0</v>
      </c>
      <c r="DD28">
        <v>0</v>
      </c>
      <c r="DE28">
        <v>147.85</v>
      </c>
      <c r="DF28">
        <v>99.98</v>
      </c>
      <c r="DG28">
        <v>0</v>
      </c>
      <c r="DH28">
        <v>0</v>
      </c>
      <c r="DI28">
        <v>0</v>
      </c>
      <c r="DJ28" t="s">
        <v>2177</v>
      </c>
      <c r="DM28">
        <v>2.1</v>
      </c>
      <c r="DN28">
        <v>2643.8</v>
      </c>
      <c r="EL28">
        <v>0</v>
      </c>
      <c r="EM28" t="s">
        <v>254</v>
      </c>
    </row>
    <row r="29" spans="1:143" x14ac:dyDescent="0.35">
      <c r="A29" t="s">
        <v>21</v>
      </c>
      <c r="B29" t="s">
        <v>256</v>
      </c>
      <c r="C29" t="s">
        <v>116</v>
      </c>
      <c r="D29" t="s">
        <v>146</v>
      </c>
      <c r="G29" t="s">
        <v>2178</v>
      </c>
      <c r="K29" t="s">
        <v>2110</v>
      </c>
      <c r="L29" t="s">
        <v>1896</v>
      </c>
      <c r="M29" t="s">
        <v>2111</v>
      </c>
      <c r="N29" t="s">
        <v>1898</v>
      </c>
      <c r="R29" t="s">
        <v>119</v>
      </c>
      <c r="S29" t="s">
        <v>257</v>
      </c>
      <c r="U29" t="s">
        <v>117</v>
      </c>
      <c r="V29" t="s">
        <v>2014</v>
      </c>
      <c r="W29" t="s">
        <v>2134</v>
      </c>
      <c r="X29" t="s">
        <v>2179</v>
      </c>
      <c r="Z29" t="s">
        <v>2180</v>
      </c>
      <c r="AB29">
        <v>10</v>
      </c>
      <c r="AC29">
        <v>9</v>
      </c>
      <c r="AF29" t="s">
        <v>2181</v>
      </c>
      <c r="AG29" t="s">
        <v>1967</v>
      </c>
      <c r="AH29" t="s">
        <v>1929</v>
      </c>
      <c r="AI29">
        <v>208923</v>
      </c>
      <c r="AJ29">
        <v>1</v>
      </c>
      <c r="AK29" t="s">
        <v>2182</v>
      </c>
      <c r="AL29">
        <v>0</v>
      </c>
      <c r="AV29" t="s">
        <v>257</v>
      </c>
      <c r="AX29" t="s">
        <v>260</v>
      </c>
      <c r="AY29" t="b">
        <v>1</v>
      </c>
      <c r="BA29" t="s">
        <v>1931</v>
      </c>
      <c r="BF29" t="s">
        <v>1906</v>
      </c>
      <c r="BG29" t="s">
        <v>2183</v>
      </c>
      <c r="BI29" t="s">
        <v>257</v>
      </c>
      <c r="BL29" t="s">
        <v>2184</v>
      </c>
      <c r="BM29" t="s">
        <v>258</v>
      </c>
      <c r="BN29" t="s">
        <v>258</v>
      </c>
      <c r="BO29" t="s">
        <v>258</v>
      </c>
      <c r="BQ29" t="s">
        <v>2180</v>
      </c>
      <c r="BR29">
        <v>10</v>
      </c>
      <c r="BS29">
        <v>9</v>
      </c>
      <c r="BU29" t="s">
        <v>1908</v>
      </c>
      <c r="BV29">
        <v>0.25</v>
      </c>
      <c r="BW29" t="s">
        <v>1948</v>
      </c>
      <c r="BX29" t="s">
        <v>1994</v>
      </c>
      <c r="BY29" t="s">
        <v>1911</v>
      </c>
      <c r="BZ29" t="s">
        <v>1995</v>
      </c>
      <c r="CA29" t="s">
        <v>2185</v>
      </c>
      <c r="CB29" t="s">
        <v>2186</v>
      </c>
      <c r="CC29" t="s">
        <v>1938</v>
      </c>
      <c r="CD29" t="s">
        <v>1939</v>
      </c>
      <c r="CE29">
        <v>58.1</v>
      </c>
      <c r="CF29">
        <v>38.700000000000003</v>
      </c>
      <c r="CG29">
        <v>57.4</v>
      </c>
      <c r="CH29">
        <v>1024</v>
      </c>
      <c r="CI29">
        <v>46</v>
      </c>
      <c r="CJ29">
        <v>39.4</v>
      </c>
      <c r="CK29">
        <v>58.6</v>
      </c>
      <c r="CL29">
        <v>58.1</v>
      </c>
      <c r="CM29">
        <v>57.4</v>
      </c>
      <c r="CN29">
        <v>31680</v>
      </c>
      <c r="CO29">
        <v>12.1</v>
      </c>
      <c r="CP29">
        <v>58</v>
      </c>
      <c r="CQ29">
        <v>66</v>
      </c>
      <c r="CR29">
        <v>0</v>
      </c>
      <c r="CS29">
        <v>0</v>
      </c>
      <c r="CT29" t="s">
        <v>1915</v>
      </c>
      <c r="CU29">
        <v>148.8500061035156</v>
      </c>
      <c r="CV29">
        <v>88</v>
      </c>
      <c r="CW29">
        <v>4.0500001907348633</v>
      </c>
      <c r="CX29">
        <v>2.0499999523162842</v>
      </c>
      <c r="CY29">
        <v>3.25</v>
      </c>
      <c r="CZ29">
        <v>4.1500000953674316</v>
      </c>
      <c r="DA29">
        <v>1</v>
      </c>
      <c r="DB29">
        <v>1</v>
      </c>
      <c r="DC29">
        <v>0</v>
      </c>
      <c r="DD29">
        <v>0</v>
      </c>
      <c r="DE29">
        <v>244.24</v>
      </c>
      <c r="DF29">
        <v>343.35</v>
      </c>
      <c r="DG29">
        <v>0</v>
      </c>
      <c r="DH29">
        <v>0</v>
      </c>
      <c r="DI29">
        <v>0</v>
      </c>
      <c r="DJ29" t="s">
        <v>2187</v>
      </c>
      <c r="DM29">
        <v>1.7</v>
      </c>
      <c r="DN29">
        <v>1661.2</v>
      </c>
      <c r="EL29">
        <v>0</v>
      </c>
      <c r="EM29" t="s">
        <v>259</v>
      </c>
    </row>
    <row r="30" spans="1:143" x14ac:dyDescent="0.35">
      <c r="A30" t="s">
        <v>21</v>
      </c>
      <c r="B30" t="s">
        <v>261</v>
      </c>
      <c r="C30" t="s">
        <v>116</v>
      </c>
      <c r="D30" t="s">
        <v>146</v>
      </c>
      <c r="G30" t="s">
        <v>2188</v>
      </c>
      <c r="K30" t="s">
        <v>2110</v>
      </c>
      <c r="L30" t="s">
        <v>1896</v>
      </c>
      <c r="M30" t="s">
        <v>2111</v>
      </c>
      <c r="N30" t="s">
        <v>1898</v>
      </c>
      <c r="R30" t="s">
        <v>119</v>
      </c>
      <c r="S30" t="s">
        <v>262</v>
      </c>
      <c r="U30" t="s">
        <v>117</v>
      </c>
      <c r="Z30" t="s">
        <v>2189</v>
      </c>
      <c r="AB30">
        <v>3</v>
      </c>
      <c r="AC30">
        <v>6</v>
      </c>
      <c r="AJ30">
        <v>0</v>
      </c>
      <c r="AL30">
        <v>0</v>
      </c>
      <c r="AV30" t="s">
        <v>262</v>
      </c>
      <c r="AX30" t="s">
        <v>265</v>
      </c>
      <c r="BF30" t="s">
        <v>1906</v>
      </c>
      <c r="BG30" t="s">
        <v>1907</v>
      </c>
      <c r="BI30" t="s">
        <v>262</v>
      </c>
      <c r="BL30" t="s">
        <v>2190</v>
      </c>
      <c r="BM30" t="s">
        <v>263</v>
      </c>
      <c r="BN30" t="s">
        <v>263</v>
      </c>
      <c r="BO30" t="s">
        <v>263</v>
      </c>
      <c r="BQ30" t="s">
        <v>2189</v>
      </c>
      <c r="BR30">
        <v>3</v>
      </c>
      <c r="BS30">
        <v>6</v>
      </c>
      <c r="BU30" t="s">
        <v>1908</v>
      </c>
      <c r="BV30">
        <v>0.1</v>
      </c>
      <c r="BW30" t="s">
        <v>1934</v>
      </c>
      <c r="BX30" t="s">
        <v>2084</v>
      </c>
      <c r="BY30" t="s">
        <v>1911</v>
      </c>
      <c r="BZ30" t="s">
        <v>1910</v>
      </c>
      <c r="CA30" t="s">
        <v>1950</v>
      </c>
      <c r="CB30" t="s">
        <v>2191</v>
      </c>
      <c r="CC30" t="s">
        <v>1961</v>
      </c>
      <c r="CD30" t="s">
        <v>1962</v>
      </c>
      <c r="CE30">
        <v>51.3</v>
      </c>
      <c r="CF30">
        <v>25.7</v>
      </c>
      <c r="CG30">
        <v>50</v>
      </c>
      <c r="CH30">
        <v>1031</v>
      </c>
      <c r="CI30">
        <v>36</v>
      </c>
      <c r="CJ30">
        <v>39.700000000000003</v>
      </c>
      <c r="CK30">
        <v>51.6</v>
      </c>
      <c r="CL30">
        <v>51.3</v>
      </c>
      <c r="CM30">
        <v>50</v>
      </c>
      <c r="CN30">
        <v>31680</v>
      </c>
      <c r="CO30">
        <v>4.5</v>
      </c>
      <c r="CP30">
        <v>232</v>
      </c>
      <c r="CQ30">
        <v>26</v>
      </c>
      <c r="CR30">
        <v>0</v>
      </c>
      <c r="CS30">
        <v>0</v>
      </c>
      <c r="CT30" t="s">
        <v>1915</v>
      </c>
      <c r="CU30">
        <v>167.8500061035156</v>
      </c>
      <c r="CV30">
        <v>103</v>
      </c>
      <c r="CW30">
        <v>6.0500001907348633</v>
      </c>
      <c r="CX30">
        <v>2.6500000953674321</v>
      </c>
      <c r="CY30">
        <v>5.8499999046325684</v>
      </c>
      <c r="CZ30">
        <v>6.8499999046325684</v>
      </c>
      <c r="DA30">
        <v>1</v>
      </c>
      <c r="DB30">
        <v>1</v>
      </c>
      <c r="DC30">
        <v>0</v>
      </c>
      <c r="DD30">
        <v>0</v>
      </c>
      <c r="DE30">
        <v>190.2</v>
      </c>
      <c r="DF30">
        <v>292.70999999999998</v>
      </c>
      <c r="DG30">
        <v>0</v>
      </c>
      <c r="DH30">
        <v>0</v>
      </c>
      <c r="DI30">
        <v>0</v>
      </c>
      <c r="DJ30" t="s">
        <v>2187</v>
      </c>
      <c r="DM30">
        <v>1.7</v>
      </c>
      <c r="DN30">
        <v>1661.2</v>
      </c>
      <c r="EL30">
        <v>0</v>
      </c>
      <c r="EM30" t="s">
        <v>264</v>
      </c>
    </row>
    <row r="31" spans="1:143" x14ac:dyDescent="0.35">
      <c r="A31" t="s">
        <v>21</v>
      </c>
      <c r="B31" t="s">
        <v>266</v>
      </c>
      <c r="C31" t="s">
        <v>116</v>
      </c>
      <c r="D31" t="s">
        <v>146</v>
      </c>
      <c r="G31" t="s">
        <v>2192</v>
      </c>
      <c r="K31" t="s">
        <v>2110</v>
      </c>
      <c r="L31" t="s">
        <v>1896</v>
      </c>
      <c r="M31" t="s">
        <v>2111</v>
      </c>
      <c r="N31" t="s">
        <v>1898</v>
      </c>
      <c r="R31" t="s">
        <v>119</v>
      </c>
      <c r="S31" t="s">
        <v>267</v>
      </c>
      <c r="T31" t="s">
        <v>117</v>
      </c>
      <c r="Y31" t="s">
        <v>2136</v>
      </c>
      <c r="Z31" t="s">
        <v>2193</v>
      </c>
      <c r="AB31">
        <v>3</v>
      </c>
      <c r="AC31">
        <v>7</v>
      </c>
      <c r="AJ31">
        <v>0</v>
      </c>
      <c r="AL31">
        <v>0</v>
      </c>
      <c r="AV31" t="s">
        <v>267</v>
      </c>
      <c r="AX31" t="s">
        <v>270</v>
      </c>
      <c r="AY31" t="b">
        <v>1</v>
      </c>
      <c r="BA31" t="s">
        <v>2062</v>
      </c>
      <c r="BF31" t="s">
        <v>1906</v>
      </c>
      <c r="BG31" t="s">
        <v>2183</v>
      </c>
      <c r="BI31" t="s">
        <v>267</v>
      </c>
      <c r="BM31" t="s">
        <v>268</v>
      </c>
      <c r="BN31" t="s">
        <v>268</v>
      </c>
      <c r="BO31" t="s">
        <v>268</v>
      </c>
      <c r="BQ31" t="s">
        <v>2193</v>
      </c>
      <c r="BR31">
        <v>3</v>
      </c>
      <c r="BS31">
        <v>7</v>
      </c>
      <c r="BU31" t="s">
        <v>1908</v>
      </c>
      <c r="BV31">
        <v>0.25</v>
      </c>
      <c r="BW31" t="s">
        <v>1909</v>
      </c>
      <c r="BX31" t="s">
        <v>1949</v>
      </c>
      <c r="BY31" t="s">
        <v>1911</v>
      </c>
      <c r="BZ31" t="s">
        <v>1995</v>
      </c>
      <c r="CA31" t="s">
        <v>2139</v>
      </c>
      <c r="CB31" t="s">
        <v>2194</v>
      </c>
      <c r="CC31" t="s">
        <v>1938</v>
      </c>
      <c r="CD31" t="s">
        <v>1939</v>
      </c>
      <c r="CE31">
        <v>33.4</v>
      </c>
      <c r="CF31">
        <v>11.7</v>
      </c>
      <c r="CG31">
        <v>27</v>
      </c>
      <c r="CH31">
        <v>1034</v>
      </c>
      <c r="CI31">
        <v>40</v>
      </c>
      <c r="CJ31">
        <v>25.7</v>
      </c>
      <c r="CK31">
        <v>44.6</v>
      </c>
      <c r="CL31">
        <v>33.4</v>
      </c>
      <c r="CM31">
        <v>27</v>
      </c>
      <c r="CN31">
        <v>31680</v>
      </c>
      <c r="CO31">
        <v>6</v>
      </c>
      <c r="CP31">
        <v>246</v>
      </c>
      <c r="CQ31">
        <v>53</v>
      </c>
      <c r="CR31">
        <v>0</v>
      </c>
      <c r="CS31">
        <v>0</v>
      </c>
      <c r="CT31" t="s">
        <v>1915</v>
      </c>
      <c r="DJ31" t="s">
        <v>2116</v>
      </c>
      <c r="DM31">
        <v>3.89</v>
      </c>
      <c r="DN31">
        <v>1372.5</v>
      </c>
      <c r="EL31">
        <v>0</v>
      </c>
      <c r="EM31" t="s">
        <v>269</v>
      </c>
    </row>
    <row r="32" spans="1:143" x14ac:dyDescent="0.35">
      <c r="A32" t="s">
        <v>23</v>
      </c>
      <c r="B32" t="s">
        <v>271</v>
      </c>
      <c r="C32" t="s">
        <v>116</v>
      </c>
      <c r="D32" t="s">
        <v>146</v>
      </c>
      <c r="K32" t="s">
        <v>2195</v>
      </c>
      <c r="L32" t="s">
        <v>1896</v>
      </c>
      <c r="M32" t="s">
        <v>2196</v>
      </c>
      <c r="N32" t="s">
        <v>1898</v>
      </c>
      <c r="R32" t="s">
        <v>119</v>
      </c>
      <c r="S32" t="s">
        <v>272</v>
      </c>
      <c r="T32" t="s">
        <v>117</v>
      </c>
      <c r="V32" t="s">
        <v>2197</v>
      </c>
      <c r="W32" t="s">
        <v>2198</v>
      </c>
      <c r="X32" t="s">
        <v>2199</v>
      </c>
      <c r="Z32" t="s">
        <v>2200</v>
      </c>
      <c r="AB32">
        <v>3</v>
      </c>
      <c r="AC32">
        <v>5</v>
      </c>
      <c r="AJ32">
        <v>0</v>
      </c>
      <c r="AL32">
        <v>0</v>
      </c>
      <c r="AV32" t="s">
        <v>272</v>
      </c>
      <c r="AX32" t="s">
        <v>275</v>
      </c>
      <c r="BF32" t="s">
        <v>1906</v>
      </c>
      <c r="BG32" t="s">
        <v>1907</v>
      </c>
      <c r="BI32" t="s">
        <v>272</v>
      </c>
      <c r="BM32" t="s">
        <v>2201</v>
      </c>
      <c r="BN32" t="s">
        <v>273</v>
      </c>
      <c r="BO32" t="s">
        <v>273</v>
      </c>
      <c r="BQ32" t="s">
        <v>2200</v>
      </c>
      <c r="BR32">
        <v>3</v>
      </c>
      <c r="BS32">
        <v>5</v>
      </c>
      <c r="BT32" t="s">
        <v>2202</v>
      </c>
      <c r="BU32" t="s">
        <v>1908</v>
      </c>
      <c r="BW32" t="s">
        <v>2114</v>
      </c>
      <c r="BX32" t="s">
        <v>1949</v>
      </c>
      <c r="BY32" t="s">
        <v>1911</v>
      </c>
      <c r="CB32" t="s">
        <v>2203</v>
      </c>
      <c r="CC32" t="s">
        <v>1961</v>
      </c>
      <c r="CD32" t="s">
        <v>1962</v>
      </c>
      <c r="CE32">
        <v>75.8</v>
      </c>
      <c r="CF32">
        <v>54.8</v>
      </c>
      <c r="CG32">
        <v>77.5</v>
      </c>
      <c r="CH32">
        <v>1009</v>
      </c>
      <c r="CI32">
        <v>47</v>
      </c>
      <c r="CJ32">
        <v>59.7</v>
      </c>
      <c r="CK32">
        <v>80.2</v>
      </c>
      <c r="CL32">
        <v>77.5</v>
      </c>
      <c r="CM32">
        <v>75.8</v>
      </c>
      <c r="CN32">
        <v>31680</v>
      </c>
      <c r="CO32">
        <v>10.3</v>
      </c>
      <c r="CP32">
        <v>282</v>
      </c>
      <c r="CQ32">
        <v>27</v>
      </c>
      <c r="CR32">
        <v>0</v>
      </c>
      <c r="CS32">
        <v>0</v>
      </c>
      <c r="CT32" t="s">
        <v>1915</v>
      </c>
      <c r="CU32">
        <v>106</v>
      </c>
      <c r="CV32">
        <v>91</v>
      </c>
      <c r="CW32">
        <v>0.6</v>
      </c>
      <c r="CX32">
        <v>0.4</v>
      </c>
      <c r="CY32">
        <v>1.8</v>
      </c>
      <c r="CZ32">
        <v>1.9</v>
      </c>
      <c r="DA32">
        <v>1</v>
      </c>
      <c r="DB32">
        <v>1</v>
      </c>
      <c r="DC32">
        <v>0</v>
      </c>
      <c r="DD32">
        <v>0</v>
      </c>
      <c r="DE32">
        <v>0</v>
      </c>
      <c r="DF32">
        <v>0</v>
      </c>
      <c r="DG32">
        <v>116.06</v>
      </c>
      <c r="DH32">
        <v>37.49</v>
      </c>
      <c r="DI32">
        <v>0</v>
      </c>
      <c r="DJ32" t="s">
        <v>2204</v>
      </c>
      <c r="DM32">
        <v>2.02</v>
      </c>
      <c r="DN32">
        <v>1420.3</v>
      </c>
      <c r="EL32">
        <v>0</v>
      </c>
      <c r="EM32" t="s">
        <v>274</v>
      </c>
    </row>
    <row r="33" spans="1:143" x14ac:dyDescent="0.35">
      <c r="A33" t="s">
        <v>23</v>
      </c>
      <c r="B33" t="s">
        <v>276</v>
      </c>
      <c r="C33" t="s">
        <v>116</v>
      </c>
      <c r="D33" t="s">
        <v>146</v>
      </c>
      <c r="G33" t="s">
        <v>2205</v>
      </c>
      <c r="K33" t="s">
        <v>2195</v>
      </c>
      <c r="L33" t="s">
        <v>1896</v>
      </c>
      <c r="M33" t="s">
        <v>2196</v>
      </c>
      <c r="N33" t="s">
        <v>1898</v>
      </c>
      <c r="R33" t="s">
        <v>119</v>
      </c>
      <c r="S33" t="s">
        <v>277</v>
      </c>
      <c r="T33" t="s">
        <v>117</v>
      </c>
      <c r="V33" t="s">
        <v>2197</v>
      </c>
      <c r="W33" t="s">
        <v>2206</v>
      </c>
      <c r="X33" t="s">
        <v>2207</v>
      </c>
      <c r="Z33" t="s">
        <v>2208</v>
      </c>
      <c r="AB33">
        <v>3</v>
      </c>
      <c r="AC33">
        <v>8</v>
      </c>
      <c r="AJ33">
        <v>0</v>
      </c>
      <c r="AL33">
        <v>0</v>
      </c>
      <c r="AV33" t="s">
        <v>277</v>
      </c>
      <c r="BF33" t="s">
        <v>1906</v>
      </c>
      <c r="BG33" t="s">
        <v>2209</v>
      </c>
      <c r="BI33" t="s">
        <v>277</v>
      </c>
      <c r="BM33" t="s">
        <v>2210</v>
      </c>
      <c r="BN33" t="s">
        <v>278</v>
      </c>
      <c r="BO33" t="s">
        <v>278</v>
      </c>
      <c r="BQ33" t="s">
        <v>2208</v>
      </c>
      <c r="BR33">
        <v>3</v>
      </c>
      <c r="BS33">
        <v>8</v>
      </c>
      <c r="BT33" t="s">
        <v>2211</v>
      </c>
      <c r="BU33" t="s">
        <v>1908</v>
      </c>
      <c r="BV33">
        <v>1</v>
      </c>
      <c r="BW33" t="s">
        <v>1934</v>
      </c>
      <c r="BX33" t="s">
        <v>2084</v>
      </c>
      <c r="BY33" t="s">
        <v>2033</v>
      </c>
      <c r="BZ33" t="s">
        <v>1910</v>
      </c>
      <c r="CB33" t="s">
        <v>2212</v>
      </c>
      <c r="CC33" t="s">
        <v>1961</v>
      </c>
      <c r="CD33" t="s">
        <v>1962</v>
      </c>
      <c r="CE33">
        <v>76</v>
      </c>
      <c r="CF33">
        <v>55.5</v>
      </c>
      <c r="CG33">
        <v>77.7</v>
      </c>
      <c r="CH33">
        <v>1002</v>
      </c>
      <c r="CI33">
        <v>48</v>
      </c>
      <c r="CJ33">
        <v>62.6</v>
      </c>
      <c r="CK33">
        <v>77.400000000000006</v>
      </c>
      <c r="CL33">
        <v>77.7</v>
      </c>
      <c r="CM33">
        <v>76</v>
      </c>
      <c r="CN33">
        <v>31680</v>
      </c>
      <c r="CO33">
        <v>9.8000000000000007</v>
      </c>
      <c r="CP33">
        <v>303</v>
      </c>
      <c r="CQ33">
        <v>37</v>
      </c>
      <c r="CR33">
        <v>0</v>
      </c>
      <c r="CS33">
        <v>0</v>
      </c>
      <c r="CT33" t="s">
        <v>1915</v>
      </c>
      <c r="CU33">
        <v>109</v>
      </c>
      <c r="CV33">
        <v>91</v>
      </c>
      <c r="CW33">
        <v>0.7</v>
      </c>
      <c r="CX33">
        <v>0.1</v>
      </c>
      <c r="CY33">
        <v>6.9</v>
      </c>
      <c r="CZ33">
        <v>7.6</v>
      </c>
      <c r="DA33">
        <v>1</v>
      </c>
      <c r="DB33">
        <v>1</v>
      </c>
      <c r="DC33">
        <v>0</v>
      </c>
      <c r="DD33">
        <v>0</v>
      </c>
      <c r="DE33">
        <v>0</v>
      </c>
      <c r="DF33">
        <v>0</v>
      </c>
      <c r="DG33">
        <v>43.15</v>
      </c>
      <c r="DH33">
        <v>9.67</v>
      </c>
      <c r="DI33">
        <v>0</v>
      </c>
      <c r="DJ33" t="s">
        <v>2213</v>
      </c>
      <c r="DK33" t="s">
        <v>2214</v>
      </c>
      <c r="DL33" t="s">
        <v>2215</v>
      </c>
      <c r="DM33">
        <v>11.84</v>
      </c>
      <c r="DN33">
        <v>423</v>
      </c>
      <c r="EL33">
        <v>0</v>
      </c>
      <c r="EM33" t="s">
        <v>279</v>
      </c>
    </row>
    <row r="34" spans="1:143" x14ac:dyDescent="0.35">
      <c r="A34" t="s">
        <v>23</v>
      </c>
      <c r="B34" t="s">
        <v>280</v>
      </c>
      <c r="C34" t="s">
        <v>116</v>
      </c>
      <c r="D34" t="s">
        <v>146</v>
      </c>
      <c r="G34" t="s">
        <v>2216</v>
      </c>
      <c r="K34" t="s">
        <v>2217</v>
      </c>
      <c r="L34" t="s">
        <v>1896</v>
      </c>
      <c r="M34" t="s">
        <v>2218</v>
      </c>
      <c r="N34" t="s">
        <v>1898</v>
      </c>
      <c r="R34" t="s">
        <v>119</v>
      </c>
      <c r="S34" t="s">
        <v>281</v>
      </c>
      <c r="T34" t="s">
        <v>117</v>
      </c>
      <c r="V34" t="s">
        <v>2014</v>
      </c>
      <c r="W34" t="s">
        <v>1923</v>
      </c>
      <c r="X34" t="s">
        <v>2219</v>
      </c>
      <c r="Z34" t="s">
        <v>2220</v>
      </c>
      <c r="AB34">
        <v>4</v>
      </c>
      <c r="AC34">
        <v>7</v>
      </c>
      <c r="AD34" t="s">
        <v>2221</v>
      </c>
      <c r="AJ34">
        <v>0</v>
      </c>
      <c r="AL34">
        <v>0</v>
      </c>
      <c r="AS34" t="b">
        <v>0</v>
      </c>
      <c r="AU34">
        <v>0</v>
      </c>
      <c r="AV34" t="s">
        <v>281</v>
      </c>
      <c r="AW34" t="s">
        <v>2222</v>
      </c>
      <c r="AX34" t="s">
        <v>284</v>
      </c>
      <c r="AY34" t="b">
        <v>1</v>
      </c>
      <c r="AZ34" t="b">
        <v>1</v>
      </c>
      <c r="BA34" t="s">
        <v>2164</v>
      </c>
      <c r="BI34" t="s">
        <v>281</v>
      </c>
      <c r="BM34" t="s">
        <v>2223</v>
      </c>
      <c r="BN34" t="s">
        <v>282</v>
      </c>
      <c r="BO34" t="s">
        <v>282</v>
      </c>
      <c r="BQ34" t="s">
        <v>2220</v>
      </c>
      <c r="BR34">
        <v>4</v>
      </c>
      <c r="BS34">
        <v>7</v>
      </c>
      <c r="BT34" t="s">
        <v>284</v>
      </c>
      <c r="CB34" t="s">
        <v>2224</v>
      </c>
      <c r="CC34" t="s">
        <v>1938</v>
      </c>
      <c r="CD34" t="s">
        <v>1939</v>
      </c>
      <c r="CE34">
        <v>73</v>
      </c>
      <c r="CF34">
        <v>58.8</v>
      </c>
      <c r="CG34">
        <v>75</v>
      </c>
      <c r="CH34">
        <v>1012</v>
      </c>
      <c r="CI34">
        <v>62</v>
      </c>
      <c r="CJ34">
        <v>59</v>
      </c>
      <c r="CK34">
        <v>81.3</v>
      </c>
      <c r="CL34">
        <v>75</v>
      </c>
      <c r="CM34">
        <v>73</v>
      </c>
      <c r="CN34">
        <v>31680</v>
      </c>
      <c r="CO34">
        <v>7.6</v>
      </c>
      <c r="CP34">
        <v>266</v>
      </c>
      <c r="CQ34">
        <v>69</v>
      </c>
      <c r="CR34">
        <v>0</v>
      </c>
      <c r="CS34">
        <v>0</v>
      </c>
      <c r="CT34" t="s">
        <v>1915</v>
      </c>
      <c r="CU34">
        <v>162.8500061035156</v>
      </c>
      <c r="CV34">
        <v>102</v>
      </c>
      <c r="CW34">
        <v>2.75</v>
      </c>
      <c r="CX34">
        <v>1.6499999761581421</v>
      </c>
      <c r="CY34">
        <v>7.3499999046325684</v>
      </c>
      <c r="CZ34">
        <v>7.9499998092651367</v>
      </c>
      <c r="DA34">
        <v>1</v>
      </c>
      <c r="DB34">
        <v>1</v>
      </c>
      <c r="DC34">
        <v>0</v>
      </c>
      <c r="DD34">
        <v>0</v>
      </c>
      <c r="DE34">
        <v>0</v>
      </c>
      <c r="DF34">
        <v>0</v>
      </c>
      <c r="DG34">
        <v>11.6</v>
      </c>
      <c r="DH34">
        <v>0</v>
      </c>
      <c r="DI34">
        <v>0</v>
      </c>
      <c r="DJ34" t="s">
        <v>2225</v>
      </c>
      <c r="DM34">
        <v>19.75</v>
      </c>
      <c r="DN34">
        <v>245.5</v>
      </c>
      <c r="EL34">
        <v>0</v>
      </c>
      <c r="EM34" t="s">
        <v>283</v>
      </c>
    </row>
    <row r="35" spans="1:143" x14ac:dyDescent="0.35">
      <c r="A35" t="s">
        <v>23</v>
      </c>
      <c r="B35" t="s">
        <v>285</v>
      </c>
      <c r="C35" t="s">
        <v>116</v>
      </c>
      <c r="D35" t="s">
        <v>146</v>
      </c>
      <c r="F35" t="s">
        <v>2226</v>
      </c>
      <c r="G35" t="s">
        <v>2217</v>
      </c>
      <c r="K35" t="s">
        <v>2195</v>
      </c>
      <c r="L35" t="s">
        <v>1896</v>
      </c>
      <c r="M35" t="s">
        <v>2196</v>
      </c>
      <c r="N35" t="s">
        <v>1898</v>
      </c>
      <c r="R35" t="s">
        <v>119</v>
      </c>
      <c r="S35" t="s">
        <v>286</v>
      </c>
      <c r="T35" t="s">
        <v>117</v>
      </c>
      <c r="Z35" t="s">
        <v>2227</v>
      </c>
      <c r="AB35">
        <v>2</v>
      </c>
      <c r="AC35">
        <v>5</v>
      </c>
      <c r="AJ35">
        <v>0</v>
      </c>
      <c r="AL35">
        <v>0</v>
      </c>
      <c r="AV35" t="s">
        <v>286</v>
      </c>
      <c r="AX35" t="s">
        <v>289</v>
      </c>
      <c r="BF35" t="s">
        <v>1906</v>
      </c>
      <c r="BG35" t="s">
        <v>2228</v>
      </c>
      <c r="BI35" t="s">
        <v>286</v>
      </c>
      <c r="BM35" t="s">
        <v>2229</v>
      </c>
      <c r="BN35" t="s">
        <v>287</v>
      </c>
      <c r="BO35" t="s">
        <v>287</v>
      </c>
      <c r="BQ35" t="s">
        <v>2227</v>
      </c>
      <c r="BR35">
        <v>2</v>
      </c>
      <c r="BS35">
        <v>5</v>
      </c>
      <c r="BT35" t="s">
        <v>289</v>
      </c>
      <c r="BU35" t="s">
        <v>1908</v>
      </c>
      <c r="BW35" t="s">
        <v>1909</v>
      </c>
      <c r="BX35" t="s">
        <v>1949</v>
      </c>
      <c r="BY35" t="s">
        <v>1970</v>
      </c>
      <c r="CB35" t="s">
        <v>2229</v>
      </c>
      <c r="CC35" t="s">
        <v>1996</v>
      </c>
      <c r="CD35" t="s">
        <v>1997</v>
      </c>
      <c r="CE35">
        <v>76.3</v>
      </c>
      <c r="CF35">
        <v>49.8</v>
      </c>
      <c r="CG35">
        <v>76.8</v>
      </c>
      <c r="CH35">
        <v>1008</v>
      </c>
      <c r="CI35">
        <v>39</v>
      </c>
      <c r="CJ35">
        <v>49.5</v>
      </c>
      <c r="CK35">
        <v>77.7</v>
      </c>
      <c r="CL35">
        <v>76.8</v>
      </c>
      <c r="CM35">
        <v>76.3</v>
      </c>
      <c r="CN35">
        <v>31680</v>
      </c>
      <c r="CO35">
        <v>15.9</v>
      </c>
      <c r="CP35">
        <v>224</v>
      </c>
      <c r="CQ35">
        <v>25</v>
      </c>
      <c r="CR35">
        <v>0</v>
      </c>
      <c r="CS35">
        <v>0</v>
      </c>
      <c r="CT35" t="s">
        <v>1915</v>
      </c>
      <c r="CU35">
        <v>165.8500061035156</v>
      </c>
      <c r="CV35">
        <v>133</v>
      </c>
      <c r="CW35">
        <v>3.25</v>
      </c>
      <c r="CX35">
        <v>3.6500000953674321</v>
      </c>
      <c r="CY35">
        <v>10.55000019073486</v>
      </c>
      <c r="CZ35">
        <v>11.75</v>
      </c>
      <c r="DA35">
        <v>1</v>
      </c>
      <c r="DB35">
        <v>1</v>
      </c>
      <c r="DC35">
        <v>0</v>
      </c>
      <c r="DD35">
        <v>0</v>
      </c>
      <c r="DE35">
        <v>308.06</v>
      </c>
      <c r="DF35">
        <v>302.72000000000003</v>
      </c>
      <c r="DG35">
        <v>0</v>
      </c>
      <c r="DH35">
        <v>0</v>
      </c>
      <c r="DI35">
        <v>0</v>
      </c>
      <c r="DJ35" t="s">
        <v>2204</v>
      </c>
      <c r="DM35">
        <v>2.02</v>
      </c>
      <c r="DN35">
        <v>1420.3</v>
      </c>
      <c r="EL35">
        <v>0</v>
      </c>
      <c r="EM35" t="s">
        <v>288</v>
      </c>
    </row>
    <row r="36" spans="1:143" x14ac:dyDescent="0.35">
      <c r="A36" t="s">
        <v>23</v>
      </c>
      <c r="B36" t="s">
        <v>290</v>
      </c>
      <c r="C36" t="s">
        <v>116</v>
      </c>
      <c r="D36" t="s">
        <v>146</v>
      </c>
      <c r="G36" t="s">
        <v>2230</v>
      </c>
      <c r="K36" t="s">
        <v>2195</v>
      </c>
      <c r="L36" t="s">
        <v>1896</v>
      </c>
      <c r="M36" t="s">
        <v>2196</v>
      </c>
      <c r="N36" t="s">
        <v>1898</v>
      </c>
      <c r="R36" t="s">
        <v>119</v>
      </c>
      <c r="S36" t="s">
        <v>291</v>
      </c>
      <c r="T36" t="s">
        <v>294</v>
      </c>
      <c r="U36" t="s">
        <v>2231</v>
      </c>
      <c r="Z36" t="s">
        <v>2232</v>
      </c>
      <c r="AB36">
        <v>1</v>
      </c>
      <c r="AC36">
        <v>1</v>
      </c>
      <c r="AD36" t="s">
        <v>2233</v>
      </c>
      <c r="AE36">
        <v>1992</v>
      </c>
      <c r="AG36" t="s">
        <v>2234</v>
      </c>
      <c r="AH36" t="s">
        <v>1903</v>
      </c>
      <c r="AI36">
        <v>210300</v>
      </c>
      <c r="AJ36">
        <v>0</v>
      </c>
      <c r="AL36">
        <v>0</v>
      </c>
      <c r="AV36" t="s">
        <v>291</v>
      </c>
      <c r="AX36" t="s">
        <v>296</v>
      </c>
      <c r="BF36" t="s">
        <v>1906</v>
      </c>
      <c r="BG36" t="s">
        <v>2235</v>
      </c>
      <c r="BI36" t="s">
        <v>291</v>
      </c>
      <c r="BK36" t="b">
        <v>0</v>
      </c>
      <c r="BM36" t="s">
        <v>292</v>
      </c>
      <c r="BN36" t="s">
        <v>292</v>
      </c>
      <c r="BO36" t="s">
        <v>292</v>
      </c>
      <c r="BQ36" t="s">
        <v>2232</v>
      </c>
      <c r="BR36">
        <v>1</v>
      </c>
      <c r="BS36">
        <v>1</v>
      </c>
      <c r="BT36" t="s">
        <v>2236</v>
      </c>
      <c r="BU36" t="s">
        <v>1908</v>
      </c>
      <c r="BV36">
        <v>0</v>
      </c>
      <c r="BW36" t="s">
        <v>2114</v>
      </c>
      <c r="BX36" t="s">
        <v>1910</v>
      </c>
      <c r="BY36" t="s">
        <v>2039</v>
      </c>
      <c r="CB36" t="s">
        <v>2237</v>
      </c>
      <c r="CC36" t="s">
        <v>1961</v>
      </c>
      <c r="CD36" t="s">
        <v>1962</v>
      </c>
      <c r="CE36">
        <v>56.5</v>
      </c>
      <c r="CF36">
        <v>48</v>
      </c>
      <c r="CG36">
        <v>53.2</v>
      </c>
      <c r="CH36">
        <v>1016</v>
      </c>
      <c r="CI36">
        <v>73</v>
      </c>
      <c r="CJ36">
        <v>43.9</v>
      </c>
      <c r="CK36">
        <v>70.7</v>
      </c>
      <c r="CL36">
        <v>56.5</v>
      </c>
      <c r="CM36">
        <v>53.2</v>
      </c>
      <c r="CN36">
        <v>31680</v>
      </c>
      <c r="CO36">
        <v>13.9</v>
      </c>
      <c r="CP36">
        <v>232</v>
      </c>
      <c r="CQ36">
        <v>30</v>
      </c>
      <c r="CR36">
        <v>0</v>
      </c>
      <c r="CS36">
        <v>0</v>
      </c>
      <c r="CT36" t="s">
        <v>1915</v>
      </c>
      <c r="CU36">
        <v>176.8500061035156</v>
      </c>
      <c r="CV36">
        <v>92</v>
      </c>
      <c r="CW36">
        <v>8.6499996185302734</v>
      </c>
      <c r="CX36">
        <v>3.9500000476837158</v>
      </c>
      <c r="CY36">
        <v>9.0500001907348633</v>
      </c>
      <c r="CZ36">
        <v>10.55000019073486</v>
      </c>
      <c r="DA36">
        <v>1</v>
      </c>
      <c r="DB36">
        <v>1</v>
      </c>
      <c r="DC36">
        <v>0</v>
      </c>
      <c r="DD36">
        <v>0</v>
      </c>
      <c r="DE36">
        <v>120.66</v>
      </c>
      <c r="DF36">
        <v>135.87</v>
      </c>
      <c r="DG36">
        <v>0</v>
      </c>
      <c r="DH36">
        <v>0</v>
      </c>
      <c r="DI36">
        <v>0</v>
      </c>
      <c r="DJ36" t="s">
        <v>2213</v>
      </c>
      <c r="DM36">
        <v>11.84</v>
      </c>
      <c r="DN36">
        <v>423</v>
      </c>
      <c r="EL36">
        <v>0</v>
      </c>
      <c r="EM36" t="s">
        <v>293</v>
      </c>
    </row>
    <row r="37" spans="1:143" x14ac:dyDescent="0.35">
      <c r="A37" t="s">
        <v>23</v>
      </c>
      <c r="B37" t="s">
        <v>297</v>
      </c>
      <c r="C37" t="s">
        <v>116</v>
      </c>
      <c r="D37" t="s">
        <v>146</v>
      </c>
      <c r="G37" t="s">
        <v>2238</v>
      </c>
      <c r="K37" t="s">
        <v>2217</v>
      </c>
      <c r="L37" t="s">
        <v>1896</v>
      </c>
      <c r="M37" t="s">
        <v>2218</v>
      </c>
      <c r="N37" t="s">
        <v>1898</v>
      </c>
      <c r="R37" t="s">
        <v>119</v>
      </c>
      <c r="S37" t="s">
        <v>298</v>
      </c>
      <c r="T37" t="s">
        <v>117</v>
      </c>
      <c r="V37" t="s">
        <v>2014</v>
      </c>
      <c r="W37" t="s">
        <v>1923</v>
      </c>
      <c r="X37" t="s">
        <v>2219</v>
      </c>
      <c r="Z37" t="s">
        <v>2239</v>
      </c>
      <c r="AB37">
        <v>1</v>
      </c>
      <c r="AC37">
        <v>4</v>
      </c>
      <c r="AJ37">
        <v>0</v>
      </c>
      <c r="AL37">
        <v>0</v>
      </c>
      <c r="AV37" t="s">
        <v>298</v>
      </c>
      <c r="AX37" t="s">
        <v>301</v>
      </c>
      <c r="BF37" t="s">
        <v>1906</v>
      </c>
      <c r="BG37" t="s">
        <v>1907</v>
      </c>
      <c r="BI37" t="s">
        <v>298</v>
      </c>
      <c r="BM37" t="s">
        <v>2240</v>
      </c>
      <c r="BN37" t="s">
        <v>299</v>
      </c>
      <c r="BO37" t="s">
        <v>299</v>
      </c>
      <c r="BQ37" t="s">
        <v>2239</v>
      </c>
      <c r="BR37">
        <v>1</v>
      </c>
      <c r="BS37">
        <v>4</v>
      </c>
      <c r="BT37" t="s">
        <v>301</v>
      </c>
      <c r="CB37" t="s">
        <v>2241</v>
      </c>
      <c r="CC37" t="s">
        <v>1996</v>
      </c>
      <c r="CD37" t="s">
        <v>1997</v>
      </c>
      <c r="CE37">
        <v>55.8</v>
      </c>
      <c r="CF37">
        <v>30.4</v>
      </c>
      <c r="CG37">
        <v>52.3</v>
      </c>
      <c r="CH37">
        <v>1024</v>
      </c>
      <c r="CI37">
        <v>37</v>
      </c>
      <c r="CJ37">
        <v>43</v>
      </c>
      <c r="CK37">
        <v>56.3</v>
      </c>
      <c r="CL37">
        <v>55.8</v>
      </c>
      <c r="CM37">
        <v>52.3</v>
      </c>
      <c r="CN37">
        <v>31680</v>
      </c>
      <c r="CO37">
        <v>13.6</v>
      </c>
      <c r="CP37">
        <v>315</v>
      </c>
      <c r="CQ37">
        <v>0</v>
      </c>
      <c r="CR37">
        <v>0</v>
      </c>
      <c r="CS37">
        <v>0</v>
      </c>
      <c r="CT37" t="s">
        <v>1915</v>
      </c>
      <c r="CU37">
        <v>163.8500061035156</v>
      </c>
      <c r="CV37">
        <v>105</v>
      </c>
      <c r="CW37">
        <v>1.950000047683716</v>
      </c>
      <c r="CX37">
        <v>1.6499999761581421</v>
      </c>
      <c r="CY37">
        <v>3.0499999523162842</v>
      </c>
      <c r="CZ37">
        <v>3.3499999046325679</v>
      </c>
      <c r="DA37">
        <v>1</v>
      </c>
      <c r="DB37">
        <v>1</v>
      </c>
      <c r="DC37">
        <v>0</v>
      </c>
      <c r="DD37">
        <v>0</v>
      </c>
      <c r="DE37">
        <v>219.38</v>
      </c>
      <c r="DF37">
        <v>312.73</v>
      </c>
      <c r="DG37">
        <v>0</v>
      </c>
      <c r="DH37">
        <v>0</v>
      </c>
      <c r="DI37">
        <v>0</v>
      </c>
      <c r="DJ37" t="s">
        <v>2225</v>
      </c>
      <c r="DM37">
        <v>19.75</v>
      </c>
      <c r="DN37">
        <v>245.5</v>
      </c>
      <c r="EL37">
        <v>0</v>
      </c>
      <c r="EM37" t="s">
        <v>300</v>
      </c>
    </row>
    <row r="38" spans="1:143" x14ac:dyDescent="0.35">
      <c r="A38" t="s">
        <v>23</v>
      </c>
      <c r="B38" t="s">
        <v>302</v>
      </c>
      <c r="C38" t="s">
        <v>116</v>
      </c>
      <c r="D38" t="s">
        <v>120</v>
      </c>
      <c r="E38">
        <v>91</v>
      </c>
      <c r="G38" t="s">
        <v>2242</v>
      </c>
      <c r="H38" t="s">
        <v>2243</v>
      </c>
      <c r="L38" t="s">
        <v>1896</v>
      </c>
      <c r="M38" t="s">
        <v>2196</v>
      </c>
      <c r="N38" t="s">
        <v>1898</v>
      </c>
      <c r="R38" t="s">
        <v>119</v>
      </c>
      <c r="S38" t="s">
        <v>303</v>
      </c>
      <c r="T38" t="s">
        <v>117</v>
      </c>
      <c r="Z38" t="s">
        <v>2239</v>
      </c>
      <c r="AB38">
        <v>1</v>
      </c>
      <c r="AC38">
        <v>2</v>
      </c>
      <c r="AD38" t="s">
        <v>1966</v>
      </c>
      <c r="AE38">
        <v>1955</v>
      </c>
      <c r="AG38" t="s">
        <v>1928</v>
      </c>
      <c r="AH38" t="s">
        <v>1929</v>
      </c>
      <c r="AI38">
        <v>98300</v>
      </c>
      <c r="AJ38">
        <v>0</v>
      </c>
      <c r="AL38">
        <v>0</v>
      </c>
      <c r="AV38" t="s">
        <v>303</v>
      </c>
      <c r="BD38" t="s">
        <v>2244</v>
      </c>
      <c r="BI38" t="s">
        <v>303</v>
      </c>
      <c r="BM38" t="s">
        <v>304</v>
      </c>
      <c r="BN38" t="s">
        <v>304</v>
      </c>
      <c r="BO38" t="s">
        <v>304</v>
      </c>
      <c r="BQ38" t="s">
        <v>2239</v>
      </c>
      <c r="BR38">
        <v>1</v>
      </c>
      <c r="BS38">
        <v>2</v>
      </c>
      <c r="BT38" t="s">
        <v>2245</v>
      </c>
      <c r="BU38" t="s">
        <v>1908</v>
      </c>
      <c r="BW38" t="s">
        <v>1948</v>
      </c>
      <c r="BX38" t="s">
        <v>1949</v>
      </c>
      <c r="BY38" t="s">
        <v>1911</v>
      </c>
      <c r="CA38" t="s">
        <v>1950</v>
      </c>
      <c r="CB38" t="s">
        <v>2246</v>
      </c>
      <c r="CC38" t="s">
        <v>1997</v>
      </c>
      <c r="CD38" t="s">
        <v>1997</v>
      </c>
      <c r="CE38">
        <v>29.8</v>
      </c>
      <c r="CF38">
        <v>10.8</v>
      </c>
      <c r="CG38">
        <v>19.899999999999999</v>
      </c>
      <c r="CH38">
        <v>1011</v>
      </c>
      <c r="CI38">
        <v>44</v>
      </c>
      <c r="CJ38">
        <v>17.399999999999999</v>
      </c>
      <c r="CK38">
        <v>30.2</v>
      </c>
      <c r="CL38">
        <v>29.8</v>
      </c>
      <c r="CM38">
        <v>19.899999999999999</v>
      </c>
      <c r="CN38">
        <v>31680</v>
      </c>
      <c r="CO38">
        <v>13.9</v>
      </c>
      <c r="CP38">
        <v>264</v>
      </c>
      <c r="CQ38">
        <v>0</v>
      </c>
      <c r="CR38">
        <v>0</v>
      </c>
      <c r="CS38">
        <v>0</v>
      </c>
      <c r="DJ38" t="s">
        <v>2204</v>
      </c>
      <c r="DM38">
        <v>2.02</v>
      </c>
      <c r="DN38">
        <v>1420.3</v>
      </c>
      <c r="EL38">
        <v>0</v>
      </c>
      <c r="EM38" t="s">
        <v>305</v>
      </c>
    </row>
    <row r="39" spans="1:143" x14ac:dyDescent="0.35">
      <c r="A39" t="s">
        <v>25</v>
      </c>
      <c r="B39" t="s">
        <v>306</v>
      </c>
      <c r="C39" t="s">
        <v>116</v>
      </c>
      <c r="D39" t="s">
        <v>146</v>
      </c>
      <c r="G39" t="s">
        <v>2247</v>
      </c>
      <c r="K39" t="s">
        <v>2248</v>
      </c>
      <c r="L39" t="s">
        <v>2249</v>
      </c>
      <c r="M39" t="s">
        <v>2250</v>
      </c>
      <c r="N39" t="s">
        <v>2251</v>
      </c>
      <c r="R39" t="s">
        <v>119</v>
      </c>
      <c r="S39" t="s">
        <v>307</v>
      </c>
      <c r="T39" t="s">
        <v>117</v>
      </c>
      <c r="Z39" t="s">
        <v>2252</v>
      </c>
      <c r="AB39">
        <v>2</v>
      </c>
      <c r="AC39">
        <v>3</v>
      </c>
      <c r="AD39" t="s">
        <v>2221</v>
      </c>
      <c r="AJ39">
        <v>0</v>
      </c>
      <c r="AL39">
        <v>0</v>
      </c>
      <c r="AS39" t="b">
        <v>0</v>
      </c>
      <c r="AV39" t="s">
        <v>307</v>
      </c>
      <c r="AX39" t="s">
        <v>310</v>
      </c>
      <c r="AY39" t="b">
        <v>1</v>
      </c>
      <c r="AZ39" t="b">
        <v>1</v>
      </c>
      <c r="BI39" t="s">
        <v>307</v>
      </c>
      <c r="BL39" t="s">
        <v>2253</v>
      </c>
      <c r="BM39" t="s">
        <v>308</v>
      </c>
      <c r="BN39" t="s">
        <v>308</v>
      </c>
      <c r="BO39" t="s">
        <v>308</v>
      </c>
      <c r="BQ39" t="s">
        <v>2252</v>
      </c>
      <c r="BR39">
        <v>2</v>
      </c>
      <c r="BS39">
        <v>3</v>
      </c>
      <c r="BU39" t="s">
        <v>1908</v>
      </c>
      <c r="BW39" t="s">
        <v>2128</v>
      </c>
      <c r="BX39" t="s">
        <v>1949</v>
      </c>
      <c r="BY39" t="s">
        <v>2039</v>
      </c>
      <c r="CB39" t="s">
        <v>2254</v>
      </c>
      <c r="CC39" t="s">
        <v>1996</v>
      </c>
      <c r="CD39" t="s">
        <v>1997</v>
      </c>
      <c r="CE39">
        <v>81</v>
      </c>
      <c r="CF39">
        <v>53.1</v>
      </c>
      <c r="CG39">
        <v>81.3</v>
      </c>
      <c r="CH39">
        <v>999</v>
      </c>
      <c r="CI39">
        <v>35</v>
      </c>
      <c r="CJ39">
        <v>61.7</v>
      </c>
      <c r="CK39">
        <v>89.6</v>
      </c>
      <c r="CL39">
        <v>81.3</v>
      </c>
      <c r="CM39">
        <v>81</v>
      </c>
      <c r="CN39">
        <v>31680</v>
      </c>
      <c r="CO39">
        <v>13.4</v>
      </c>
      <c r="CP39">
        <v>264</v>
      </c>
      <c r="CQ39">
        <v>6</v>
      </c>
      <c r="CR39">
        <v>0</v>
      </c>
      <c r="CS39">
        <v>0</v>
      </c>
      <c r="CT39" t="s">
        <v>1915</v>
      </c>
      <c r="CU39">
        <v>187</v>
      </c>
      <c r="CV39">
        <v>104</v>
      </c>
      <c r="CW39">
        <v>2.7</v>
      </c>
      <c r="CX39">
        <v>0.6</v>
      </c>
      <c r="CY39">
        <v>4.9000000000000004</v>
      </c>
      <c r="CZ39">
        <v>5.3</v>
      </c>
      <c r="DA39">
        <v>1</v>
      </c>
      <c r="DB39">
        <v>1</v>
      </c>
      <c r="DC39">
        <v>0</v>
      </c>
      <c r="DD39">
        <v>0</v>
      </c>
      <c r="DE39">
        <v>0</v>
      </c>
      <c r="DF39">
        <v>0</v>
      </c>
      <c r="DG39">
        <v>0</v>
      </c>
      <c r="DH39">
        <v>0</v>
      </c>
      <c r="DI39">
        <v>0</v>
      </c>
      <c r="DJ39" t="s">
        <v>2255</v>
      </c>
      <c r="DM39">
        <v>13.44</v>
      </c>
      <c r="DN39">
        <v>421.5</v>
      </c>
      <c r="DR39" t="s">
        <v>2039</v>
      </c>
      <c r="DS39">
        <v>868372</v>
      </c>
      <c r="DT39" t="s">
        <v>2256</v>
      </c>
      <c r="DU39" t="s">
        <v>2039</v>
      </c>
      <c r="DV39" t="s">
        <v>2257</v>
      </c>
      <c r="DW39" t="s">
        <v>2257</v>
      </c>
      <c r="DX39" t="s">
        <v>2257</v>
      </c>
      <c r="EL39">
        <v>0</v>
      </c>
      <c r="EM39" t="s">
        <v>309</v>
      </c>
    </row>
    <row r="40" spans="1:143" x14ac:dyDescent="0.35">
      <c r="A40" t="s">
        <v>25</v>
      </c>
      <c r="B40" t="s">
        <v>311</v>
      </c>
      <c r="C40" t="s">
        <v>116</v>
      </c>
      <c r="D40" t="s">
        <v>146</v>
      </c>
      <c r="G40" t="s">
        <v>2258</v>
      </c>
      <c r="K40" t="s">
        <v>2259</v>
      </c>
      <c r="L40" t="s">
        <v>1896</v>
      </c>
      <c r="M40" t="s">
        <v>2260</v>
      </c>
      <c r="N40" t="s">
        <v>1898</v>
      </c>
      <c r="R40" t="s">
        <v>119</v>
      </c>
      <c r="S40" t="s">
        <v>312</v>
      </c>
      <c r="T40" t="s">
        <v>117</v>
      </c>
      <c r="Z40" t="s">
        <v>2261</v>
      </c>
      <c r="AB40">
        <v>3</v>
      </c>
      <c r="AC40">
        <v>6</v>
      </c>
      <c r="AD40" t="s">
        <v>1926</v>
      </c>
      <c r="AJ40">
        <v>0</v>
      </c>
      <c r="AL40">
        <v>0</v>
      </c>
      <c r="AS40" t="b">
        <v>0</v>
      </c>
      <c r="AV40" t="s">
        <v>312</v>
      </c>
      <c r="AX40" t="s">
        <v>315</v>
      </c>
      <c r="AY40" t="b">
        <v>1</v>
      </c>
      <c r="AZ40" t="b">
        <v>1</v>
      </c>
      <c r="BA40" t="s">
        <v>1931</v>
      </c>
      <c r="BF40" t="s">
        <v>1906</v>
      </c>
      <c r="BG40" t="s">
        <v>2262</v>
      </c>
      <c r="BI40" t="s">
        <v>312</v>
      </c>
      <c r="BL40" t="s">
        <v>2263</v>
      </c>
      <c r="BM40" t="s">
        <v>313</v>
      </c>
      <c r="BN40" t="s">
        <v>313</v>
      </c>
      <c r="BO40" t="s">
        <v>313</v>
      </c>
      <c r="BQ40" t="s">
        <v>2261</v>
      </c>
      <c r="BR40">
        <v>3</v>
      </c>
      <c r="BS40">
        <v>6</v>
      </c>
      <c r="BU40" t="s">
        <v>1908</v>
      </c>
      <c r="BW40" t="s">
        <v>1993</v>
      </c>
      <c r="BX40" t="s">
        <v>2084</v>
      </c>
      <c r="BY40" t="s">
        <v>2039</v>
      </c>
      <c r="CA40" t="s">
        <v>2147</v>
      </c>
      <c r="DR40" t="s">
        <v>2039</v>
      </c>
      <c r="DS40">
        <v>652875</v>
      </c>
      <c r="DT40" t="s">
        <v>2264</v>
      </c>
      <c r="DU40" t="s">
        <v>2039</v>
      </c>
      <c r="DV40" t="s">
        <v>2257</v>
      </c>
      <c r="DW40" t="s">
        <v>2257</v>
      </c>
      <c r="DX40" t="s">
        <v>2257</v>
      </c>
      <c r="EL40">
        <v>0</v>
      </c>
      <c r="EM40" t="s">
        <v>314</v>
      </c>
    </row>
    <row r="41" spans="1:143" x14ac:dyDescent="0.35">
      <c r="A41" t="s">
        <v>25</v>
      </c>
      <c r="B41" t="s">
        <v>316</v>
      </c>
      <c r="C41" t="s">
        <v>116</v>
      </c>
      <c r="D41" t="s">
        <v>120</v>
      </c>
      <c r="E41">
        <v>84</v>
      </c>
      <c r="G41" t="s">
        <v>2265</v>
      </c>
      <c r="L41" t="s">
        <v>1896</v>
      </c>
      <c r="M41" t="s">
        <v>2266</v>
      </c>
      <c r="R41" t="s">
        <v>119</v>
      </c>
      <c r="S41" t="s">
        <v>317</v>
      </c>
      <c r="T41" t="s">
        <v>117</v>
      </c>
      <c r="Z41" t="s">
        <v>2261</v>
      </c>
      <c r="AB41">
        <v>3</v>
      </c>
      <c r="AC41">
        <v>6</v>
      </c>
      <c r="AD41" t="s">
        <v>1926</v>
      </c>
      <c r="AJ41">
        <v>0</v>
      </c>
      <c r="AL41">
        <v>0</v>
      </c>
      <c r="AS41" t="b">
        <v>0</v>
      </c>
      <c r="AV41" t="s">
        <v>317</v>
      </c>
      <c r="AX41" t="s">
        <v>320</v>
      </c>
      <c r="AY41" t="b">
        <v>1</v>
      </c>
      <c r="AZ41" t="b">
        <v>1</v>
      </c>
      <c r="BA41" t="s">
        <v>1956</v>
      </c>
      <c r="BF41" t="s">
        <v>1906</v>
      </c>
      <c r="BG41" t="s">
        <v>2183</v>
      </c>
      <c r="BI41" t="s">
        <v>317</v>
      </c>
      <c r="BL41" t="s">
        <v>2267</v>
      </c>
      <c r="BM41" t="s">
        <v>318</v>
      </c>
      <c r="BN41" t="s">
        <v>318</v>
      </c>
      <c r="BO41" t="s">
        <v>318</v>
      </c>
      <c r="BQ41" t="s">
        <v>2261</v>
      </c>
      <c r="BR41">
        <v>3</v>
      </c>
      <c r="BS41">
        <v>6</v>
      </c>
      <c r="BU41" t="s">
        <v>1908</v>
      </c>
      <c r="BW41" t="s">
        <v>1934</v>
      </c>
      <c r="BX41" t="s">
        <v>1949</v>
      </c>
      <c r="BY41" t="s">
        <v>2039</v>
      </c>
      <c r="CA41" t="s">
        <v>2147</v>
      </c>
      <c r="DR41" t="s">
        <v>2039</v>
      </c>
      <c r="DS41">
        <v>647655</v>
      </c>
      <c r="DT41" t="s">
        <v>2268</v>
      </c>
      <c r="DU41" t="s">
        <v>2039</v>
      </c>
      <c r="DV41" t="s">
        <v>2257</v>
      </c>
      <c r="DW41" t="s">
        <v>2257</v>
      </c>
      <c r="DX41" t="s">
        <v>2257</v>
      </c>
      <c r="EL41">
        <v>0</v>
      </c>
      <c r="EM41" t="s">
        <v>319</v>
      </c>
    </row>
    <row r="42" spans="1:143" x14ac:dyDescent="0.35">
      <c r="A42" t="s">
        <v>25</v>
      </c>
      <c r="B42" t="s">
        <v>321</v>
      </c>
      <c r="C42" t="s">
        <v>116</v>
      </c>
      <c r="D42" t="s">
        <v>146</v>
      </c>
      <c r="G42" t="s">
        <v>2269</v>
      </c>
      <c r="K42" t="s">
        <v>2270</v>
      </c>
      <c r="L42" t="s">
        <v>1896</v>
      </c>
      <c r="M42" t="s">
        <v>2271</v>
      </c>
      <c r="N42" t="s">
        <v>1898</v>
      </c>
      <c r="R42" t="s">
        <v>119</v>
      </c>
      <c r="S42" t="s">
        <v>322</v>
      </c>
      <c r="T42" t="s">
        <v>117</v>
      </c>
      <c r="U42" t="s">
        <v>325</v>
      </c>
      <c r="Z42" t="s">
        <v>2272</v>
      </c>
      <c r="AB42">
        <v>4</v>
      </c>
      <c r="AC42">
        <v>8</v>
      </c>
      <c r="AD42" t="s">
        <v>2273</v>
      </c>
      <c r="AJ42">
        <v>0</v>
      </c>
      <c r="AL42">
        <v>0</v>
      </c>
      <c r="AS42" t="b">
        <v>0</v>
      </c>
      <c r="AV42" t="s">
        <v>322</v>
      </c>
      <c r="AX42" t="s">
        <v>326</v>
      </c>
      <c r="AY42" t="b">
        <v>1</v>
      </c>
      <c r="AZ42" t="b">
        <v>1</v>
      </c>
      <c r="BA42" t="s">
        <v>1977</v>
      </c>
      <c r="BF42" t="s">
        <v>1906</v>
      </c>
      <c r="BG42" t="s">
        <v>2274</v>
      </c>
      <c r="BI42" t="s">
        <v>322</v>
      </c>
      <c r="BL42" t="s">
        <v>2275</v>
      </c>
      <c r="BM42" t="s">
        <v>323</v>
      </c>
      <c r="BN42" t="s">
        <v>323</v>
      </c>
      <c r="BO42" t="s">
        <v>323</v>
      </c>
      <c r="BQ42" t="s">
        <v>2272</v>
      </c>
      <c r="BR42">
        <v>4</v>
      </c>
      <c r="BS42">
        <v>8</v>
      </c>
      <c r="BU42" t="s">
        <v>2276</v>
      </c>
      <c r="BW42" t="s">
        <v>2277</v>
      </c>
      <c r="BX42" t="s">
        <v>1949</v>
      </c>
      <c r="BY42" t="s">
        <v>2039</v>
      </c>
      <c r="CB42" t="s">
        <v>323</v>
      </c>
      <c r="CC42" t="s">
        <v>1938</v>
      </c>
      <c r="CD42" t="s">
        <v>1939</v>
      </c>
      <c r="CE42">
        <v>58.3</v>
      </c>
      <c r="CF42">
        <v>41.9</v>
      </c>
      <c r="CG42">
        <v>56</v>
      </c>
      <c r="CH42">
        <v>1011</v>
      </c>
      <c r="CI42">
        <v>65</v>
      </c>
      <c r="CJ42">
        <v>39</v>
      </c>
      <c r="CK42">
        <v>58.6</v>
      </c>
      <c r="CL42">
        <v>58.3</v>
      </c>
      <c r="CM42">
        <v>56</v>
      </c>
      <c r="CN42">
        <v>31680</v>
      </c>
      <c r="CO42">
        <v>11.2</v>
      </c>
      <c r="CP42">
        <v>317</v>
      </c>
      <c r="CQ42">
        <v>70</v>
      </c>
      <c r="CR42">
        <v>0</v>
      </c>
      <c r="CS42">
        <v>0</v>
      </c>
      <c r="CT42" t="s">
        <v>1915</v>
      </c>
      <c r="CU42">
        <v>163.8500061035156</v>
      </c>
      <c r="CV42">
        <v>107</v>
      </c>
      <c r="CW42">
        <v>1.75</v>
      </c>
      <c r="CX42">
        <v>1.8500000238418579</v>
      </c>
      <c r="CY42">
        <v>6.5500001907348633</v>
      </c>
      <c r="CZ42">
        <v>8.0500001907348633</v>
      </c>
      <c r="DA42">
        <v>1</v>
      </c>
      <c r="DB42">
        <v>1</v>
      </c>
      <c r="DC42">
        <v>0</v>
      </c>
      <c r="DD42">
        <v>0</v>
      </c>
      <c r="DE42">
        <v>363.19</v>
      </c>
      <c r="DF42">
        <v>408.97</v>
      </c>
      <c r="DG42">
        <v>0</v>
      </c>
      <c r="DH42">
        <v>0</v>
      </c>
      <c r="DI42">
        <v>0</v>
      </c>
      <c r="DJ42" t="s">
        <v>2278</v>
      </c>
      <c r="DM42">
        <v>10.61</v>
      </c>
      <c r="DN42">
        <v>637.9</v>
      </c>
      <c r="DR42" t="s">
        <v>2039</v>
      </c>
      <c r="DS42">
        <v>642943</v>
      </c>
      <c r="DT42" t="s">
        <v>2279</v>
      </c>
      <c r="DU42" t="s">
        <v>2039</v>
      </c>
      <c r="DV42" t="s">
        <v>2257</v>
      </c>
      <c r="DW42" t="s">
        <v>2257</v>
      </c>
      <c r="DX42" t="s">
        <v>2257</v>
      </c>
      <c r="EF42" t="b">
        <v>0</v>
      </c>
      <c r="EG42">
        <v>1</v>
      </c>
      <c r="EH42" t="s">
        <v>2280</v>
      </c>
      <c r="EI42" t="s">
        <v>2182</v>
      </c>
      <c r="EJ42" t="s">
        <v>1959</v>
      </c>
      <c r="EL42">
        <v>0</v>
      </c>
      <c r="EM42" t="s">
        <v>324</v>
      </c>
    </row>
    <row r="43" spans="1:143" x14ac:dyDescent="0.35">
      <c r="A43" t="s">
        <v>25</v>
      </c>
      <c r="B43" t="s">
        <v>327</v>
      </c>
      <c r="C43" t="s">
        <v>116</v>
      </c>
      <c r="D43" t="s">
        <v>120</v>
      </c>
      <c r="E43">
        <v>9</v>
      </c>
      <c r="G43" t="s">
        <v>2281</v>
      </c>
      <c r="L43" t="s">
        <v>1896</v>
      </c>
      <c r="M43" t="s">
        <v>2282</v>
      </c>
      <c r="R43" t="s">
        <v>119</v>
      </c>
      <c r="S43" t="s">
        <v>328</v>
      </c>
      <c r="T43" t="s">
        <v>117</v>
      </c>
      <c r="Z43" t="s">
        <v>2283</v>
      </c>
      <c r="AB43">
        <v>3</v>
      </c>
      <c r="AC43">
        <v>9</v>
      </c>
      <c r="AD43" t="s">
        <v>1926</v>
      </c>
      <c r="AJ43">
        <v>0</v>
      </c>
      <c r="AL43">
        <v>0</v>
      </c>
      <c r="AS43" t="b">
        <v>0</v>
      </c>
      <c r="AV43" t="s">
        <v>328</v>
      </c>
      <c r="AX43" t="s">
        <v>331</v>
      </c>
      <c r="AY43" t="b">
        <v>1</v>
      </c>
      <c r="AZ43" t="b">
        <v>1</v>
      </c>
      <c r="BA43" t="s">
        <v>1931</v>
      </c>
      <c r="BF43" t="s">
        <v>1906</v>
      </c>
      <c r="BG43" t="s">
        <v>2284</v>
      </c>
      <c r="BI43" t="s">
        <v>328</v>
      </c>
      <c r="BL43" t="s">
        <v>2285</v>
      </c>
      <c r="BM43" t="s">
        <v>329</v>
      </c>
      <c r="BN43" t="s">
        <v>329</v>
      </c>
      <c r="BO43" t="s">
        <v>329</v>
      </c>
      <c r="BQ43" t="s">
        <v>2283</v>
      </c>
      <c r="BR43">
        <v>3</v>
      </c>
      <c r="BS43">
        <v>9</v>
      </c>
      <c r="BU43" t="s">
        <v>1908</v>
      </c>
      <c r="BW43" t="s">
        <v>1948</v>
      </c>
      <c r="BX43" t="s">
        <v>1949</v>
      </c>
      <c r="BY43" t="s">
        <v>2039</v>
      </c>
      <c r="CB43" t="s">
        <v>2286</v>
      </c>
      <c r="CC43" t="s">
        <v>1972</v>
      </c>
      <c r="CD43" t="s">
        <v>1973</v>
      </c>
      <c r="CE43">
        <v>39.6</v>
      </c>
      <c r="CF43">
        <v>33.299999999999997</v>
      </c>
      <c r="CG43">
        <v>33.1</v>
      </c>
      <c r="CH43">
        <v>1029</v>
      </c>
      <c r="CI43">
        <v>79</v>
      </c>
      <c r="CJ43">
        <v>37</v>
      </c>
      <c r="CK43">
        <v>55.2</v>
      </c>
      <c r="CL43">
        <v>39.6</v>
      </c>
      <c r="CM43">
        <v>33.1</v>
      </c>
      <c r="CN43">
        <v>31680</v>
      </c>
      <c r="CO43">
        <v>11</v>
      </c>
      <c r="CP43">
        <v>85</v>
      </c>
      <c r="CQ43">
        <v>97</v>
      </c>
      <c r="CR43">
        <v>0</v>
      </c>
      <c r="CS43">
        <v>0</v>
      </c>
      <c r="CT43" t="s">
        <v>1915</v>
      </c>
      <c r="DJ43" t="s">
        <v>2278</v>
      </c>
      <c r="DM43">
        <v>10.61</v>
      </c>
      <c r="DN43">
        <v>637.9</v>
      </c>
      <c r="DR43" t="s">
        <v>2039</v>
      </c>
      <c r="DS43">
        <v>546982</v>
      </c>
      <c r="DT43" t="s">
        <v>2287</v>
      </c>
      <c r="DU43" t="s">
        <v>2039</v>
      </c>
      <c r="DV43" t="s">
        <v>2257</v>
      </c>
      <c r="DW43" t="s">
        <v>2257</v>
      </c>
      <c r="DX43" t="s">
        <v>2257</v>
      </c>
      <c r="EL43">
        <v>0</v>
      </c>
      <c r="EM43" t="s">
        <v>330</v>
      </c>
    </row>
    <row r="44" spans="1:143" x14ac:dyDescent="0.35">
      <c r="A44" t="s">
        <v>27</v>
      </c>
      <c r="B44" t="s">
        <v>332</v>
      </c>
      <c r="C44" t="s">
        <v>116</v>
      </c>
      <c r="D44" t="s">
        <v>146</v>
      </c>
      <c r="G44" t="s">
        <v>2288</v>
      </c>
      <c r="K44" t="s">
        <v>2289</v>
      </c>
      <c r="L44" t="s">
        <v>1896</v>
      </c>
      <c r="M44" t="s">
        <v>2290</v>
      </c>
      <c r="N44" t="s">
        <v>1898</v>
      </c>
      <c r="R44" t="s">
        <v>119</v>
      </c>
      <c r="S44" t="s">
        <v>333</v>
      </c>
      <c r="T44" t="s">
        <v>117</v>
      </c>
      <c r="Z44" t="s">
        <v>2291</v>
      </c>
      <c r="AA44" t="s">
        <v>2292</v>
      </c>
      <c r="AB44">
        <v>1</v>
      </c>
      <c r="AC44">
        <v>2</v>
      </c>
      <c r="AJ44">
        <v>0</v>
      </c>
      <c r="AL44">
        <v>0</v>
      </c>
      <c r="AS44" t="b">
        <v>0</v>
      </c>
      <c r="AV44" t="s">
        <v>333</v>
      </c>
      <c r="BF44" t="s">
        <v>1906</v>
      </c>
      <c r="BG44" t="s">
        <v>2293</v>
      </c>
      <c r="BI44" t="s">
        <v>333</v>
      </c>
      <c r="BL44" t="s">
        <v>2294</v>
      </c>
      <c r="BM44" t="s">
        <v>334</v>
      </c>
      <c r="BN44" t="s">
        <v>334</v>
      </c>
      <c r="BO44" t="s">
        <v>334</v>
      </c>
      <c r="BQ44" t="s">
        <v>2291</v>
      </c>
      <c r="BR44">
        <v>1</v>
      </c>
      <c r="BS44">
        <v>2</v>
      </c>
      <c r="BU44" t="s">
        <v>1908</v>
      </c>
      <c r="BV44">
        <v>0</v>
      </c>
      <c r="BW44" t="s">
        <v>2295</v>
      </c>
      <c r="BX44" t="s">
        <v>1949</v>
      </c>
      <c r="BY44" t="s">
        <v>1970</v>
      </c>
      <c r="BZ44" t="s">
        <v>1910</v>
      </c>
      <c r="CB44" t="s">
        <v>2296</v>
      </c>
      <c r="CC44" t="s">
        <v>1913</v>
      </c>
      <c r="CD44" t="s">
        <v>1914</v>
      </c>
      <c r="CE44">
        <v>72.3</v>
      </c>
      <c r="CF44">
        <v>55.4</v>
      </c>
      <c r="CG44">
        <v>76.3</v>
      </c>
      <c r="CH44">
        <v>1005</v>
      </c>
      <c r="CI44">
        <v>55</v>
      </c>
      <c r="CJ44">
        <v>59.2</v>
      </c>
      <c r="CK44">
        <v>74.400000000000006</v>
      </c>
      <c r="CL44">
        <v>76.3</v>
      </c>
      <c r="CM44">
        <v>72.3</v>
      </c>
      <c r="CN44">
        <v>31680</v>
      </c>
      <c r="CO44">
        <v>14.5</v>
      </c>
      <c r="CP44">
        <v>303</v>
      </c>
      <c r="CQ44">
        <v>73</v>
      </c>
      <c r="CR44">
        <v>0.01</v>
      </c>
      <c r="CS44">
        <v>0</v>
      </c>
      <c r="CT44" t="s">
        <v>1915</v>
      </c>
      <c r="CU44">
        <v>107</v>
      </c>
      <c r="CV44">
        <v>86</v>
      </c>
      <c r="CW44">
        <v>0.6</v>
      </c>
      <c r="CX44">
        <v>0.2</v>
      </c>
      <c r="CY44">
        <v>4.9000000000000004</v>
      </c>
      <c r="CZ44">
        <v>5.0999999999999996</v>
      </c>
      <c r="DA44">
        <v>1</v>
      </c>
      <c r="DB44">
        <v>1</v>
      </c>
      <c r="DC44">
        <v>0</v>
      </c>
      <c r="DD44">
        <v>0</v>
      </c>
      <c r="DE44">
        <v>0</v>
      </c>
      <c r="DF44">
        <v>0</v>
      </c>
      <c r="DG44">
        <v>72.930000000000007</v>
      </c>
      <c r="DH44">
        <v>22.23</v>
      </c>
      <c r="DI44">
        <v>0</v>
      </c>
      <c r="DJ44" t="s">
        <v>2297</v>
      </c>
      <c r="DM44">
        <v>13.02</v>
      </c>
      <c r="DN44">
        <v>304.39999999999998</v>
      </c>
      <c r="EL44">
        <v>0</v>
      </c>
      <c r="EM44" t="s">
        <v>335</v>
      </c>
    </row>
    <row r="45" spans="1:143" x14ac:dyDescent="0.35">
      <c r="A45" t="s">
        <v>27</v>
      </c>
      <c r="B45" t="s">
        <v>336</v>
      </c>
      <c r="C45" t="s">
        <v>116</v>
      </c>
      <c r="D45" t="s">
        <v>146</v>
      </c>
      <c r="G45" t="s">
        <v>2298</v>
      </c>
      <c r="K45" t="s">
        <v>2289</v>
      </c>
      <c r="L45" t="s">
        <v>1896</v>
      </c>
      <c r="M45" t="s">
        <v>2290</v>
      </c>
      <c r="N45" t="s">
        <v>1898</v>
      </c>
      <c r="R45" t="s">
        <v>119</v>
      </c>
      <c r="S45" t="s">
        <v>337</v>
      </c>
      <c r="T45" t="s">
        <v>117</v>
      </c>
      <c r="Z45" t="s">
        <v>2291</v>
      </c>
      <c r="AA45" t="s">
        <v>2292</v>
      </c>
      <c r="AB45">
        <v>1</v>
      </c>
      <c r="AC45">
        <v>2</v>
      </c>
      <c r="AJ45">
        <v>0</v>
      </c>
      <c r="AL45">
        <v>0</v>
      </c>
      <c r="AS45" t="b">
        <v>0</v>
      </c>
      <c r="AV45" t="s">
        <v>337</v>
      </c>
      <c r="BF45" t="s">
        <v>1906</v>
      </c>
      <c r="BG45" t="s">
        <v>2090</v>
      </c>
      <c r="BI45" t="s">
        <v>337</v>
      </c>
      <c r="BL45" t="s">
        <v>2299</v>
      </c>
      <c r="BM45" t="s">
        <v>338</v>
      </c>
      <c r="BN45" t="s">
        <v>338</v>
      </c>
      <c r="BO45" t="s">
        <v>338</v>
      </c>
      <c r="BQ45" t="s">
        <v>2291</v>
      </c>
      <c r="BR45">
        <v>1</v>
      </c>
      <c r="BS45">
        <v>2</v>
      </c>
      <c r="BU45" t="s">
        <v>1908</v>
      </c>
      <c r="BW45" t="s">
        <v>1993</v>
      </c>
      <c r="BX45" t="s">
        <v>1949</v>
      </c>
      <c r="BY45" t="s">
        <v>1970</v>
      </c>
      <c r="BZ45" t="s">
        <v>1910</v>
      </c>
      <c r="CB45" t="s">
        <v>2300</v>
      </c>
      <c r="CC45" t="s">
        <v>1961</v>
      </c>
      <c r="CD45" t="s">
        <v>1962</v>
      </c>
      <c r="CE45">
        <v>52.7</v>
      </c>
      <c r="CF45">
        <v>36.700000000000003</v>
      </c>
      <c r="CG45">
        <v>51.2</v>
      </c>
      <c r="CH45">
        <v>1032</v>
      </c>
      <c r="CI45">
        <v>56</v>
      </c>
      <c r="CJ45">
        <v>47.5</v>
      </c>
      <c r="CK45">
        <v>63.7</v>
      </c>
      <c r="CL45">
        <v>52.7</v>
      </c>
      <c r="CM45">
        <v>51.2</v>
      </c>
      <c r="CN45">
        <v>31680</v>
      </c>
      <c r="CO45">
        <v>5.4</v>
      </c>
      <c r="CP45">
        <v>98</v>
      </c>
      <c r="CQ45">
        <v>47</v>
      </c>
      <c r="CR45">
        <v>0</v>
      </c>
      <c r="CS45">
        <v>0</v>
      </c>
      <c r="CT45" t="s">
        <v>1915</v>
      </c>
      <c r="CU45">
        <v>204.8500061035156</v>
      </c>
      <c r="CV45">
        <v>56</v>
      </c>
      <c r="CW45">
        <v>11.64999961853027</v>
      </c>
      <c r="CX45">
        <v>1.450000047683716</v>
      </c>
      <c r="CY45">
        <v>8.5500001907348633</v>
      </c>
      <c r="CZ45">
        <v>10.05000019073486</v>
      </c>
      <c r="DA45">
        <v>1</v>
      </c>
      <c r="DB45">
        <v>1</v>
      </c>
      <c r="DC45">
        <v>0</v>
      </c>
      <c r="DD45">
        <v>0</v>
      </c>
      <c r="DE45">
        <v>1.36</v>
      </c>
      <c r="DF45">
        <v>0</v>
      </c>
      <c r="DG45">
        <v>17.399999999999999</v>
      </c>
      <c r="DH45">
        <v>0</v>
      </c>
      <c r="DI45">
        <v>0</v>
      </c>
      <c r="DJ45" t="s">
        <v>2297</v>
      </c>
      <c r="DM45">
        <v>13.02</v>
      </c>
      <c r="DN45">
        <v>304.39999999999998</v>
      </c>
      <c r="EL45">
        <v>0</v>
      </c>
      <c r="EM45" t="s">
        <v>339</v>
      </c>
    </row>
    <row r="46" spans="1:143" x14ac:dyDescent="0.35">
      <c r="A46" t="s">
        <v>27</v>
      </c>
      <c r="B46" t="s">
        <v>340</v>
      </c>
      <c r="C46" t="s">
        <v>116</v>
      </c>
      <c r="D46" t="s">
        <v>146</v>
      </c>
      <c r="G46" t="s">
        <v>2298</v>
      </c>
      <c r="K46" t="s">
        <v>2289</v>
      </c>
      <c r="L46" t="s">
        <v>1896</v>
      </c>
      <c r="M46" t="s">
        <v>2290</v>
      </c>
      <c r="N46" t="s">
        <v>1898</v>
      </c>
      <c r="R46" t="s">
        <v>119</v>
      </c>
      <c r="S46" t="s">
        <v>341</v>
      </c>
      <c r="T46" t="s">
        <v>117</v>
      </c>
      <c r="Z46" t="s">
        <v>2291</v>
      </c>
      <c r="AA46" t="s">
        <v>2292</v>
      </c>
      <c r="AB46">
        <v>1</v>
      </c>
      <c r="AC46">
        <v>1</v>
      </c>
      <c r="AJ46">
        <v>0</v>
      </c>
      <c r="AL46">
        <v>0</v>
      </c>
      <c r="AS46" t="b">
        <v>0</v>
      </c>
      <c r="AV46" t="s">
        <v>341</v>
      </c>
      <c r="BF46" t="s">
        <v>1906</v>
      </c>
      <c r="BG46" t="s">
        <v>2301</v>
      </c>
      <c r="BI46" t="s">
        <v>341</v>
      </c>
      <c r="BL46" t="s">
        <v>2302</v>
      </c>
      <c r="BM46" t="s">
        <v>342</v>
      </c>
      <c r="BN46" t="s">
        <v>342</v>
      </c>
      <c r="BO46" t="s">
        <v>342</v>
      </c>
      <c r="BQ46" t="s">
        <v>2291</v>
      </c>
      <c r="BR46">
        <v>1</v>
      </c>
      <c r="BS46">
        <v>1</v>
      </c>
      <c r="BU46" t="s">
        <v>1908</v>
      </c>
      <c r="BW46" t="s">
        <v>1993</v>
      </c>
      <c r="BX46" t="s">
        <v>1949</v>
      </c>
      <c r="BY46" t="s">
        <v>1911</v>
      </c>
      <c r="BZ46" t="s">
        <v>1910</v>
      </c>
      <c r="CB46" t="s">
        <v>2303</v>
      </c>
      <c r="CC46" t="s">
        <v>1961</v>
      </c>
      <c r="CD46" t="s">
        <v>1962</v>
      </c>
      <c r="CE46">
        <v>55.2</v>
      </c>
      <c r="CF46">
        <v>33.4</v>
      </c>
      <c r="CG46">
        <v>52.1</v>
      </c>
      <c r="CH46">
        <v>1009</v>
      </c>
      <c r="CI46">
        <v>43</v>
      </c>
      <c r="CJ46">
        <v>40.5</v>
      </c>
      <c r="CK46">
        <v>56.8</v>
      </c>
      <c r="CL46">
        <v>55.2</v>
      </c>
      <c r="CM46">
        <v>52.1</v>
      </c>
      <c r="CN46">
        <v>31680</v>
      </c>
      <c r="CO46">
        <v>11.4</v>
      </c>
      <c r="CP46">
        <v>287</v>
      </c>
      <c r="CQ46">
        <v>44</v>
      </c>
      <c r="CR46">
        <v>0</v>
      </c>
      <c r="CS46">
        <v>0</v>
      </c>
      <c r="CT46" t="s">
        <v>1915</v>
      </c>
      <c r="CU46">
        <v>136.8500061035156</v>
      </c>
      <c r="CV46">
        <v>85</v>
      </c>
      <c r="CW46">
        <v>2.25</v>
      </c>
      <c r="CX46">
        <v>1.1499999761581421</v>
      </c>
      <c r="CY46">
        <v>1.75</v>
      </c>
      <c r="CZ46">
        <v>1.8500000238418579</v>
      </c>
      <c r="DA46">
        <v>1</v>
      </c>
      <c r="DB46">
        <v>1</v>
      </c>
      <c r="DC46">
        <v>0</v>
      </c>
      <c r="DD46">
        <v>0</v>
      </c>
      <c r="DE46">
        <v>143.81</v>
      </c>
      <c r="DF46">
        <v>139.06</v>
      </c>
      <c r="DG46">
        <v>0</v>
      </c>
      <c r="DH46">
        <v>0</v>
      </c>
      <c r="DI46">
        <v>0</v>
      </c>
      <c r="DJ46" t="s">
        <v>2297</v>
      </c>
      <c r="DM46">
        <v>13.02</v>
      </c>
      <c r="DN46">
        <v>304.39999999999998</v>
      </c>
      <c r="EL46">
        <v>0</v>
      </c>
      <c r="EM46" t="s">
        <v>343</v>
      </c>
    </row>
    <row r="47" spans="1:143" x14ac:dyDescent="0.35">
      <c r="A47" t="s">
        <v>27</v>
      </c>
      <c r="B47" t="s">
        <v>344</v>
      </c>
      <c r="C47" t="s">
        <v>116</v>
      </c>
      <c r="D47" t="s">
        <v>146</v>
      </c>
      <c r="G47" t="s">
        <v>2304</v>
      </c>
      <c r="K47" t="s">
        <v>2289</v>
      </c>
      <c r="L47" t="s">
        <v>1896</v>
      </c>
      <c r="M47" t="s">
        <v>2290</v>
      </c>
      <c r="N47" t="s">
        <v>1898</v>
      </c>
      <c r="R47" t="s">
        <v>119</v>
      </c>
      <c r="S47" t="s">
        <v>345</v>
      </c>
      <c r="T47" t="s">
        <v>117</v>
      </c>
      <c r="U47" t="s">
        <v>168</v>
      </c>
      <c r="Z47" t="s">
        <v>2305</v>
      </c>
      <c r="AA47" t="s">
        <v>2306</v>
      </c>
      <c r="AB47">
        <v>2</v>
      </c>
      <c r="AC47">
        <v>4</v>
      </c>
      <c r="AJ47">
        <v>0</v>
      </c>
      <c r="AL47">
        <v>0</v>
      </c>
      <c r="AS47" t="b">
        <v>0</v>
      </c>
      <c r="AV47" t="s">
        <v>345</v>
      </c>
      <c r="AW47" t="s">
        <v>2307</v>
      </c>
      <c r="BF47" t="s">
        <v>1906</v>
      </c>
      <c r="BG47" t="s">
        <v>2308</v>
      </c>
      <c r="BI47" t="s">
        <v>345</v>
      </c>
      <c r="BL47" t="s">
        <v>2309</v>
      </c>
      <c r="BM47" t="s">
        <v>346</v>
      </c>
      <c r="BN47" t="s">
        <v>346</v>
      </c>
      <c r="BO47" t="s">
        <v>346</v>
      </c>
      <c r="BQ47" t="s">
        <v>2305</v>
      </c>
      <c r="BR47">
        <v>2</v>
      </c>
      <c r="BS47">
        <v>4</v>
      </c>
      <c r="BU47" t="s">
        <v>1908</v>
      </c>
      <c r="BW47" t="s">
        <v>2032</v>
      </c>
      <c r="BX47" t="s">
        <v>1949</v>
      </c>
      <c r="BY47" t="s">
        <v>1970</v>
      </c>
      <c r="BZ47" t="s">
        <v>1910</v>
      </c>
      <c r="CB47" t="s">
        <v>2310</v>
      </c>
      <c r="CC47" t="s">
        <v>1996</v>
      </c>
      <c r="CD47" t="s">
        <v>1997</v>
      </c>
      <c r="CE47">
        <v>43.3</v>
      </c>
      <c r="CF47">
        <v>23.2</v>
      </c>
      <c r="CG47">
        <v>36.700000000000003</v>
      </c>
      <c r="CH47">
        <v>1028</v>
      </c>
      <c r="CI47">
        <v>44</v>
      </c>
      <c r="CJ47">
        <v>22.8</v>
      </c>
      <c r="CK47">
        <v>44.1</v>
      </c>
      <c r="CL47">
        <v>43.3</v>
      </c>
      <c r="CM47">
        <v>36.700000000000003</v>
      </c>
      <c r="CN47">
        <v>31680</v>
      </c>
      <c r="CO47">
        <v>12.8</v>
      </c>
      <c r="CP47">
        <v>230</v>
      </c>
      <c r="CQ47">
        <v>11</v>
      </c>
      <c r="CR47">
        <v>0</v>
      </c>
      <c r="CS47">
        <v>0</v>
      </c>
      <c r="CT47" t="s">
        <v>1915</v>
      </c>
      <c r="DJ47" t="s">
        <v>2297</v>
      </c>
      <c r="DM47">
        <v>13.02</v>
      </c>
      <c r="DN47">
        <v>304.39999999999998</v>
      </c>
      <c r="EL47">
        <v>0</v>
      </c>
      <c r="EM47" t="s">
        <v>347</v>
      </c>
    </row>
    <row r="48" spans="1:143" x14ac:dyDescent="0.35">
      <c r="A48" t="s">
        <v>29</v>
      </c>
      <c r="B48" t="s">
        <v>348</v>
      </c>
      <c r="C48" t="s">
        <v>116</v>
      </c>
      <c r="D48" t="s">
        <v>120</v>
      </c>
      <c r="L48" t="s">
        <v>1896</v>
      </c>
      <c r="M48" t="s">
        <v>2311</v>
      </c>
      <c r="R48" t="s">
        <v>119</v>
      </c>
      <c r="S48" t="s">
        <v>349</v>
      </c>
      <c r="T48" t="s">
        <v>117</v>
      </c>
      <c r="AB48">
        <v>0</v>
      </c>
      <c r="AC48">
        <v>0</v>
      </c>
      <c r="AJ48">
        <v>0</v>
      </c>
      <c r="AL48">
        <v>0</v>
      </c>
      <c r="AV48" t="s">
        <v>349</v>
      </c>
      <c r="AX48" t="s">
        <v>352</v>
      </c>
      <c r="AY48" t="b">
        <v>1</v>
      </c>
      <c r="BA48" t="s">
        <v>2312</v>
      </c>
      <c r="BD48" t="s">
        <v>2313</v>
      </c>
      <c r="BF48" t="s">
        <v>1906</v>
      </c>
      <c r="BG48" t="s">
        <v>1907</v>
      </c>
      <c r="BI48" t="s">
        <v>349</v>
      </c>
      <c r="BL48" t="s">
        <v>2314</v>
      </c>
      <c r="BM48" t="s">
        <v>2315</v>
      </c>
      <c r="BN48" t="s">
        <v>2315</v>
      </c>
      <c r="BO48" t="s">
        <v>350</v>
      </c>
      <c r="BP48" t="s">
        <v>2316</v>
      </c>
      <c r="BQ48" t="s">
        <v>2317</v>
      </c>
      <c r="BR48">
        <v>3</v>
      </c>
      <c r="BS48">
        <v>4</v>
      </c>
      <c r="BU48" t="s">
        <v>1908</v>
      </c>
      <c r="BV48">
        <v>0</v>
      </c>
      <c r="BW48" t="s">
        <v>1909</v>
      </c>
      <c r="BX48" t="s">
        <v>1949</v>
      </c>
      <c r="BY48" t="s">
        <v>1911</v>
      </c>
      <c r="BZ48" t="s">
        <v>1910</v>
      </c>
      <c r="CB48" t="s">
        <v>2318</v>
      </c>
      <c r="CC48" t="s">
        <v>1972</v>
      </c>
      <c r="CD48" t="s">
        <v>1973</v>
      </c>
      <c r="CE48">
        <v>74.099999999999994</v>
      </c>
      <c r="CF48">
        <v>57.4</v>
      </c>
      <c r="CG48">
        <v>77.099999999999994</v>
      </c>
      <c r="CH48">
        <v>1020</v>
      </c>
      <c r="CI48">
        <v>56</v>
      </c>
      <c r="CJ48">
        <v>55.4</v>
      </c>
      <c r="CK48">
        <v>76.099999999999994</v>
      </c>
      <c r="CL48">
        <v>77.099999999999994</v>
      </c>
      <c r="CM48">
        <v>74.099999999999994</v>
      </c>
      <c r="CN48">
        <v>31680</v>
      </c>
      <c r="CO48">
        <v>9.1999999999999993</v>
      </c>
      <c r="CP48">
        <v>247</v>
      </c>
      <c r="CQ48">
        <v>92</v>
      </c>
      <c r="CR48">
        <v>0</v>
      </c>
      <c r="CS48">
        <v>0</v>
      </c>
      <c r="CT48" t="s">
        <v>1915</v>
      </c>
      <c r="CU48">
        <v>137</v>
      </c>
      <c r="CV48">
        <v>92</v>
      </c>
      <c r="CW48">
        <v>1.4</v>
      </c>
      <c r="CX48">
        <v>0.8</v>
      </c>
      <c r="CY48">
        <v>1.6</v>
      </c>
      <c r="CZ48">
        <v>1.6</v>
      </c>
      <c r="DA48">
        <v>1</v>
      </c>
      <c r="DB48">
        <v>1</v>
      </c>
      <c r="DC48">
        <v>0</v>
      </c>
      <c r="DD48">
        <v>0</v>
      </c>
      <c r="DE48">
        <v>0</v>
      </c>
      <c r="DF48">
        <v>0</v>
      </c>
      <c r="DG48">
        <v>33.61</v>
      </c>
      <c r="DH48">
        <v>33.93</v>
      </c>
      <c r="DI48">
        <v>84.95</v>
      </c>
      <c r="DJ48" t="s">
        <v>2319</v>
      </c>
      <c r="DK48" t="s">
        <v>2320</v>
      </c>
      <c r="DL48" t="s">
        <v>2321</v>
      </c>
      <c r="DM48">
        <v>16.579999999999998</v>
      </c>
      <c r="DN48">
        <v>207.4</v>
      </c>
      <c r="EL48">
        <v>0</v>
      </c>
      <c r="EM48" t="s">
        <v>351</v>
      </c>
    </row>
    <row r="49" spans="1:143" x14ac:dyDescent="0.35">
      <c r="A49" t="s">
        <v>29</v>
      </c>
      <c r="B49" t="s">
        <v>353</v>
      </c>
      <c r="C49" t="s">
        <v>116</v>
      </c>
      <c r="D49" t="s">
        <v>120</v>
      </c>
      <c r="L49" t="s">
        <v>1896</v>
      </c>
      <c r="M49" t="s">
        <v>2322</v>
      </c>
      <c r="R49" t="s">
        <v>119</v>
      </c>
      <c r="S49" t="s">
        <v>354</v>
      </c>
      <c r="T49" t="s">
        <v>117</v>
      </c>
      <c r="V49" t="s">
        <v>2014</v>
      </c>
      <c r="W49" t="s">
        <v>1923</v>
      </c>
      <c r="X49" t="s">
        <v>2015</v>
      </c>
      <c r="AB49">
        <v>0</v>
      </c>
      <c r="AC49">
        <v>0</v>
      </c>
      <c r="AJ49">
        <v>0</v>
      </c>
      <c r="AL49">
        <v>0</v>
      </c>
      <c r="AV49" t="s">
        <v>354</v>
      </c>
      <c r="AX49" t="s">
        <v>357</v>
      </c>
      <c r="AY49" t="b">
        <v>1</v>
      </c>
      <c r="BA49" t="s">
        <v>1931</v>
      </c>
      <c r="BD49" t="s">
        <v>2323</v>
      </c>
      <c r="BF49" t="s">
        <v>1906</v>
      </c>
      <c r="BG49" t="s">
        <v>1907</v>
      </c>
      <c r="BI49" t="s">
        <v>354</v>
      </c>
      <c r="BL49" t="s">
        <v>2324</v>
      </c>
      <c r="BM49" t="s">
        <v>355</v>
      </c>
      <c r="BN49" t="s">
        <v>355</v>
      </c>
      <c r="BO49" t="s">
        <v>355</v>
      </c>
      <c r="BP49" t="s">
        <v>2325</v>
      </c>
      <c r="BQ49" t="s">
        <v>2326</v>
      </c>
      <c r="BR49">
        <v>1</v>
      </c>
      <c r="BS49">
        <v>3</v>
      </c>
      <c r="CB49" t="s">
        <v>149</v>
      </c>
      <c r="CC49" t="s">
        <v>1996</v>
      </c>
      <c r="CD49" t="s">
        <v>1997</v>
      </c>
      <c r="CE49">
        <v>73.900000000000006</v>
      </c>
      <c r="CF49">
        <v>52.3</v>
      </c>
      <c r="CG49">
        <v>76.400000000000006</v>
      </c>
      <c r="CH49">
        <v>1008</v>
      </c>
      <c r="CI49">
        <v>45</v>
      </c>
      <c r="CJ49">
        <v>48.9</v>
      </c>
      <c r="CK49">
        <v>76.099999999999994</v>
      </c>
      <c r="CL49">
        <v>76.400000000000006</v>
      </c>
      <c r="CM49">
        <v>73.900000000000006</v>
      </c>
      <c r="CN49">
        <v>31680</v>
      </c>
      <c r="CO49">
        <v>15.9</v>
      </c>
      <c r="CP49">
        <v>203</v>
      </c>
      <c r="CQ49">
        <v>11</v>
      </c>
      <c r="CR49">
        <v>0</v>
      </c>
      <c r="CS49">
        <v>0</v>
      </c>
      <c r="CT49" t="s">
        <v>1915</v>
      </c>
      <c r="CU49">
        <v>166.8500061035156</v>
      </c>
      <c r="CV49">
        <v>145</v>
      </c>
      <c r="CW49">
        <v>3.6500000953674321</v>
      </c>
      <c r="CX49">
        <v>3.8499999046325679</v>
      </c>
      <c r="CY49">
        <v>10.55000019073486</v>
      </c>
      <c r="CZ49">
        <v>11.35000038146973</v>
      </c>
      <c r="DA49">
        <v>1</v>
      </c>
      <c r="DB49">
        <v>1</v>
      </c>
      <c r="DC49">
        <v>0</v>
      </c>
      <c r="DD49">
        <v>0</v>
      </c>
      <c r="DE49">
        <v>373.14</v>
      </c>
      <c r="DF49">
        <v>1510.37</v>
      </c>
      <c r="DG49">
        <v>0</v>
      </c>
      <c r="DH49">
        <v>0</v>
      </c>
      <c r="DI49">
        <v>0</v>
      </c>
      <c r="DJ49" t="s">
        <v>1940</v>
      </c>
      <c r="DM49">
        <v>27.64</v>
      </c>
      <c r="DN49">
        <v>180</v>
      </c>
      <c r="EL49">
        <v>0</v>
      </c>
      <c r="EM49" t="s">
        <v>356</v>
      </c>
    </row>
    <row r="50" spans="1:143" x14ac:dyDescent="0.35">
      <c r="A50" t="s">
        <v>29</v>
      </c>
      <c r="B50" t="s">
        <v>358</v>
      </c>
      <c r="C50" t="s">
        <v>116</v>
      </c>
      <c r="D50" t="s">
        <v>120</v>
      </c>
      <c r="L50" t="s">
        <v>1896</v>
      </c>
      <c r="M50" t="s">
        <v>2311</v>
      </c>
      <c r="R50" t="s">
        <v>119</v>
      </c>
      <c r="S50" t="s">
        <v>359</v>
      </c>
      <c r="T50" t="s">
        <v>168</v>
      </c>
      <c r="U50" t="s">
        <v>117</v>
      </c>
      <c r="AB50">
        <v>0</v>
      </c>
      <c r="AC50">
        <v>0</v>
      </c>
      <c r="AJ50">
        <v>0</v>
      </c>
      <c r="AL50">
        <v>0</v>
      </c>
      <c r="AV50" t="s">
        <v>359</v>
      </c>
      <c r="AX50" t="s">
        <v>362</v>
      </c>
      <c r="AY50" t="b">
        <v>1</v>
      </c>
      <c r="BA50" t="s">
        <v>2164</v>
      </c>
      <c r="BD50" t="s">
        <v>2327</v>
      </c>
      <c r="BF50" t="s">
        <v>1906</v>
      </c>
      <c r="BG50" t="s">
        <v>2328</v>
      </c>
      <c r="BI50" t="s">
        <v>359</v>
      </c>
      <c r="BL50" t="s">
        <v>2329</v>
      </c>
      <c r="BM50" t="s">
        <v>2330</v>
      </c>
      <c r="BN50" t="s">
        <v>2330</v>
      </c>
      <c r="BO50" t="s">
        <v>360</v>
      </c>
      <c r="BP50" t="s">
        <v>2331</v>
      </c>
      <c r="BQ50" t="s">
        <v>2332</v>
      </c>
      <c r="BR50">
        <v>4</v>
      </c>
      <c r="BS50">
        <v>5</v>
      </c>
      <c r="BU50" t="s">
        <v>1908</v>
      </c>
      <c r="BV50">
        <v>0.5</v>
      </c>
      <c r="BW50" t="s">
        <v>2032</v>
      </c>
      <c r="BX50" t="s">
        <v>1949</v>
      </c>
      <c r="BY50" t="s">
        <v>1970</v>
      </c>
      <c r="BZ50" t="s">
        <v>1910</v>
      </c>
      <c r="CB50" t="s">
        <v>2333</v>
      </c>
      <c r="CC50" t="s">
        <v>1961</v>
      </c>
      <c r="CD50" t="s">
        <v>1962</v>
      </c>
      <c r="CE50">
        <v>75.7</v>
      </c>
      <c r="CF50">
        <v>49.3</v>
      </c>
      <c r="CG50">
        <v>76.599999999999994</v>
      </c>
      <c r="CH50">
        <v>1008</v>
      </c>
      <c r="CI50">
        <v>37</v>
      </c>
      <c r="CJ50">
        <v>49.5</v>
      </c>
      <c r="CK50">
        <v>75.7</v>
      </c>
      <c r="CL50">
        <v>76.599999999999994</v>
      </c>
      <c r="CM50">
        <v>75.7</v>
      </c>
      <c r="CN50">
        <v>31680</v>
      </c>
      <c r="CO50">
        <v>15.9</v>
      </c>
      <c r="CP50">
        <v>220</v>
      </c>
      <c r="CQ50">
        <v>28</v>
      </c>
      <c r="CR50">
        <v>0</v>
      </c>
      <c r="CS50">
        <v>0</v>
      </c>
      <c r="CT50" t="s">
        <v>1915</v>
      </c>
      <c r="CU50">
        <v>162.8500061035156</v>
      </c>
      <c r="CV50">
        <v>134</v>
      </c>
      <c r="CW50">
        <v>3.1500000953674321</v>
      </c>
      <c r="CX50">
        <v>4.5500001907348633</v>
      </c>
      <c r="CY50">
        <v>12.14999961853027</v>
      </c>
      <c r="CZ50">
        <v>13.05000019073486</v>
      </c>
      <c r="DA50">
        <v>1</v>
      </c>
      <c r="DB50">
        <v>2</v>
      </c>
      <c r="DC50">
        <v>0</v>
      </c>
      <c r="DD50">
        <v>0</v>
      </c>
      <c r="DE50">
        <v>379.65</v>
      </c>
      <c r="DF50">
        <v>1395.43</v>
      </c>
      <c r="DG50">
        <v>0</v>
      </c>
      <c r="DH50">
        <v>0</v>
      </c>
      <c r="DI50">
        <v>0</v>
      </c>
      <c r="DJ50" t="s">
        <v>2319</v>
      </c>
      <c r="DM50">
        <v>16.579999999999998</v>
      </c>
      <c r="DN50">
        <v>207.4</v>
      </c>
      <c r="EL50">
        <v>0</v>
      </c>
      <c r="EM50" t="s">
        <v>361</v>
      </c>
    </row>
    <row r="51" spans="1:143" x14ac:dyDescent="0.35">
      <c r="A51" t="s">
        <v>29</v>
      </c>
      <c r="B51" t="s">
        <v>363</v>
      </c>
      <c r="C51" t="s">
        <v>116</v>
      </c>
      <c r="D51" t="s">
        <v>120</v>
      </c>
      <c r="E51">
        <v>76</v>
      </c>
      <c r="G51" t="s">
        <v>2334</v>
      </c>
      <c r="L51" t="s">
        <v>1896</v>
      </c>
      <c r="M51" t="s">
        <v>2311</v>
      </c>
      <c r="R51" t="s">
        <v>119</v>
      </c>
      <c r="S51" t="s">
        <v>364</v>
      </c>
      <c r="T51" t="s">
        <v>117</v>
      </c>
      <c r="AB51">
        <v>0</v>
      </c>
      <c r="AC51">
        <v>0</v>
      </c>
      <c r="AJ51">
        <v>0</v>
      </c>
      <c r="AL51">
        <v>0</v>
      </c>
      <c r="AV51" t="s">
        <v>364</v>
      </c>
      <c r="AX51" t="s">
        <v>367</v>
      </c>
      <c r="AY51" t="b">
        <v>1</v>
      </c>
      <c r="BA51" t="s">
        <v>2062</v>
      </c>
      <c r="BD51" t="s">
        <v>2335</v>
      </c>
      <c r="BF51" t="s">
        <v>1906</v>
      </c>
      <c r="BG51" t="s">
        <v>1907</v>
      </c>
      <c r="BI51" t="s">
        <v>364</v>
      </c>
      <c r="BL51" t="s">
        <v>360</v>
      </c>
      <c r="BM51" t="s">
        <v>365</v>
      </c>
      <c r="BN51" t="s">
        <v>365</v>
      </c>
      <c r="BO51" t="s">
        <v>365</v>
      </c>
      <c r="BP51" t="s">
        <v>2336</v>
      </c>
      <c r="BQ51" t="s">
        <v>2337</v>
      </c>
      <c r="BR51">
        <v>3</v>
      </c>
      <c r="BS51">
        <v>5</v>
      </c>
      <c r="BU51" t="s">
        <v>1908</v>
      </c>
      <c r="BV51">
        <v>0.25</v>
      </c>
      <c r="BW51" t="s">
        <v>1948</v>
      </c>
      <c r="BX51" t="s">
        <v>1949</v>
      </c>
      <c r="BY51" t="s">
        <v>1970</v>
      </c>
      <c r="BZ51" t="s">
        <v>1910</v>
      </c>
      <c r="CB51" t="s">
        <v>2333</v>
      </c>
      <c r="CC51" t="s">
        <v>1996</v>
      </c>
      <c r="CD51" t="s">
        <v>1997</v>
      </c>
      <c r="CE51">
        <v>76.099999999999994</v>
      </c>
      <c r="CF51">
        <v>50.2</v>
      </c>
      <c r="CG51">
        <v>77</v>
      </c>
      <c r="CH51">
        <v>1008</v>
      </c>
      <c r="CI51">
        <v>39</v>
      </c>
      <c r="CJ51">
        <v>48.9</v>
      </c>
      <c r="CK51">
        <v>76.099999999999994</v>
      </c>
      <c r="CL51">
        <v>77</v>
      </c>
      <c r="CM51">
        <v>76.099999999999994</v>
      </c>
      <c r="CN51">
        <v>31680</v>
      </c>
      <c r="CO51">
        <v>15.9</v>
      </c>
      <c r="CP51">
        <v>217</v>
      </c>
      <c r="CQ51">
        <v>16</v>
      </c>
      <c r="CR51">
        <v>0</v>
      </c>
      <c r="CS51">
        <v>0</v>
      </c>
      <c r="CT51" t="s">
        <v>1915</v>
      </c>
      <c r="CU51">
        <v>162.8500061035156</v>
      </c>
      <c r="CV51">
        <v>138</v>
      </c>
      <c r="CW51">
        <v>3.6500000953674321</v>
      </c>
      <c r="CX51">
        <v>4.25</v>
      </c>
      <c r="CY51">
        <v>10.85000038146973</v>
      </c>
      <c r="CZ51">
        <v>11.75</v>
      </c>
      <c r="DA51">
        <v>1</v>
      </c>
      <c r="DB51">
        <v>1</v>
      </c>
      <c r="DC51">
        <v>0</v>
      </c>
      <c r="DD51">
        <v>0</v>
      </c>
      <c r="DE51">
        <v>390.53</v>
      </c>
      <c r="DF51">
        <v>1304.29</v>
      </c>
      <c r="DG51">
        <v>0</v>
      </c>
      <c r="DH51">
        <v>0</v>
      </c>
      <c r="DI51">
        <v>0</v>
      </c>
      <c r="DJ51" t="s">
        <v>2319</v>
      </c>
      <c r="DM51">
        <v>16.579999999999998</v>
      </c>
      <c r="DN51">
        <v>207.4</v>
      </c>
      <c r="EL51">
        <v>0</v>
      </c>
      <c r="EM51" t="s">
        <v>366</v>
      </c>
    </row>
    <row r="52" spans="1:143" x14ac:dyDescent="0.35">
      <c r="A52" t="s">
        <v>29</v>
      </c>
      <c r="B52" t="s">
        <v>368</v>
      </c>
      <c r="C52" t="s">
        <v>116</v>
      </c>
      <c r="D52" t="s">
        <v>120</v>
      </c>
      <c r="L52" t="s">
        <v>1896</v>
      </c>
      <c r="M52" t="s">
        <v>2322</v>
      </c>
      <c r="R52" t="s">
        <v>119</v>
      </c>
      <c r="S52" t="s">
        <v>369</v>
      </c>
      <c r="T52" t="s">
        <v>117</v>
      </c>
      <c r="V52" t="s">
        <v>2197</v>
      </c>
      <c r="W52" t="s">
        <v>2338</v>
      </c>
      <c r="X52" t="s">
        <v>2339</v>
      </c>
      <c r="AB52">
        <v>0</v>
      </c>
      <c r="AC52">
        <v>0</v>
      </c>
      <c r="AJ52">
        <v>0</v>
      </c>
      <c r="AL52">
        <v>0</v>
      </c>
      <c r="AV52" t="s">
        <v>369</v>
      </c>
      <c r="AX52" t="s">
        <v>372</v>
      </c>
      <c r="AY52" t="b">
        <v>1</v>
      </c>
      <c r="BA52" t="s">
        <v>2062</v>
      </c>
      <c r="BD52" t="s">
        <v>2340</v>
      </c>
      <c r="BF52" t="s">
        <v>1906</v>
      </c>
      <c r="BG52" t="s">
        <v>1907</v>
      </c>
      <c r="BI52" t="s">
        <v>2341</v>
      </c>
      <c r="BL52" t="s">
        <v>2342</v>
      </c>
      <c r="BM52" t="s">
        <v>370</v>
      </c>
      <c r="BN52" t="s">
        <v>370</v>
      </c>
      <c r="BO52" t="s">
        <v>370</v>
      </c>
      <c r="BP52" t="s">
        <v>2343</v>
      </c>
      <c r="BQ52" t="s">
        <v>2344</v>
      </c>
      <c r="BR52">
        <v>2</v>
      </c>
      <c r="BS52">
        <v>3</v>
      </c>
      <c r="CB52" t="s">
        <v>2345</v>
      </c>
      <c r="CC52" t="s">
        <v>1996</v>
      </c>
      <c r="CD52" t="s">
        <v>1997</v>
      </c>
      <c r="CE52">
        <v>62.1</v>
      </c>
      <c r="CF52">
        <v>34.5</v>
      </c>
      <c r="CG52">
        <v>62.1</v>
      </c>
      <c r="CH52">
        <v>1021</v>
      </c>
      <c r="CI52">
        <v>35</v>
      </c>
      <c r="CJ52">
        <v>38.9</v>
      </c>
      <c r="CK52">
        <v>64</v>
      </c>
      <c r="CL52">
        <v>62.1</v>
      </c>
      <c r="CM52">
        <v>62.1</v>
      </c>
      <c r="CN52">
        <v>31680</v>
      </c>
      <c r="CO52">
        <v>7.8</v>
      </c>
      <c r="CP52">
        <v>95</v>
      </c>
      <c r="CQ52">
        <v>0</v>
      </c>
      <c r="CR52">
        <v>0</v>
      </c>
      <c r="CS52">
        <v>0</v>
      </c>
      <c r="CT52" t="s">
        <v>1915</v>
      </c>
      <c r="CU52">
        <v>148.8500061035156</v>
      </c>
      <c r="CV52">
        <v>70</v>
      </c>
      <c r="CW52">
        <v>8.75</v>
      </c>
      <c r="CX52">
        <v>2.75</v>
      </c>
      <c r="CY52">
        <v>8.75</v>
      </c>
      <c r="CZ52">
        <v>11.35000038146973</v>
      </c>
      <c r="DA52">
        <v>1</v>
      </c>
      <c r="DB52">
        <v>1</v>
      </c>
      <c r="DC52">
        <v>0</v>
      </c>
      <c r="DD52">
        <v>0</v>
      </c>
      <c r="DE52">
        <v>310.49</v>
      </c>
      <c r="DF52">
        <v>458.01</v>
      </c>
      <c r="DG52">
        <v>0</v>
      </c>
      <c r="DH52">
        <v>0</v>
      </c>
      <c r="DI52">
        <v>0</v>
      </c>
      <c r="DJ52" t="s">
        <v>2346</v>
      </c>
      <c r="DM52">
        <v>21.95</v>
      </c>
      <c r="DN52">
        <v>215.7</v>
      </c>
      <c r="EL52">
        <v>0</v>
      </c>
      <c r="EM52" t="s">
        <v>371</v>
      </c>
    </row>
    <row r="53" spans="1:143" x14ac:dyDescent="0.35">
      <c r="A53" t="s">
        <v>29</v>
      </c>
      <c r="B53" t="s">
        <v>373</v>
      </c>
      <c r="C53" t="s">
        <v>116</v>
      </c>
      <c r="D53" t="s">
        <v>120</v>
      </c>
      <c r="E53">
        <v>149</v>
      </c>
      <c r="G53" t="s">
        <v>2347</v>
      </c>
      <c r="L53" t="s">
        <v>1896</v>
      </c>
      <c r="M53" t="s">
        <v>2311</v>
      </c>
      <c r="R53" t="s">
        <v>119</v>
      </c>
      <c r="S53" t="s">
        <v>374</v>
      </c>
      <c r="T53" t="s">
        <v>117</v>
      </c>
      <c r="AB53">
        <v>0</v>
      </c>
      <c r="AC53">
        <v>0</v>
      </c>
      <c r="AE53">
        <v>1950</v>
      </c>
      <c r="AF53" t="s">
        <v>2348</v>
      </c>
      <c r="AG53" t="s">
        <v>1928</v>
      </c>
      <c r="AH53" t="s">
        <v>1929</v>
      </c>
      <c r="AI53">
        <v>186600</v>
      </c>
      <c r="AJ53">
        <v>0</v>
      </c>
      <c r="AL53">
        <v>0</v>
      </c>
      <c r="AV53" t="s">
        <v>374</v>
      </c>
      <c r="AX53" t="s">
        <v>377</v>
      </c>
      <c r="AY53" t="b">
        <v>0</v>
      </c>
      <c r="BA53" t="s">
        <v>2062</v>
      </c>
      <c r="BD53" t="s">
        <v>2349</v>
      </c>
      <c r="BF53" t="s">
        <v>1906</v>
      </c>
      <c r="BG53" t="s">
        <v>1907</v>
      </c>
      <c r="BI53" t="s">
        <v>374</v>
      </c>
      <c r="BL53" t="s">
        <v>2350</v>
      </c>
      <c r="BM53" t="s">
        <v>2351</v>
      </c>
      <c r="BN53" t="s">
        <v>2351</v>
      </c>
      <c r="BO53" t="s">
        <v>375</v>
      </c>
      <c r="BP53" t="s">
        <v>2352</v>
      </c>
      <c r="BQ53" t="s">
        <v>2353</v>
      </c>
      <c r="BR53">
        <v>3</v>
      </c>
      <c r="BS53">
        <v>4</v>
      </c>
      <c r="BU53" t="s">
        <v>1908</v>
      </c>
      <c r="BV53">
        <v>1</v>
      </c>
      <c r="BW53" t="s">
        <v>1934</v>
      </c>
      <c r="BX53" t="s">
        <v>1949</v>
      </c>
      <c r="BY53" t="s">
        <v>1970</v>
      </c>
      <c r="BZ53" t="s">
        <v>1910</v>
      </c>
      <c r="CB53" t="s">
        <v>2354</v>
      </c>
      <c r="CC53" t="s">
        <v>2355</v>
      </c>
      <c r="CD53" t="s">
        <v>2356</v>
      </c>
      <c r="CE53">
        <v>75.7</v>
      </c>
      <c r="CF53">
        <v>56.3</v>
      </c>
      <c r="CG53">
        <v>78.3</v>
      </c>
      <c r="CH53">
        <v>1014</v>
      </c>
      <c r="CI53">
        <v>63</v>
      </c>
      <c r="CJ53">
        <v>56.3</v>
      </c>
      <c r="CK53">
        <v>76.8</v>
      </c>
      <c r="CL53">
        <v>78.3</v>
      </c>
      <c r="CM53">
        <v>75.7</v>
      </c>
      <c r="CN53">
        <v>31680</v>
      </c>
      <c r="CO53">
        <v>8.6999999999999993</v>
      </c>
      <c r="CP53">
        <v>232</v>
      </c>
      <c r="CQ53">
        <v>100</v>
      </c>
      <c r="CR53">
        <v>0.2</v>
      </c>
      <c r="CS53">
        <v>0</v>
      </c>
      <c r="CT53" t="s">
        <v>1915</v>
      </c>
      <c r="CU53">
        <v>162.8500061035156</v>
      </c>
      <c r="CV53">
        <v>107</v>
      </c>
      <c r="CW53">
        <v>2.5499999523162842</v>
      </c>
      <c r="CX53">
        <v>1.950000047683716</v>
      </c>
      <c r="CY53">
        <v>6.6500000953674316</v>
      </c>
      <c r="CZ53">
        <v>8.6499996185302734</v>
      </c>
      <c r="DA53">
        <v>1</v>
      </c>
      <c r="DB53">
        <v>1</v>
      </c>
      <c r="DC53">
        <v>0</v>
      </c>
      <c r="DD53">
        <v>0</v>
      </c>
      <c r="DE53">
        <v>81.040000000000006</v>
      </c>
      <c r="DF53">
        <v>115.09</v>
      </c>
      <c r="DG53">
        <v>0</v>
      </c>
      <c r="DH53">
        <v>0</v>
      </c>
      <c r="DI53">
        <v>0</v>
      </c>
      <c r="DJ53" t="s">
        <v>2319</v>
      </c>
      <c r="DM53">
        <v>16.579999999999998</v>
      </c>
      <c r="DN53">
        <v>207.4</v>
      </c>
      <c r="EL53">
        <v>0</v>
      </c>
      <c r="EM53" t="s">
        <v>376</v>
      </c>
    </row>
    <row r="54" spans="1:143" x14ac:dyDescent="0.35">
      <c r="A54" t="s">
        <v>29</v>
      </c>
      <c r="B54" t="s">
        <v>378</v>
      </c>
      <c r="C54" t="s">
        <v>116</v>
      </c>
      <c r="D54" t="s">
        <v>120</v>
      </c>
      <c r="E54">
        <v>34</v>
      </c>
      <c r="G54" t="s">
        <v>2357</v>
      </c>
      <c r="L54" t="s">
        <v>1896</v>
      </c>
      <c r="M54" t="s">
        <v>2311</v>
      </c>
      <c r="R54" t="s">
        <v>119</v>
      </c>
      <c r="S54" t="s">
        <v>379</v>
      </c>
      <c r="T54" t="s">
        <v>382</v>
      </c>
      <c r="U54" t="s">
        <v>117</v>
      </c>
      <c r="AB54">
        <v>0</v>
      </c>
      <c r="AC54">
        <v>0</v>
      </c>
      <c r="AJ54">
        <v>0</v>
      </c>
      <c r="AL54">
        <v>0</v>
      </c>
      <c r="AV54" t="s">
        <v>379</v>
      </c>
      <c r="AX54" t="s">
        <v>383</v>
      </c>
      <c r="AY54" t="b">
        <v>1</v>
      </c>
      <c r="BA54" t="s">
        <v>1931</v>
      </c>
      <c r="BD54" t="s">
        <v>2358</v>
      </c>
      <c r="BF54" t="s">
        <v>1906</v>
      </c>
      <c r="BG54" t="s">
        <v>1907</v>
      </c>
      <c r="BI54" t="s">
        <v>2359</v>
      </c>
      <c r="BL54" t="s">
        <v>2360</v>
      </c>
      <c r="BM54" t="s">
        <v>2361</v>
      </c>
      <c r="BN54" t="s">
        <v>2361</v>
      </c>
      <c r="BO54" t="s">
        <v>380</v>
      </c>
      <c r="BP54" t="s">
        <v>2362</v>
      </c>
      <c r="BQ54" t="s">
        <v>2363</v>
      </c>
      <c r="BR54">
        <v>4</v>
      </c>
      <c r="BS54">
        <v>6</v>
      </c>
      <c r="BU54" t="s">
        <v>1908</v>
      </c>
      <c r="BW54" t="s">
        <v>2093</v>
      </c>
      <c r="BX54" t="s">
        <v>1949</v>
      </c>
      <c r="BY54" t="s">
        <v>1911</v>
      </c>
      <c r="BZ54" t="s">
        <v>1910</v>
      </c>
      <c r="CB54" t="s">
        <v>2364</v>
      </c>
      <c r="CC54" t="s">
        <v>1972</v>
      </c>
      <c r="CD54" t="s">
        <v>1973</v>
      </c>
      <c r="CE54">
        <v>52.6</v>
      </c>
      <c r="CF54">
        <v>27</v>
      </c>
      <c r="CG54">
        <v>50</v>
      </c>
      <c r="CH54">
        <v>1029</v>
      </c>
      <c r="CI54">
        <v>40</v>
      </c>
      <c r="CJ54">
        <v>35.5</v>
      </c>
      <c r="CK54">
        <v>53.2</v>
      </c>
      <c r="CL54">
        <v>52.6</v>
      </c>
      <c r="CM54">
        <v>50</v>
      </c>
      <c r="CN54">
        <v>31680</v>
      </c>
      <c r="CO54">
        <v>7.8</v>
      </c>
      <c r="CP54">
        <v>236</v>
      </c>
      <c r="CQ54">
        <v>94</v>
      </c>
      <c r="CR54">
        <v>0</v>
      </c>
      <c r="CS54">
        <v>0</v>
      </c>
      <c r="CT54" t="s">
        <v>1915</v>
      </c>
      <c r="CU54">
        <v>155.8500061035156</v>
      </c>
      <c r="CV54">
        <v>113</v>
      </c>
      <c r="CW54">
        <v>2.4500000476837158</v>
      </c>
      <c r="CX54">
        <v>1.75</v>
      </c>
      <c r="CY54">
        <v>4.1500000953674316</v>
      </c>
      <c r="CZ54">
        <v>4.9499998092651367</v>
      </c>
      <c r="DA54">
        <v>1</v>
      </c>
      <c r="DB54">
        <v>1</v>
      </c>
      <c r="DC54">
        <v>0</v>
      </c>
      <c r="DD54">
        <v>0</v>
      </c>
      <c r="DE54">
        <v>213.33</v>
      </c>
      <c r="DF54">
        <v>269.42</v>
      </c>
      <c r="DG54">
        <v>0</v>
      </c>
      <c r="DH54">
        <v>0</v>
      </c>
      <c r="DI54">
        <v>0</v>
      </c>
      <c r="DJ54" t="s">
        <v>2319</v>
      </c>
      <c r="DM54">
        <v>16.579999999999998</v>
      </c>
      <c r="DN54">
        <v>207.4</v>
      </c>
      <c r="EL54">
        <v>0</v>
      </c>
      <c r="EM54" t="s">
        <v>381</v>
      </c>
    </row>
    <row r="55" spans="1:143" x14ac:dyDescent="0.35">
      <c r="A55" t="s">
        <v>31</v>
      </c>
      <c r="B55" t="s">
        <v>384</v>
      </c>
      <c r="C55" t="s">
        <v>116</v>
      </c>
      <c r="D55" t="s">
        <v>120</v>
      </c>
      <c r="E55">
        <v>406</v>
      </c>
      <c r="G55" t="s">
        <v>2365</v>
      </c>
      <c r="L55" t="s">
        <v>1896</v>
      </c>
      <c r="M55" t="s">
        <v>2366</v>
      </c>
      <c r="N55" t="s">
        <v>1898</v>
      </c>
      <c r="R55" t="s">
        <v>119</v>
      </c>
      <c r="S55" t="s">
        <v>385</v>
      </c>
      <c r="T55" t="s">
        <v>117</v>
      </c>
      <c r="Z55" t="s">
        <v>2367</v>
      </c>
      <c r="AA55" t="s">
        <v>2368</v>
      </c>
      <c r="AB55">
        <v>1</v>
      </c>
      <c r="AC55">
        <v>2</v>
      </c>
      <c r="AE55">
        <v>1970</v>
      </c>
      <c r="AG55" t="s">
        <v>2369</v>
      </c>
      <c r="AH55" t="s">
        <v>1903</v>
      </c>
      <c r="AI55">
        <v>500300</v>
      </c>
      <c r="AJ55">
        <v>0</v>
      </c>
      <c r="AL55">
        <v>0</v>
      </c>
      <c r="AS55" t="b">
        <v>0</v>
      </c>
      <c r="AV55" t="s">
        <v>385</v>
      </c>
      <c r="AX55" t="s">
        <v>388</v>
      </c>
      <c r="BD55" t="s">
        <v>2370</v>
      </c>
      <c r="BF55" t="s">
        <v>1906</v>
      </c>
      <c r="BG55" t="s">
        <v>1907</v>
      </c>
      <c r="BI55" t="s">
        <v>385</v>
      </c>
      <c r="BL55" t="s">
        <v>2371</v>
      </c>
      <c r="BM55" t="s">
        <v>386</v>
      </c>
      <c r="BN55" t="s">
        <v>386</v>
      </c>
      <c r="BO55" t="s">
        <v>386</v>
      </c>
      <c r="BP55" t="s">
        <v>2372</v>
      </c>
      <c r="BQ55" t="s">
        <v>2367</v>
      </c>
      <c r="BR55">
        <v>1</v>
      </c>
      <c r="BS55">
        <v>2</v>
      </c>
      <c r="BU55" t="s">
        <v>1908</v>
      </c>
      <c r="BV55">
        <v>0</v>
      </c>
      <c r="BW55" t="s">
        <v>1909</v>
      </c>
      <c r="BX55" t="s">
        <v>1949</v>
      </c>
      <c r="BY55" t="s">
        <v>1911</v>
      </c>
      <c r="BZ55" t="s">
        <v>1910</v>
      </c>
      <c r="CB55" t="s">
        <v>2373</v>
      </c>
      <c r="CC55" t="s">
        <v>1996</v>
      </c>
      <c r="CD55" t="s">
        <v>1997</v>
      </c>
      <c r="CE55">
        <v>62.2</v>
      </c>
      <c r="CF55">
        <v>55.1</v>
      </c>
      <c r="CG55">
        <v>62.2</v>
      </c>
      <c r="CH55">
        <v>1024</v>
      </c>
      <c r="CI55">
        <v>78</v>
      </c>
      <c r="CJ55">
        <v>56.3</v>
      </c>
      <c r="CK55">
        <v>82.6</v>
      </c>
      <c r="CL55">
        <v>62.2</v>
      </c>
      <c r="CM55">
        <v>62.2</v>
      </c>
      <c r="CN55">
        <v>31680</v>
      </c>
      <c r="CO55">
        <v>1.8</v>
      </c>
      <c r="CP55">
        <v>301</v>
      </c>
      <c r="CQ55">
        <v>0</v>
      </c>
      <c r="CR55">
        <v>0</v>
      </c>
      <c r="CS55">
        <v>0</v>
      </c>
      <c r="CT55" t="s">
        <v>1915</v>
      </c>
      <c r="CU55">
        <v>183</v>
      </c>
      <c r="CV55">
        <v>68</v>
      </c>
      <c r="CW55">
        <v>5.8</v>
      </c>
      <c r="CX55">
        <v>0.3</v>
      </c>
      <c r="CY55">
        <v>12.6</v>
      </c>
      <c r="CZ55">
        <v>13.3</v>
      </c>
      <c r="DA55">
        <v>1</v>
      </c>
      <c r="DB55">
        <v>2</v>
      </c>
      <c r="DC55">
        <v>0</v>
      </c>
      <c r="DD55">
        <v>0</v>
      </c>
      <c r="DE55">
        <v>0</v>
      </c>
      <c r="DF55">
        <v>0</v>
      </c>
      <c r="DG55">
        <v>41.05</v>
      </c>
      <c r="DH55">
        <v>31.1</v>
      </c>
      <c r="DI55">
        <v>0</v>
      </c>
      <c r="DJ55" t="s">
        <v>2374</v>
      </c>
      <c r="DK55" t="s">
        <v>2375</v>
      </c>
      <c r="DL55" t="s">
        <v>2376</v>
      </c>
      <c r="DM55">
        <v>1.65</v>
      </c>
      <c r="DN55">
        <v>1508.5</v>
      </c>
      <c r="EL55">
        <v>0</v>
      </c>
      <c r="EM55" t="s">
        <v>387</v>
      </c>
    </row>
    <row r="56" spans="1:143" x14ac:dyDescent="0.35">
      <c r="A56" t="s">
        <v>31</v>
      </c>
      <c r="B56" t="s">
        <v>389</v>
      </c>
      <c r="C56" t="s">
        <v>116</v>
      </c>
      <c r="D56" t="s">
        <v>120</v>
      </c>
      <c r="E56">
        <v>33</v>
      </c>
      <c r="G56" t="s">
        <v>2377</v>
      </c>
      <c r="L56" t="s">
        <v>1896</v>
      </c>
      <c r="M56" t="s">
        <v>2366</v>
      </c>
      <c r="N56" t="s">
        <v>1898</v>
      </c>
      <c r="R56" t="s">
        <v>119</v>
      </c>
      <c r="S56" t="s">
        <v>390</v>
      </c>
      <c r="T56" t="s">
        <v>117</v>
      </c>
      <c r="Z56" t="s">
        <v>2367</v>
      </c>
      <c r="AA56" t="s">
        <v>2368</v>
      </c>
      <c r="AB56">
        <v>1</v>
      </c>
      <c r="AC56">
        <v>3</v>
      </c>
      <c r="AE56">
        <v>1967</v>
      </c>
      <c r="AG56" t="s">
        <v>2378</v>
      </c>
      <c r="AH56" t="s">
        <v>1903</v>
      </c>
      <c r="AI56">
        <v>658400</v>
      </c>
      <c r="AJ56">
        <v>0</v>
      </c>
      <c r="AL56">
        <v>0</v>
      </c>
      <c r="AS56" t="b">
        <v>0</v>
      </c>
      <c r="AV56" t="s">
        <v>390</v>
      </c>
      <c r="AX56" t="s">
        <v>393</v>
      </c>
      <c r="BD56" t="s">
        <v>2379</v>
      </c>
      <c r="BF56" t="s">
        <v>1906</v>
      </c>
      <c r="BG56" t="s">
        <v>1907</v>
      </c>
      <c r="BI56" t="s">
        <v>390</v>
      </c>
      <c r="BL56" t="s">
        <v>2380</v>
      </c>
      <c r="BM56" t="s">
        <v>391</v>
      </c>
      <c r="BN56" t="s">
        <v>391</v>
      </c>
      <c r="BO56" t="s">
        <v>391</v>
      </c>
      <c r="BP56" t="s">
        <v>2381</v>
      </c>
      <c r="BQ56" t="s">
        <v>2367</v>
      </c>
      <c r="BR56">
        <v>1</v>
      </c>
      <c r="BS56">
        <v>3</v>
      </c>
      <c r="BU56" t="s">
        <v>1908</v>
      </c>
      <c r="BV56">
        <v>0</v>
      </c>
      <c r="BW56" t="s">
        <v>1934</v>
      </c>
      <c r="BX56" t="s">
        <v>1949</v>
      </c>
      <c r="BY56" t="s">
        <v>1911</v>
      </c>
      <c r="BZ56" t="s">
        <v>1910</v>
      </c>
      <c r="CB56" t="s">
        <v>2382</v>
      </c>
      <c r="CC56" t="s">
        <v>1996</v>
      </c>
      <c r="CD56" t="s">
        <v>1997</v>
      </c>
      <c r="CE56">
        <v>83.3</v>
      </c>
      <c r="CF56">
        <v>46.2</v>
      </c>
      <c r="CG56">
        <v>80.900000000000006</v>
      </c>
      <c r="CH56">
        <v>1015</v>
      </c>
      <c r="CI56">
        <v>27</v>
      </c>
      <c r="CJ56">
        <v>61.3</v>
      </c>
      <c r="CK56">
        <v>83.3</v>
      </c>
      <c r="CL56">
        <v>80.900000000000006</v>
      </c>
      <c r="CM56">
        <v>83.3</v>
      </c>
      <c r="CN56">
        <v>31680</v>
      </c>
      <c r="CO56">
        <v>8.6999999999999993</v>
      </c>
      <c r="CP56">
        <v>300</v>
      </c>
      <c r="CQ56">
        <v>0</v>
      </c>
      <c r="CR56">
        <v>0</v>
      </c>
      <c r="CS56">
        <v>0</v>
      </c>
      <c r="CT56" t="s">
        <v>1915</v>
      </c>
      <c r="CU56">
        <v>106</v>
      </c>
      <c r="CV56">
        <v>93</v>
      </c>
      <c r="CW56">
        <v>1</v>
      </c>
      <c r="CX56">
        <v>0.3</v>
      </c>
      <c r="CY56">
        <v>7.5</v>
      </c>
      <c r="CZ56">
        <v>8.1</v>
      </c>
      <c r="DA56">
        <v>1</v>
      </c>
      <c r="DB56">
        <v>1</v>
      </c>
      <c r="DC56">
        <v>0</v>
      </c>
      <c r="DD56">
        <v>0</v>
      </c>
      <c r="DE56">
        <v>0</v>
      </c>
      <c r="DF56">
        <v>0</v>
      </c>
      <c r="DG56">
        <v>260.12</v>
      </c>
      <c r="DH56">
        <v>129.38999999999999</v>
      </c>
      <c r="DI56">
        <v>0</v>
      </c>
      <c r="DJ56" t="s">
        <v>2374</v>
      </c>
      <c r="DK56" t="s">
        <v>2375</v>
      </c>
      <c r="DL56" t="s">
        <v>2383</v>
      </c>
      <c r="DM56">
        <v>1.65</v>
      </c>
      <c r="DN56">
        <v>1508.5</v>
      </c>
      <c r="EL56">
        <v>0</v>
      </c>
      <c r="EM56" t="s">
        <v>392</v>
      </c>
    </row>
    <row r="57" spans="1:143" x14ac:dyDescent="0.35">
      <c r="A57" t="s">
        <v>31</v>
      </c>
      <c r="B57" t="s">
        <v>394</v>
      </c>
      <c r="C57" t="s">
        <v>116</v>
      </c>
      <c r="D57" t="s">
        <v>120</v>
      </c>
      <c r="E57">
        <v>777</v>
      </c>
      <c r="G57" t="s">
        <v>2384</v>
      </c>
      <c r="L57" t="s">
        <v>1896</v>
      </c>
      <c r="M57" t="s">
        <v>2366</v>
      </c>
      <c r="N57" t="s">
        <v>1898</v>
      </c>
      <c r="R57" t="s">
        <v>119</v>
      </c>
      <c r="S57" t="s">
        <v>395</v>
      </c>
      <c r="T57" t="s">
        <v>117</v>
      </c>
      <c r="Z57" t="s">
        <v>2367</v>
      </c>
      <c r="AA57" t="s">
        <v>2368</v>
      </c>
      <c r="AB57">
        <v>1</v>
      </c>
      <c r="AC57">
        <v>2</v>
      </c>
      <c r="AE57">
        <v>1992</v>
      </c>
      <c r="AG57" t="s">
        <v>2385</v>
      </c>
      <c r="AH57" t="s">
        <v>1903</v>
      </c>
      <c r="AI57">
        <v>3403400</v>
      </c>
      <c r="AJ57">
        <v>0</v>
      </c>
      <c r="AL57">
        <v>0</v>
      </c>
      <c r="AS57" t="b">
        <v>0</v>
      </c>
      <c r="AV57" t="s">
        <v>395</v>
      </c>
      <c r="AX57" t="s">
        <v>398</v>
      </c>
      <c r="BD57" t="s">
        <v>2386</v>
      </c>
      <c r="BF57" t="s">
        <v>1906</v>
      </c>
      <c r="BG57" t="s">
        <v>1907</v>
      </c>
      <c r="BI57" t="s">
        <v>395</v>
      </c>
      <c r="BL57" t="s">
        <v>2387</v>
      </c>
      <c r="BM57" t="s">
        <v>396</v>
      </c>
      <c r="BN57" t="s">
        <v>396</v>
      </c>
      <c r="BO57" t="s">
        <v>396</v>
      </c>
      <c r="BP57" t="s">
        <v>2388</v>
      </c>
      <c r="BQ57" t="s">
        <v>2367</v>
      </c>
      <c r="BR57">
        <v>1</v>
      </c>
      <c r="BS57">
        <v>2</v>
      </c>
      <c r="BU57" t="s">
        <v>1908</v>
      </c>
      <c r="BV57">
        <v>0</v>
      </c>
      <c r="BW57" t="s">
        <v>1909</v>
      </c>
      <c r="BX57" t="s">
        <v>1949</v>
      </c>
      <c r="BY57" t="s">
        <v>1911</v>
      </c>
      <c r="BZ57" t="s">
        <v>1910</v>
      </c>
      <c r="CB57" t="s">
        <v>2389</v>
      </c>
      <c r="CC57" t="s">
        <v>1996</v>
      </c>
      <c r="CD57" t="s">
        <v>1997</v>
      </c>
      <c r="CE57">
        <v>82.9</v>
      </c>
      <c r="CF57">
        <v>65.8</v>
      </c>
      <c r="CG57">
        <v>85.6</v>
      </c>
      <c r="CH57">
        <v>1008</v>
      </c>
      <c r="CI57">
        <v>56</v>
      </c>
      <c r="CJ57">
        <v>70.3</v>
      </c>
      <c r="CK57">
        <v>84.6</v>
      </c>
      <c r="CL57">
        <v>85.6</v>
      </c>
      <c r="CM57">
        <v>82.9</v>
      </c>
      <c r="CN57">
        <v>31680</v>
      </c>
      <c r="CO57">
        <v>7.2</v>
      </c>
      <c r="CP57">
        <v>329</v>
      </c>
      <c r="CQ57">
        <v>19</v>
      </c>
      <c r="CR57">
        <v>0</v>
      </c>
      <c r="CS57">
        <v>0</v>
      </c>
      <c r="CT57" t="s">
        <v>1915</v>
      </c>
      <c r="CU57">
        <v>131</v>
      </c>
      <c r="CV57">
        <v>103</v>
      </c>
      <c r="CW57">
        <v>0.8</v>
      </c>
      <c r="CX57">
        <v>0.5</v>
      </c>
      <c r="CY57">
        <v>2.6</v>
      </c>
      <c r="CZ57">
        <v>2.8</v>
      </c>
      <c r="DA57">
        <v>1</v>
      </c>
      <c r="DB57">
        <v>1</v>
      </c>
      <c r="DC57">
        <v>0</v>
      </c>
      <c r="DD57">
        <v>0</v>
      </c>
      <c r="DE57">
        <v>0</v>
      </c>
      <c r="DF57">
        <v>0</v>
      </c>
      <c r="DG57">
        <v>162.99</v>
      </c>
      <c r="DH57">
        <v>84.11</v>
      </c>
      <c r="DI57">
        <v>0</v>
      </c>
      <c r="DJ57" t="s">
        <v>2390</v>
      </c>
      <c r="DK57" t="s">
        <v>2391</v>
      </c>
      <c r="DL57" t="s">
        <v>2392</v>
      </c>
      <c r="DM57">
        <v>5.29</v>
      </c>
      <c r="DN57">
        <v>508.1</v>
      </c>
      <c r="EL57">
        <v>0</v>
      </c>
      <c r="EM57" t="s">
        <v>397</v>
      </c>
    </row>
    <row r="58" spans="1:143" x14ac:dyDescent="0.35">
      <c r="A58" t="s">
        <v>31</v>
      </c>
      <c r="B58" t="s">
        <v>399</v>
      </c>
      <c r="C58" t="s">
        <v>116</v>
      </c>
      <c r="D58" t="s">
        <v>120</v>
      </c>
      <c r="E58">
        <v>452</v>
      </c>
      <c r="G58" t="s">
        <v>2365</v>
      </c>
      <c r="L58" t="s">
        <v>1896</v>
      </c>
      <c r="M58" t="s">
        <v>2366</v>
      </c>
      <c r="N58" t="s">
        <v>1898</v>
      </c>
      <c r="R58" t="s">
        <v>119</v>
      </c>
      <c r="S58" t="s">
        <v>400</v>
      </c>
      <c r="T58" t="s">
        <v>117</v>
      </c>
      <c r="Z58" t="s">
        <v>2367</v>
      </c>
      <c r="AA58" t="s">
        <v>2368</v>
      </c>
      <c r="AB58">
        <v>1</v>
      </c>
      <c r="AC58">
        <v>3</v>
      </c>
      <c r="AE58">
        <v>2014</v>
      </c>
      <c r="AG58" t="s">
        <v>2369</v>
      </c>
      <c r="AH58" t="s">
        <v>1903</v>
      </c>
      <c r="AI58">
        <v>378600</v>
      </c>
      <c r="AJ58">
        <v>0</v>
      </c>
      <c r="AL58">
        <v>0</v>
      </c>
      <c r="AS58" t="b">
        <v>0</v>
      </c>
      <c r="AV58" t="s">
        <v>400</v>
      </c>
      <c r="AX58" t="s">
        <v>403</v>
      </c>
      <c r="BD58" t="s">
        <v>2393</v>
      </c>
      <c r="BF58" t="s">
        <v>1906</v>
      </c>
      <c r="BG58" t="s">
        <v>1907</v>
      </c>
      <c r="BI58" t="s">
        <v>400</v>
      </c>
      <c r="BL58" t="s">
        <v>2394</v>
      </c>
      <c r="BM58" t="s">
        <v>401</v>
      </c>
      <c r="BN58" t="s">
        <v>401</v>
      </c>
      <c r="BO58" t="s">
        <v>401</v>
      </c>
      <c r="BP58" t="s">
        <v>2395</v>
      </c>
      <c r="BQ58" t="s">
        <v>2367</v>
      </c>
      <c r="BR58">
        <v>1</v>
      </c>
      <c r="BS58">
        <v>3</v>
      </c>
      <c r="BU58" t="s">
        <v>1908</v>
      </c>
      <c r="BW58" t="s">
        <v>1934</v>
      </c>
      <c r="BX58" t="s">
        <v>1949</v>
      </c>
      <c r="BY58" t="s">
        <v>1911</v>
      </c>
      <c r="BZ58" t="s">
        <v>1910</v>
      </c>
      <c r="CB58" t="s">
        <v>2148</v>
      </c>
      <c r="CC58" t="s">
        <v>1996</v>
      </c>
      <c r="CD58" t="s">
        <v>1997</v>
      </c>
      <c r="CE58">
        <v>87.8</v>
      </c>
      <c r="CF58">
        <v>53.7</v>
      </c>
      <c r="CG58">
        <v>86.2</v>
      </c>
      <c r="CH58">
        <v>1016</v>
      </c>
      <c r="CI58">
        <v>31</v>
      </c>
      <c r="CJ58">
        <v>54.8</v>
      </c>
      <c r="CK58">
        <v>87.8</v>
      </c>
      <c r="CL58">
        <v>86.2</v>
      </c>
      <c r="CM58">
        <v>87.8</v>
      </c>
      <c r="CN58">
        <v>31680</v>
      </c>
      <c r="CO58">
        <v>7.4</v>
      </c>
      <c r="CP58">
        <v>243</v>
      </c>
      <c r="CQ58">
        <v>0</v>
      </c>
      <c r="CR58">
        <v>0</v>
      </c>
      <c r="CS58">
        <v>0</v>
      </c>
      <c r="CT58" t="s">
        <v>1915</v>
      </c>
      <c r="CU58">
        <v>123</v>
      </c>
      <c r="CV58">
        <v>116</v>
      </c>
      <c r="CW58">
        <v>0.7</v>
      </c>
      <c r="CX58">
        <v>0.4</v>
      </c>
      <c r="CY58">
        <v>1.8</v>
      </c>
      <c r="CZ58">
        <v>1.8</v>
      </c>
      <c r="DA58">
        <v>1</v>
      </c>
      <c r="DB58">
        <v>1</v>
      </c>
      <c r="DC58">
        <v>0</v>
      </c>
      <c r="DD58">
        <v>0</v>
      </c>
      <c r="DE58">
        <v>0</v>
      </c>
      <c r="DF58">
        <v>70.36</v>
      </c>
      <c r="DG58">
        <v>113.26</v>
      </c>
      <c r="DH58">
        <v>9.44</v>
      </c>
      <c r="DI58">
        <v>0</v>
      </c>
      <c r="DJ58" t="s">
        <v>2374</v>
      </c>
      <c r="DM58">
        <v>1.65</v>
      </c>
      <c r="DN58">
        <v>1508.5</v>
      </c>
      <c r="EL58">
        <v>0</v>
      </c>
      <c r="EM58" t="s">
        <v>402</v>
      </c>
    </row>
    <row r="59" spans="1:143" x14ac:dyDescent="0.35">
      <c r="A59" t="s">
        <v>31</v>
      </c>
      <c r="B59" t="s">
        <v>404</v>
      </c>
      <c r="C59" t="s">
        <v>116</v>
      </c>
      <c r="D59" t="s">
        <v>120</v>
      </c>
      <c r="E59">
        <v>20</v>
      </c>
      <c r="G59" t="s">
        <v>2396</v>
      </c>
      <c r="L59" t="s">
        <v>1896</v>
      </c>
      <c r="M59" t="s">
        <v>2366</v>
      </c>
      <c r="N59" t="s">
        <v>1898</v>
      </c>
      <c r="R59" t="s">
        <v>119</v>
      </c>
      <c r="S59" t="s">
        <v>405</v>
      </c>
      <c r="T59" t="s">
        <v>117</v>
      </c>
      <c r="Z59" t="s">
        <v>2397</v>
      </c>
      <c r="AA59" t="s">
        <v>2398</v>
      </c>
      <c r="AB59">
        <v>4</v>
      </c>
      <c r="AC59">
        <v>6</v>
      </c>
      <c r="AE59">
        <v>1980</v>
      </c>
      <c r="AG59" t="s">
        <v>2399</v>
      </c>
      <c r="AH59" t="s">
        <v>1903</v>
      </c>
      <c r="AI59">
        <v>480400</v>
      </c>
      <c r="AJ59">
        <v>0</v>
      </c>
      <c r="AL59">
        <v>0</v>
      </c>
      <c r="AS59" t="b">
        <v>0</v>
      </c>
      <c r="AV59" t="s">
        <v>405</v>
      </c>
      <c r="AX59" t="s">
        <v>408</v>
      </c>
      <c r="BD59" t="s">
        <v>2400</v>
      </c>
      <c r="BF59" t="s">
        <v>1906</v>
      </c>
      <c r="BG59" t="s">
        <v>1907</v>
      </c>
      <c r="BI59" t="s">
        <v>405</v>
      </c>
      <c r="BL59" t="s">
        <v>2401</v>
      </c>
      <c r="BM59" t="s">
        <v>406</v>
      </c>
      <c r="BN59" t="s">
        <v>406</v>
      </c>
      <c r="BO59" t="s">
        <v>406</v>
      </c>
      <c r="BP59" t="s">
        <v>2402</v>
      </c>
      <c r="BQ59" t="s">
        <v>2403</v>
      </c>
      <c r="BR59">
        <v>4</v>
      </c>
      <c r="BS59">
        <v>6</v>
      </c>
      <c r="BU59" t="s">
        <v>1908</v>
      </c>
      <c r="BW59" t="s">
        <v>2404</v>
      </c>
      <c r="BX59" t="s">
        <v>1949</v>
      </c>
      <c r="BY59" t="s">
        <v>1911</v>
      </c>
      <c r="BZ59" t="s">
        <v>1910</v>
      </c>
      <c r="CB59" t="s">
        <v>2405</v>
      </c>
      <c r="CC59" t="s">
        <v>1961</v>
      </c>
      <c r="CD59" t="s">
        <v>1962</v>
      </c>
      <c r="CE59">
        <v>55.8</v>
      </c>
      <c r="CF59">
        <v>34.200000000000003</v>
      </c>
      <c r="CG59">
        <v>53</v>
      </c>
      <c r="CH59">
        <v>1010</v>
      </c>
      <c r="CI59">
        <v>43</v>
      </c>
      <c r="CJ59">
        <v>38.799999999999997</v>
      </c>
      <c r="CK59">
        <v>58</v>
      </c>
      <c r="CL59">
        <v>55.8</v>
      </c>
      <c r="CM59">
        <v>53</v>
      </c>
      <c r="CN59">
        <v>31680</v>
      </c>
      <c r="CO59">
        <v>10.7</v>
      </c>
      <c r="CP59">
        <v>291</v>
      </c>
      <c r="CQ59">
        <v>45</v>
      </c>
      <c r="CR59">
        <v>0</v>
      </c>
      <c r="CS59">
        <v>0</v>
      </c>
      <c r="CT59" t="s">
        <v>1915</v>
      </c>
      <c r="CU59">
        <v>145.8500061035156</v>
      </c>
      <c r="CV59">
        <v>87</v>
      </c>
      <c r="CW59">
        <v>2.1500000953674321</v>
      </c>
      <c r="CX59">
        <v>1.049999952316284</v>
      </c>
      <c r="CY59">
        <v>2.1500000953674321</v>
      </c>
      <c r="CZ59">
        <v>2.25</v>
      </c>
      <c r="DA59">
        <v>1</v>
      </c>
      <c r="DB59">
        <v>1</v>
      </c>
      <c r="DC59">
        <v>0</v>
      </c>
      <c r="DD59">
        <v>0</v>
      </c>
      <c r="DE59">
        <v>311.27999999999997</v>
      </c>
      <c r="DF59">
        <v>350.8</v>
      </c>
      <c r="DG59">
        <v>0</v>
      </c>
      <c r="DH59">
        <v>0</v>
      </c>
      <c r="DI59">
        <v>0</v>
      </c>
      <c r="DJ59" t="s">
        <v>2406</v>
      </c>
      <c r="DM59">
        <v>5.23</v>
      </c>
      <c r="DN59">
        <v>882.2</v>
      </c>
      <c r="EL59">
        <v>0</v>
      </c>
      <c r="EM59" t="s">
        <v>407</v>
      </c>
    </row>
    <row r="60" spans="1:143" x14ac:dyDescent="0.35">
      <c r="A60" t="s">
        <v>31</v>
      </c>
      <c r="B60" t="s">
        <v>409</v>
      </c>
      <c r="C60" t="s">
        <v>116</v>
      </c>
      <c r="D60" t="s">
        <v>120</v>
      </c>
      <c r="E60">
        <v>183</v>
      </c>
      <c r="G60" t="s">
        <v>2407</v>
      </c>
      <c r="L60" t="s">
        <v>1896</v>
      </c>
      <c r="M60" t="s">
        <v>2366</v>
      </c>
      <c r="N60" t="s">
        <v>1898</v>
      </c>
      <c r="R60" t="s">
        <v>119</v>
      </c>
      <c r="S60" t="s">
        <v>410</v>
      </c>
      <c r="T60" t="s">
        <v>117</v>
      </c>
      <c r="Z60" t="s">
        <v>2408</v>
      </c>
      <c r="AA60" t="s">
        <v>2409</v>
      </c>
      <c r="AB60">
        <v>2</v>
      </c>
      <c r="AC60">
        <v>4</v>
      </c>
      <c r="AE60">
        <v>1966</v>
      </c>
      <c r="AG60" t="s">
        <v>1945</v>
      </c>
      <c r="AH60" t="s">
        <v>1929</v>
      </c>
      <c r="AI60">
        <v>124300</v>
      </c>
      <c r="AJ60">
        <v>0</v>
      </c>
      <c r="AL60">
        <v>0</v>
      </c>
      <c r="AS60" t="b">
        <v>0</v>
      </c>
      <c r="AV60" t="s">
        <v>410</v>
      </c>
      <c r="AX60" t="s">
        <v>413</v>
      </c>
      <c r="BD60" t="s">
        <v>2410</v>
      </c>
      <c r="BF60" t="s">
        <v>1906</v>
      </c>
      <c r="BG60" t="s">
        <v>1907</v>
      </c>
      <c r="BI60" t="s">
        <v>410</v>
      </c>
      <c r="BL60" t="s">
        <v>2411</v>
      </c>
      <c r="BM60" t="s">
        <v>411</v>
      </c>
      <c r="BN60" t="s">
        <v>411</v>
      </c>
      <c r="BO60" t="s">
        <v>411</v>
      </c>
      <c r="BP60" t="s">
        <v>2412</v>
      </c>
      <c r="BQ60" t="s">
        <v>2408</v>
      </c>
      <c r="BR60">
        <v>2</v>
      </c>
      <c r="BS60">
        <v>4</v>
      </c>
      <c r="BU60" t="s">
        <v>1908</v>
      </c>
      <c r="BW60" t="s">
        <v>1948</v>
      </c>
      <c r="BX60" t="s">
        <v>1949</v>
      </c>
      <c r="BY60" t="s">
        <v>1911</v>
      </c>
      <c r="BZ60" t="s">
        <v>1910</v>
      </c>
      <c r="CB60" t="s">
        <v>2413</v>
      </c>
      <c r="CC60" t="s">
        <v>1996</v>
      </c>
      <c r="CD60" t="s">
        <v>2414</v>
      </c>
      <c r="CE60">
        <v>45.3</v>
      </c>
      <c r="CF60">
        <v>35.799999999999997</v>
      </c>
      <c r="CG60">
        <v>42.3</v>
      </c>
      <c r="CH60">
        <v>1025</v>
      </c>
      <c r="CI60">
        <v>71</v>
      </c>
      <c r="CJ60">
        <v>36.299999999999997</v>
      </c>
      <c r="CK60">
        <v>60.3</v>
      </c>
      <c r="CL60">
        <v>45.3</v>
      </c>
      <c r="CM60">
        <v>42.3</v>
      </c>
      <c r="CN60">
        <v>31680</v>
      </c>
      <c r="CO60">
        <v>5.4</v>
      </c>
      <c r="CP60">
        <v>80</v>
      </c>
      <c r="CQ60">
        <v>2</v>
      </c>
      <c r="CR60">
        <v>0</v>
      </c>
      <c r="CS60">
        <v>0</v>
      </c>
      <c r="CT60" t="s">
        <v>2415</v>
      </c>
      <c r="CU60">
        <v>158.6499938964844</v>
      </c>
      <c r="CV60">
        <v>80</v>
      </c>
      <c r="CW60">
        <v>11.85000038146973</v>
      </c>
      <c r="CX60">
        <v>2.5499999523162842</v>
      </c>
      <c r="CY60">
        <v>3.8499999046325679</v>
      </c>
      <c r="CZ60">
        <v>4.25</v>
      </c>
      <c r="DA60">
        <v>1</v>
      </c>
      <c r="DB60">
        <v>1</v>
      </c>
      <c r="DC60">
        <v>0</v>
      </c>
      <c r="DD60">
        <v>0</v>
      </c>
      <c r="DE60">
        <v>231.08</v>
      </c>
      <c r="DF60">
        <v>256.35000000000002</v>
      </c>
      <c r="DG60">
        <v>0</v>
      </c>
      <c r="DH60">
        <v>0</v>
      </c>
      <c r="DI60">
        <v>0</v>
      </c>
      <c r="DJ60" t="s">
        <v>2406</v>
      </c>
      <c r="DM60">
        <v>5.23</v>
      </c>
      <c r="DN60">
        <v>882.2</v>
      </c>
      <c r="EL60">
        <v>0</v>
      </c>
      <c r="EM60" t="s">
        <v>412</v>
      </c>
    </row>
    <row r="61" spans="1:143" x14ac:dyDescent="0.35">
      <c r="A61" t="s">
        <v>31</v>
      </c>
      <c r="B61" t="s">
        <v>414</v>
      </c>
      <c r="C61" t="s">
        <v>116</v>
      </c>
      <c r="D61" t="s">
        <v>146</v>
      </c>
      <c r="G61" t="s">
        <v>2416</v>
      </c>
      <c r="K61" t="s">
        <v>2417</v>
      </c>
      <c r="L61" t="s">
        <v>1896</v>
      </c>
      <c r="M61" t="s">
        <v>2366</v>
      </c>
      <c r="N61" t="s">
        <v>1898</v>
      </c>
      <c r="R61" t="s">
        <v>119</v>
      </c>
      <c r="S61" t="s">
        <v>415</v>
      </c>
      <c r="T61" t="s">
        <v>117</v>
      </c>
      <c r="Z61" t="s">
        <v>2418</v>
      </c>
      <c r="AA61" t="s">
        <v>2419</v>
      </c>
      <c r="AB61">
        <v>3</v>
      </c>
      <c r="AC61">
        <v>7</v>
      </c>
      <c r="AE61">
        <v>1961</v>
      </c>
      <c r="AG61" t="s">
        <v>1928</v>
      </c>
      <c r="AH61" t="s">
        <v>1929</v>
      </c>
      <c r="AI61">
        <v>125900</v>
      </c>
      <c r="AJ61">
        <v>0</v>
      </c>
      <c r="AL61">
        <v>0</v>
      </c>
      <c r="AS61" t="b">
        <v>0</v>
      </c>
      <c r="AV61" t="s">
        <v>415</v>
      </c>
      <c r="AX61" t="s">
        <v>418</v>
      </c>
      <c r="BF61" t="s">
        <v>1906</v>
      </c>
      <c r="BG61" t="s">
        <v>1907</v>
      </c>
      <c r="BI61" t="s">
        <v>415</v>
      </c>
      <c r="BL61" t="s">
        <v>2420</v>
      </c>
      <c r="BM61" t="s">
        <v>416</v>
      </c>
      <c r="BN61" t="s">
        <v>416</v>
      </c>
      <c r="BO61" t="s">
        <v>416</v>
      </c>
      <c r="BQ61" t="s">
        <v>2418</v>
      </c>
      <c r="BR61">
        <v>3</v>
      </c>
      <c r="BS61">
        <v>7</v>
      </c>
      <c r="BU61" t="s">
        <v>1908</v>
      </c>
      <c r="BW61" t="s">
        <v>2093</v>
      </c>
      <c r="BX61" t="s">
        <v>1949</v>
      </c>
      <c r="BY61" t="s">
        <v>2157</v>
      </c>
      <c r="BZ61" t="s">
        <v>1910</v>
      </c>
      <c r="CB61" t="s">
        <v>2421</v>
      </c>
      <c r="CC61" t="s">
        <v>1972</v>
      </c>
      <c r="CD61" t="s">
        <v>1973</v>
      </c>
      <c r="CE61">
        <v>54.7</v>
      </c>
      <c r="CF61">
        <v>31.1</v>
      </c>
      <c r="CG61">
        <v>52.7</v>
      </c>
      <c r="CH61">
        <v>1021</v>
      </c>
      <c r="CI61">
        <v>45</v>
      </c>
      <c r="CJ61">
        <v>38.5</v>
      </c>
      <c r="CK61">
        <v>54.7</v>
      </c>
      <c r="CL61">
        <v>54.7</v>
      </c>
      <c r="CM61">
        <v>52.7</v>
      </c>
      <c r="CN61">
        <v>31680</v>
      </c>
      <c r="CO61">
        <v>7.4</v>
      </c>
      <c r="CP61">
        <v>95</v>
      </c>
      <c r="CQ61">
        <v>93</v>
      </c>
      <c r="CR61">
        <v>0</v>
      </c>
      <c r="CS61">
        <v>0</v>
      </c>
      <c r="CT61" t="s">
        <v>1915</v>
      </c>
      <c r="CU61">
        <v>156.8500061035156</v>
      </c>
      <c r="CV61">
        <v>104</v>
      </c>
      <c r="CW61">
        <v>2.5499999523162842</v>
      </c>
      <c r="CX61">
        <v>1.450000047683716</v>
      </c>
      <c r="CY61">
        <v>3.8499999046325679</v>
      </c>
      <c r="CZ61">
        <v>5.25</v>
      </c>
      <c r="DA61">
        <v>1</v>
      </c>
      <c r="DB61">
        <v>1</v>
      </c>
      <c r="DC61">
        <v>0</v>
      </c>
      <c r="DD61">
        <v>0</v>
      </c>
      <c r="DE61">
        <v>342.69</v>
      </c>
      <c r="DF61">
        <v>404.07</v>
      </c>
      <c r="DG61">
        <v>0</v>
      </c>
      <c r="DH61">
        <v>0</v>
      </c>
      <c r="DI61">
        <v>0</v>
      </c>
      <c r="DJ61" t="s">
        <v>2406</v>
      </c>
      <c r="DM61">
        <v>5.23</v>
      </c>
      <c r="DN61">
        <v>882.2</v>
      </c>
      <c r="EL61">
        <v>0</v>
      </c>
      <c r="EM61" t="s">
        <v>417</v>
      </c>
    </row>
    <row r="62" spans="1:143" x14ac:dyDescent="0.35">
      <c r="A62" t="s">
        <v>31</v>
      </c>
      <c r="B62" t="s">
        <v>419</v>
      </c>
      <c r="C62" t="s">
        <v>116</v>
      </c>
      <c r="D62" t="s">
        <v>120</v>
      </c>
      <c r="G62" t="s">
        <v>2422</v>
      </c>
      <c r="J62" t="s">
        <v>2423</v>
      </c>
      <c r="L62" t="s">
        <v>1896</v>
      </c>
      <c r="M62" t="s">
        <v>2366</v>
      </c>
      <c r="R62" t="s">
        <v>119</v>
      </c>
      <c r="S62" t="s">
        <v>420</v>
      </c>
      <c r="T62" t="s">
        <v>117</v>
      </c>
      <c r="Z62" t="s">
        <v>2424</v>
      </c>
      <c r="AA62" t="s">
        <v>2425</v>
      </c>
      <c r="AB62">
        <v>6</v>
      </c>
      <c r="AC62">
        <v>11</v>
      </c>
      <c r="AG62" t="s">
        <v>2426</v>
      </c>
      <c r="AH62" t="s">
        <v>1903</v>
      </c>
      <c r="AI62">
        <v>187000</v>
      </c>
      <c r="AJ62">
        <v>0</v>
      </c>
      <c r="AL62">
        <v>0</v>
      </c>
      <c r="AS62" t="b">
        <v>0</v>
      </c>
      <c r="AV62" t="s">
        <v>420</v>
      </c>
      <c r="AX62" t="s">
        <v>423</v>
      </c>
      <c r="BD62" t="s">
        <v>2427</v>
      </c>
      <c r="BF62" t="s">
        <v>1906</v>
      </c>
      <c r="BG62" t="s">
        <v>2235</v>
      </c>
      <c r="BI62" t="s">
        <v>420</v>
      </c>
      <c r="BL62" t="s">
        <v>2428</v>
      </c>
      <c r="BM62" t="s">
        <v>421</v>
      </c>
      <c r="BN62" t="s">
        <v>421</v>
      </c>
      <c r="BO62" t="s">
        <v>421</v>
      </c>
      <c r="BP62" t="s">
        <v>2429</v>
      </c>
      <c r="BQ62" t="s">
        <v>2424</v>
      </c>
      <c r="BR62">
        <v>6</v>
      </c>
      <c r="BS62">
        <v>11</v>
      </c>
      <c r="BU62" t="s">
        <v>1908</v>
      </c>
      <c r="BW62" t="s">
        <v>1948</v>
      </c>
      <c r="BX62" t="s">
        <v>1910</v>
      </c>
      <c r="BY62" t="s">
        <v>1911</v>
      </c>
      <c r="BZ62" t="s">
        <v>1910</v>
      </c>
      <c r="CB62" t="s">
        <v>2430</v>
      </c>
      <c r="CC62" t="s">
        <v>1996</v>
      </c>
      <c r="CD62" t="s">
        <v>1997</v>
      </c>
      <c r="CE62">
        <v>57</v>
      </c>
      <c r="CF62">
        <v>42.4</v>
      </c>
      <c r="CG62">
        <v>55.9</v>
      </c>
      <c r="CH62">
        <v>1022</v>
      </c>
      <c r="CI62">
        <v>58</v>
      </c>
      <c r="CJ62">
        <v>34</v>
      </c>
      <c r="CK62">
        <v>59</v>
      </c>
      <c r="CL62">
        <v>57</v>
      </c>
      <c r="CM62">
        <v>55.9</v>
      </c>
      <c r="CN62">
        <v>31680</v>
      </c>
      <c r="CO62">
        <v>11.2</v>
      </c>
      <c r="CP62">
        <v>222</v>
      </c>
      <c r="CQ62">
        <v>2</v>
      </c>
      <c r="CR62">
        <v>0</v>
      </c>
      <c r="CS62">
        <v>0</v>
      </c>
      <c r="CT62" t="s">
        <v>1915</v>
      </c>
      <c r="CU62">
        <v>188.8500061035156</v>
      </c>
      <c r="CV62">
        <v>104</v>
      </c>
      <c r="CW62">
        <v>5.4499998092651367</v>
      </c>
      <c r="CX62">
        <v>5.3499999046325684</v>
      </c>
      <c r="CY62">
        <v>10.85000038146973</v>
      </c>
      <c r="CZ62">
        <v>14.64999961853027</v>
      </c>
      <c r="DA62">
        <v>1</v>
      </c>
      <c r="DB62">
        <v>1</v>
      </c>
      <c r="DC62">
        <v>0</v>
      </c>
      <c r="DD62">
        <v>0.26</v>
      </c>
      <c r="DE62">
        <v>151.76</v>
      </c>
      <c r="DF62">
        <v>185.99</v>
      </c>
      <c r="DG62">
        <v>0</v>
      </c>
      <c r="DH62">
        <v>0</v>
      </c>
      <c r="DI62">
        <v>0</v>
      </c>
      <c r="DJ62" t="s">
        <v>2406</v>
      </c>
      <c r="DM62">
        <v>5.23</v>
      </c>
      <c r="DN62">
        <v>882.2</v>
      </c>
      <c r="EL62">
        <v>0</v>
      </c>
      <c r="EM62" t="s">
        <v>422</v>
      </c>
    </row>
    <row r="63" spans="1:143" x14ac:dyDescent="0.35">
      <c r="A63" t="s">
        <v>31</v>
      </c>
      <c r="B63" t="s">
        <v>424</v>
      </c>
      <c r="C63" t="s">
        <v>116</v>
      </c>
      <c r="D63" t="s">
        <v>120</v>
      </c>
      <c r="E63">
        <v>182</v>
      </c>
      <c r="G63" t="s">
        <v>2431</v>
      </c>
      <c r="L63" t="s">
        <v>1896</v>
      </c>
      <c r="M63" t="s">
        <v>2366</v>
      </c>
      <c r="N63" t="s">
        <v>1898</v>
      </c>
      <c r="R63" t="s">
        <v>119</v>
      </c>
      <c r="S63" t="s">
        <v>425</v>
      </c>
      <c r="T63" t="s">
        <v>428</v>
      </c>
      <c r="U63" t="s">
        <v>2026</v>
      </c>
      <c r="Z63" t="s">
        <v>2432</v>
      </c>
      <c r="AA63" t="s">
        <v>2433</v>
      </c>
      <c r="AB63">
        <v>4</v>
      </c>
      <c r="AC63">
        <v>9</v>
      </c>
      <c r="AG63" t="s">
        <v>1986</v>
      </c>
      <c r="AH63" t="s">
        <v>1903</v>
      </c>
      <c r="AI63">
        <v>226500</v>
      </c>
      <c r="AJ63">
        <v>0</v>
      </c>
      <c r="AL63">
        <v>0</v>
      </c>
      <c r="AS63" t="b">
        <v>0</v>
      </c>
      <c r="AV63" t="s">
        <v>425</v>
      </c>
      <c r="AX63" t="s">
        <v>429</v>
      </c>
      <c r="BD63" t="s">
        <v>2434</v>
      </c>
      <c r="BF63" t="s">
        <v>1906</v>
      </c>
      <c r="BG63" t="s">
        <v>2435</v>
      </c>
      <c r="BI63" t="s">
        <v>425</v>
      </c>
      <c r="BL63" t="s">
        <v>2436</v>
      </c>
      <c r="BM63" t="s">
        <v>426</v>
      </c>
      <c r="BN63" t="s">
        <v>426</v>
      </c>
      <c r="BO63" t="s">
        <v>426</v>
      </c>
      <c r="BP63" t="s">
        <v>2437</v>
      </c>
      <c r="BQ63" t="s">
        <v>2432</v>
      </c>
      <c r="BR63">
        <v>4</v>
      </c>
      <c r="BS63">
        <v>9</v>
      </c>
      <c r="BU63" t="s">
        <v>1908</v>
      </c>
      <c r="BW63" t="s">
        <v>2032</v>
      </c>
      <c r="BX63" t="s">
        <v>1949</v>
      </c>
      <c r="BY63" t="s">
        <v>1911</v>
      </c>
      <c r="BZ63" t="s">
        <v>1910</v>
      </c>
      <c r="CA63" t="s">
        <v>1950</v>
      </c>
      <c r="CB63" t="s">
        <v>2438</v>
      </c>
      <c r="CC63" t="s">
        <v>2141</v>
      </c>
      <c r="CD63" t="s">
        <v>2142</v>
      </c>
      <c r="CE63">
        <v>55.6</v>
      </c>
      <c r="CF63">
        <v>51.8</v>
      </c>
      <c r="CG63">
        <v>54</v>
      </c>
      <c r="CH63">
        <v>1019</v>
      </c>
      <c r="CI63">
        <v>87</v>
      </c>
      <c r="CJ63">
        <v>48.9</v>
      </c>
      <c r="CK63">
        <v>62.2</v>
      </c>
      <c r="CL63">
        <v>55.6</v>
      </c>
      <c r="CM63">
        <v>54</v>
      </c>
      <c r="CN63">
        <v>31680</v>
      </c>
      <c r="CO63">
        <v>8.6999999999999993</v>
      </c>
      <c r="CP63">
        <v>228</v>
      </c>
      <c r="CQ63">
        <v>100</v>
      </c>
      <c r="CR63">
        <v>0</v>
      </c>
      <c r="CS63">
        <v>0</v>
      </c>
      <c r="CT63" t="s">
        <v>1915</v>
      </c>
      <c r="DJ63" t="s">
        <v>2374</v>
      </c>
      <c r="DM63">
        <v>1.65</v>
      </c>
      <c r="DN63">
        <v>1508.5</v>
      </c>
      <c r="EL63">
        <v>0</v>
      </c>
      <c r="EM63" t="s">
        <v>427</v>
      </c>
    </row>
    <row r="64" spans="1:143" x14ac:dyDescent="0.35">
      <c r="A64" t="s">
        <v>32</v>
      </c>
      <c r="B64" t="s">
        <v>430</v>
      </c>
      <c r="C64" t="s">
        <v>116</v>
      </c>
      <c r="D64" t="s">
        <v>146</v>
      </c>
      <c r="G64" t="s">
        <v>2439</v>
      </c>
      <c r="K64" t="s">
        <v>2440</v>
      </c>
      <c r="L64" t="s">
        <v>1896</v>
      </c>
      <c r="M64" t="s">
        <v>2441</v>
      </c>
      <c r="N64" t="s">
        <v>1898</v>
      </c>
      <c r="R64" t="s">
        <v>119</v>
      </c>
      <c r="S64" t="s">
        <v>431</v>
      </c>
      <c r="U64" t="s">
        <v>117</v>
      </c>
      <c r="Z64" t="s">
        <v>2442</v>
      </c>
      <c r="AB64">
        <v>1</v>
      </c>
      <c r="AC64">
        <v>4</v>
      </c>
      <c r="AJ64">
        <v>0</v>
      </c>
      <c r="AL64">
        <v>0</v>
      </c>
      <c r="AV64" t="s">
        <v>431</v>
      </c>
      <c r="AX64" t="s">
        <v>434</v>
      </c>
      <c r="BF64" t="s">
        <v>1906</v>
      </c>
      <c r="BG64" t="s">
        <v>1907</v>
      </c>
      <c r="BI64" t="s">
        <v>431</v>
      </c>
      <c r="BL64" t="s">
        <v>2443</v>
      </c>
      <c r="BM64" t="s">
        <v>432</v>
      </c>
      <c r="BN64" t="s">
        <v>432</v>
      </c>
      <c r="BO64" t="s">
        <v>432</v>
      </c>
      <c r="BQ64" t="s">
        <v>2442</v>
      </c>
      <c r="BR64">
        <v>1</v>
      </c>
      <c r="BS64">
        <v>4</v>
      </c>
      <c r="BU64" t="s">
        <v>1908</v>
      </c>
      <c r="BW64" t="s">
        <v>2128</v>
      </c>
      <c r="BX64" t="s">
        <v>1910</v>
      </c>
      <c r="BY64" t="s">
        <v>1911</v>
      </c>
      <c r="BZ64" t="s">
        <v>1910</v>
      </c>
      <c r="CA64" t="s">
        <v>2129</v>
      </c>
      <c r="CB64" t="s">
        <v>2444</v>
      </c>
      <c r="CC64" t="s">
        <v>1961</v>
      </c>
      <c r="CD64" t="s">
        <v>1962</v>
      </c>
      <c r="CE64">
        <v>89.8</v>
      </c>
      <c r="CF64">
        <v>51.5</v>
      </c>
      <c r="CG64">
        <v>87.6</v>
      </c>
      <c r="CH64">
        <v>1007</v>
      </c>
      <c r="CI64">
        <v>27</v>
      </c>
      <c r="CJ64">
        <v>66.900000000000006</v>
      </c>
      <c r="CK64">
        <v>89.8</v>
      </c>
      <c r="CL64">
        <v>87.6</v>
      </c>
      <c r="CM64">
        <v>89.8</v>
      </c>
      <c r="CN64">
        <v>31680</v>
      </c>
      <c r="CO64">
        <v>15.2</v>
      </c>
      <c r="CP64">
        <v>284</v>
      </c>
      <c r="CQ64">
        <v>45</v>
      </c>
      <c r="CR64">
        <v>0</v>
      </c>
      <c r="CS64">
        <v>0</v>
      </c>
      <c r="CT64" t="s">
        <v>1915</v>
      </c>
      <c r="CU64">
        <v>138</v>
      </c>
      <c r="CV64">
        <v>135</v>
      </c>
      <c r="CW64">
        <v>1.2</v>
      </c>
      <c r="CX64">
        <v>1.7</v>
      </c>
      <c r="CY64">
        <v>35.6</v>
      </c>
      <c r="CZ64">
        <v>36.700000000000003</v>
      </c>
      <c r="DA64">
        <v>2</v>
      </c>
      <c r="DB64">
        <v>3</v>
      </c>
      <c r="DC64">
        <v>0</v>
      </c>
      <c r="DD64">
        <v>0</v>
      </c>
      <c r="DE64">
        <v>0</v>
      </c>
      <c r="DF64">
        <v>0</v>
      </c>
      <c r="DG64">
        <v>239.03</v>
      </c>
      <c r="DH64">
        <v>140.79</v>
      </c>
      <c r="DI64">
        <v>0</v>
      </c>
      <c r="DJ64" t="s">
        <v>2445</v>
      </c>
      <c r="DK64" t="s">
        <v>2446</v>
      </c>
      <c r="DL64" t="s">
        <v>2447</v>
      </c>
      <c r="DM64">
        <v>13.04</v>
      </c>
      <c r="DN64">
        <v>334</v>
      </c>
      <c r="EL64">
        <v>0</v>
      </c>
      <c r="EM64" t="s">
        <v>433</v>
      </c>
    </row>
    <row r="65" spans="1:143" x14ac:dyDescent="0.35">
      <c r="A65" t="s">
        <v>32</v>
      </c>
      <c r="B65" t="s">
        <v>435</v>
      </c>
      <c r="C65" t="s">
        <v>116</v>
      </c>
      <c r="D65" t="s">
        <v>146</v>
      </c>
      <c r="G65" t="s">
        <v>2448</v>
      </c>
      <c r="K65" t="s">
        <v>2440</v>
      </c>
      <c r="L65" t="s">
        <v>1896</v>
      </c>
      <c r="M65" t="s">
        <v>2441</v>
      </c>
      <c r="N65" t="s">
        <v>1898</v>
      </c>
      <c r="R65" t="s">
        <v>119</v>
      </c>
      <c r="S65" t="s">
        <v>436</v>
      </c>
      <c r="U65" t="s">
        <v>117</v>
      </c>
      <c r="Z65" t="s">
        <v>2449</v>
      </c>
      <c r="AB65">
        <v>7</v>
      </c>
      <c r="AC65">
        <v>15</v>
      </c>
      <c r="AJ65">
        <v>0</v>
      </c>
      <c r="AL65">
        <v>0</v>
      </c>
      <c r="AV65" t="s">
        <v>436</v>
      </c>
      <c r="AX65" t="s">
        <v>439</v>
      </c>
      <c r="AY65" t="b">
        <v>1</v>
      </c>
      <c r="BA65" t="s">
        <v>2450</v>
      </c>
      <c r="BF65" t="s">
        <v>1906</v>
      </c>
      <c r="BG65" t="s">
        <v>1989</v>
      </c>
      <c r="BI65" t="s">
        <v>436</v>
      </c>
      <c r="BL65" t="s">
        <v>2451</v>
      </c>
      <c r="BM65" t="s">
        <v>437</v>
      </c>
      <c r="BN65" t="s">
        <v>437</v>
      </c>
      <c r="BO65" t="s">
        <v>437</v>
      </c>
      <c r="BQ65" t="s">
        <v>2449</v>
      </c>
      <c r="BR65">
        <v>7</v>
      </c>
      <c r="BS65">
        <v>15</v>
      </c>
      <c r="BU65" t="s">
        <v>1908</v>
      </c>
      <c r="BW65" t="s">
        <v>1934</v>
      </c>
      <c r="BX65" t="s">
        <v>1949</v>
      </c>
      <c r="BY65" t="s">
        <v>1911</v>
      </c>
      <c r="BZ65" t="s">
        <v>1910</v>
      </c>
      <c r="CA65" t="s">
        <v>2055</v>
      </c>
      <c r="CB65" t="s">
        <v>2452</v>
      </c>
      <c r="CC65" t="s">
        <v>1996</v>
      </c>
      <c r="CD65" t="s">
        <v>1997</v>
      </c>
      <c r="CE65">
        <v>59.2</v>
      </c>
      <c r="CF65">
        <v>32.4</v>
      </c>
      <c r="CG65">
        <v>58.5</v>
      </c>
      <c r="CH65">
        <v>1020</v>
      </c>
      <c r="CI65">
        <v>35</v>
      </c>
      <c r="CJ65">
        <v>35.6</v>
      </c>
      <c r="CK65">
        <v>60.6</v>
      </c>
      <c r="CL65">
        <v>59.2</v>
      </c>
      <c r="CM65">
        <v>58.5</v>
      </c>
      <c r="CN65">
        <v>31680</v>
      </c>
      <c r="CO65">
        <v>9.4</v>
      </c>
      <c r="CP65">
        <v>92</v>
      </c>
      <c r="CQ65">
        <v>0</v>
      </c>
      <c r="CR65">
        <v>0</v>
      </c>
      <c r="CS65">
        <v>0</v>
      </c>
      <c r="CT65" t="s">
        <v>1915</v>
      </c>
      <c r="CU65">
        <v>148.8500061035156</v>
      </c>
      <c r="CV65">
        <v>77</v>
      </c>
      <c r="CW65">
        <v>9.75</v>
      </c>
      <c r="CX65">
        <v>3.0499999523162842</v>
      </c>
      <c r="CY65">
        <v>9.4499998092651367</v>
      </c>
      <c r="CZ65">
        <v>12.44999980926514</v>
      </c>
      <c r="DA65">
        <v>1</v>
      </c>
      <c r="DB65">
        <v>1</v>
      </c>
      <c r="DC65">
        <v>0</v>
      </c>
      <c r="DD65">
        <v>0</v>
      </c>
      <c r="DE65">
        <v>333.18</v>
      </c>
      <c r="DF65">
        <v>388.58</v>
      </c>
      <c r="DG65">
        <v>0</v>
      </c>
      <c r="DH65">
        <v>0</v>
      </c>
      <c r="DI65">
        <v>0</v>
      </c>
      <c r="DJ65" t="s">
        <v>2453</v>
      </c>
      <c r="DM65">
        <v>2.12</v>
      </c>
      <c r="DN65">
        <v>1006.6</v>
      </c>
      <c r="EL65">
        <v>0</v>
      </c>
      <c r="EM65" t="s">
        <v>438</v>
      </c>
    </row>
    <row r="66" spans="1:143" x14ac:dyDescent="0.35">
      <c r="A66" t="s">
        <v>32</v>
      </c>
      <c r="B66" t="s">
        <v>440</v>
      </c>
      <c r="C66" t="s">
        <v>116</v>
      </c>
      <c r="D66" t="s">
        <v>146</v>
      </c>
      <c r="G66" t="s">
        <v>2162</v>
      </c>
      <c r="K66" t="s">
        <v>2440</v>
      </c>
      <c r="L66" t="s">
        <v>1896</v>
      </c>
      <c r="M66" t="s">
        <v>2441</v>
      </c>
      <c r="N66" t="s">
        <v>1898</v>
      </c>
      <c r="R66" t="s">
        <v>119</v>
      </c>
      <c r="S66" t="s">
        <v>441</v>
      </c>
      <c r="U66" t="s">
        <v>117</v>
      </c>
      <c r="Z66" t="s">
        <v>2454</v>
      </c>
      <c r="AB66">
        <v>1</v>
      </c>
      <c r="AC66">
        <v>3</v>
      </c>
      <c r="AJ66">
        <v>0</v>
      </c>
      <c r="AL66">
        <v>0</v>
      </c>
      <c r="AV66" t="s">
        <v>441</v>
      </c>
      <c r="AX66" t="s">
        <v>444</v>
      </c>
      <c r="BF66" t="s">
        <v>1906</v>
      </c>
      <c r="BG66" t="s">
        <v>2455</v>
      </c>
      <c r="BI66" t="s">
        <v>441</v>
      </c>
      <c r="BL66" t="s">
        <v>2456</v>
      </c>
      <c r="BM66" t="s">
        <v>442</v>
      </c>
      <c r="BN66" t="s">
        <v>442</v>
      </c>
      <c r="BO66" t="s">
        <v>442</v>
      </c>
      <c r="BQ66" t="s">
        <v>2454</v>
      </c>
      <c r="BR66">
        <v>1</v>
      </c>
      <c r="BS66">
        <v>3</v>
      </c>
      <c r="BU66" t="s">
        <v>1908</v>
      </c>
      <c r="BW66" t="s">
        <v>1909</v>
      </c>
      <c r="BX66" t="s">
        <v>1910</v>
      </c>
      <c r="BY66" t="s">
        <v>1911</v>
      </c>
      <c r="BZ66" t="s">
        <v>1995</v>
      </c>
      <c r="CA66" t="s">
        <v>2129</v>
      </c>
      <c r="CB66" t="s">
        <v>2457</v>
      </c>
      <c r="CC66" t="s">
        <v>1996</v>
      </c>
      <c r="CD66" t="s">
        <v>1997</v>
      </c>
      <c r="CE66">
        <v>51.4</v>
      </c>
      <c r="CF66">
        <v>16.899999999999999</v>
      </c>
      <c r="CG66">
        <v>49.8</v>
      </c>
      <c r="CH66">
        <v>1022</v>
      </c>
      <c r="CI66">
        <v>24</v>
      </c>
      <c r="CJ66">
        <v>26.1</v>
      </c>
      <c r="CK66">
        <v>51.8</v>
      </c>
      <c r="CL66">
        <v>51.4</v>
      </c>
      <c r="CM66">
        <v>49.8</v>
      </c>
      <c r="CN66">
        <v>31680</v>
      </c>
      <c r="CO66">
        <v>5.0999999999999996</v>
      </c>
      <c r="CP66">
        <v>238</v>
      </c>
      <c r="CQ66">
        <v>14</v>
      </c>
      <c r="CR66">
        <v>0</v>
      </c>
      <c r="CS66">
        <v>0</v>
      </c>
      <c r="CT66" t="s">
        <v>1915</v>
      </c>
      <c r="CU66">
        <v>155.8500061035156</v>
      </c>
      <c r="CV66">
        <v>111</v>
      </c>
      <c r="CW66">
        <v>1.450000047683716</v>
      </c>
      <c r="CX66">
        <v>2.25</v>
      </c>
      <c r="CY66">
        <v>4.5500001907348633</v>
      </c>
      <c r="CZ66">
        <v>5.25</v>
      </c>
      <c r="DA66">
        <v>1</v>
      </c>
      <c r="DB66">
        <v>1</v>
      </c>
      <c r="DC66">
        <v>0</v>
      </c>
      <c r="DD66">
        <v>0</v>
      </c>
      <c r="DE66">
        <v>219.97</v>
      </c>
      <c r="DF66">
        <v>293.63</v>
      </c>
      <c r="DG66">
        <v>0</v>
      </c>
      <c r="DH66">
        <v>0</v>
      </c>
      <c r="DI66">
        <v>0</v>
      </c>
      <c r="DJ66" t="s">
        <v>2458</v>
      </c>
      <c r="DM66">
        <v>2.81</v>
      </c>
      <c r="DN66">
        <v>1451.2</v>
      </c>
      <c r="EL66">
        <v>0</v>
      </c>
      <c r="EM66" t="s">
        <v>443</v>
      </c>
    </row>
    <row r="67" spans="1:143" x14ac:dyDescent="0.35">
      <c r="A67" t="s">
        <v>32</v>
      </c>
      <c r="B67" t="s">
        <v>445</v>
      </c>
      <c r="C67" t="s">
        <v>116</v>
      </c>
      <c r="D67" t="s">
        <v>146</v>
      </c>
      <c r="G67" t="s">
        <v>1894</v>
      </c>
      <c r="K67" t="s">
        <v>2440</v>
      </c>
      <c r="L67" t="s">
        <v>1896</v>
      </c>
      <c r="M67" t="s">
        <v>2441</v>
      </c>
      <c r="N67" t="s">
        <v>1898</v>
      </c>
      <c r="R67" t="s">
        <v>119</v>
      </c>
      <c r="S67" t="s">
        <v>446</v>
      </c>
      <c r="U67" t="s">
        <v>117</v>
      </c>
      <c r="Z67" t="s">
        <v>2459</v>
      </c>
      <c r="AB67">
        <v>1</v>
      </c>
      <c r="AC67">
        <v>3</v>
      </c>
      <c r="AJ67">
        <v>0</v>
      </c>
      <c r="AL67">
        <v>0</v>
      </c>
      <c r="AV67" t="s">
        <v>446</v>
      </c>
      <c r="AX67" t="s">
        <v>449</v>
      </c>
      <c r="BF67" t="s">
        <v>1906</v>
      </c>
      <c r="BG67" t="s">
        <v>1907</v>
      </c>
      <c r="BI67" t="s">
        <v>446</v>
      </c>
      <c r="BL67" t="s">
        <v>2460</v>
      </c>
      <c r="BM67" t="s">
        <v>447</v>
      </c>
      <c r="BN67" t="s">
        <v>447</v>
      </c>
      <c r="BO67" t="s">
        <v>447</v>
      </c>
      <c r="BQ67" t="s">
        <v>2459</v>
      </c>
      <c r="BR67">
        <v>1</v>
      </c>
      <c r="BS67">
        <v>3</v>
      </c>
      <c r="BU67" t="s">
        <v>1908</v>
      </c>
      <c r="BW67" t="s">
        <v>1934</v>
      </c>
      <c r="BX67" t="s">
        <v>1949</v>
      </c>
      <c r="BY67" t="s">
        <v>1911</v>
      </c>
      <c r="BZ67" t="s">
        <v>1910</v>
      </c>
      <c r="CA67" t="s">
        <v>2147</v>
      </c>
      <c r="CB67" t="s">
        <v>2461</v>
      </c>
      <c r="CC67" t="s">
        <v>1961</v>
      </c>
      <c r="CD67" t="s">
        <v>1962</v>
      </c>
      <c r="CE67">
        <v>63.3</v>
      </c>
      <c r="CF67">
        <v>51.3</v>
      </c>
      <c r="CG67">
        <v>63</v>
      </c>
      <c r="CH67">
        <v>1014</v>
      </c>
      <c r="CI67">
        <v>63</v>
      </c>
      <c r="CJ67">
        <v>42.4</v>
      </c>
      <c r="CK67">
        <v>71.599999999999994</v>
      </c>
      <c r="CL67">
        <v>63.3</v>
      </c>
      <c r="CM67">
        <v>63</v>
      </c>
      <c r="CN67">
        <v>31680</v>
      </c>
      <c r="CO67">
        <v>13.6</v>
      </c>
      <c r="CP67">
        <v>215</v>
      </c>
      <c r="CQ67">
        <v>62</v>
      </c>
      <c r="CR67">
        <v>0</v>
      </c>
      <c r="CS67">
        <v>0</v>
      </c>
      <c r="CT67" t="s">
        <v>1915</v>
      </c>
      <c r="CU67">
        <v>185.8500061035156</v>
      </c>
      <c r="CV67">
        <v>91</v>
      </c>
      <c r="CW67">
        <v>10.44999980926514</v>
      </c>
      <c r="CX67">
        <v>5.1500000953674316</v>
      </c>
      <c r="CY67">
        <v>9.5500001907348633</v>
      </c>
      <c r="CZ67">
        <v>10.44999980926514</v>
      </c>
      <c r="DA67">
        <v>1</v>
      </c>
      <c r="DB67">
        <v>1</v>
      </c>
      <c r="DC67">
        <v>0</v>
      </c>
      <c r="DD67">
        <v>0</v>
      </c>
      <c r="DE67">
        <v>220.18</v>
      </c>
      <c r="DF67">
        <v>314.7</v>
      </c>
      <c r="DG67">
        <v>0</v>
      </c>
      <c r="DH67">
        <v>0</v>
      </c>
      <c r="DI67">
        <v>0</v>
      </c>
      <c r="DJ67" t="s">
        <v>2462</v>
      </c>
      <c r="DM67">
        <v>1.18</v>
      </c>
      <c r="DN67">
        <v>2057.6</v>
      </c>
      <c r="EL67">
        <v>0</v>
      </c>
      <c r="EM67" t="s">
        <v>448</v>
      </c>
    </row>
    <row r="68" spans="1:143" x14ac:dyDescent="0.35">
      <c r="A68" t="s">
        <v>32</v>
      </c>
      <c r="B68" t="s">
        <v>450</v>
      </c>
      <c r="C68" t="s">
        <v>116</v>
      </c>
      <c r="D68" t="s">
        <v>146</v>
      </c>
      <c r="G68" t="s">
        <v>2463</v>
      </c>
      <c r="K68" t="s">
        <v>2440</v>
      </c>
      <c r="L68" t="s">
        <v>1896</v>
      </c>
      <c r="M68" t="s">
        <v>2441</v>
      </c>
      <c r="N68" t="s">
        <v>1898</v>
      </c>
      <c r="R68" t="s">
        <v>119</v>
      </c>
      <c r="S68" t="s">
        <v>451</v>
      </c>
      <c r="U68" t="s">
        <v>117</v>
      </c>
      <c r="Z68" t="s">
        <v>2464</v>
      </c>
      <c r="AB68">
        <v>5</v>
      </c>
      <c r="AC68">
        <v>13</v>
      </c>
      <c r="AJ68">
        <v>0</v>
      </c>
      <c r="AL68">
        <v>0</v>
      </c>
      <c r="AV68" t="s">
        <v>451</v>
      </c>
      <c r="AX68" t="s">
        <v>454</v>
      </c>
      <c r="AY68" t="b">
        <v>1</v>
      </c>
      <c r="BA68" t="s">
        <v>2062</v>
      </c>
      <c r="BF68" t="s">
        <v>1906</v>
      </c>
      <c r="BG68" t="s">
        <v>1907</v>
      </c>
      <c r="BI68" t="s">
        <v>451</v>
      </c>
      <c r="BL68" t="s">
        <v>2465</v>
      </c>
      <c r="BM68" t="s">
        <v>452</v>
      </c>
      <c r="BN68" t="s">
        <v>452</v>
      </c>
      <c r="BO68" t="s">
        <v>452</v>
      </c>
      <c r="BQ68" t="s">
        <v>2464</v>
      </c>
      <c r="BR68">
        <v>5</v>
      </c>
      <c r="BS68">
        <v>13</v>
      </c>
      <c r="BU68" t="s">
        <v>1908</v>
      </c>
      <c r="BW68" t="s">
        <v>1993</v>
      </c>
      <c r="BX68" t="s">
        <v>2084</v>
      </c>
      <c r="BY68" t="s">
        <v>2033</v>
      </c>
      <c r="BZ68" t="s">
        <v>1995</v>
      </c>
      <c r="CA68" t="s">
        <v>2055</v>
      </c>
      <c r="CB68" t="s">
        <v>1971</v>
      </c>
      <c r="CC68" t="s">
        <v>1972</v>
      </c>
      <c r="CD68" t="s">
        <v>1973</v>
      </c>
      <c r="CE68">
        <v>47.8</v>
      </c>
      <c r="CF68">
        <v>28.4</v>
      </c>
      <c r="CG68">
        <v>43.9</v>
      </c>
      <c r="CH68">
        <v>1028</v>
      </c>
      <c r="CI68">
        <v>47</v>
      </c>
      <c r="CJ68">
        <v>36.1</v>
      </c>
      <c r="CK68">
        <v>51.4</v>
      </c>
      <c r="CL68">
        <v>47.8</v>
      </c>
      <c r="CM68">
        <v>43.9</v>
      </c>
      <c r="CN68">
        <v>31680</v>
      </c>
      <c r="CO68">
        <v>2.7</v>
      </c>
      <c r="CP68">
        <v>227</v>
      </c>
      <c r="CQ68">
        <v>100</v>
      </c>
      <c r="CR68">
        <v>0</v>
      </c>
      <c r="CS68">
        <v>0</v>
      </c>
      <c r="CT68" t="s">
        <v>1915</v>
      </c>
      <c r="CU68">
        <v>180.8500061035156</v>
      </c>
      <c r="CV68">
        <v>104</v>
      </c>
      <c r="CW68">
        <v>7.3499999046325684</v>
      </c>
      <c r="CX68">
        <v>2.1500000953674321</v>
      </c>
      <c r="CY68">
        <v>5.25</v>
      </c>
      <c r="CZ68">
        <v>5.8499999046325684</v>
      </c>
      <c r="DA68">
        <v>1</v>
      </c>
      <c r="DB68">
        <v>1</v>
      </c>
      <c r="DC68">
        <v>0</v>
      </c>
      <c r="DD68">
        <v>0</v>
      </c>
      <c r="DE68">
        <v>161.61000000000001</v>
      </c>
      <c r="DF68">
        <v>249.45</v>
      </c>
      <c r="DG68">
        <v>0</v>
      </c>
      <c r="DH68">
        <v>0</v>
      </c>
      <c r="DI68">
        <v>0</v>
      </c>
      <c r="DJ68" t="s">
        <v>2466</v>
      </c>
      <c r="DM68">
        <v>1.1200000000000001</v>
      </c>
      <c r="DN68">
        <v>4409.8</v>
      </c>
      <c r="EL68">
        <v>0</v>
      </c>
      <c r="EM68" t="s">
        <v>453</v>
      </c>
    </row>
    <row r="69" spans="1:143" x14ac:dyDescent="0.35">
      <c r="A69" t="s">
        <v>32</v>
      </c>
      <c r="B69" t="s">
        <v>455</v>
      </c>
      <c r="C69" t="s">
        <v>116</v>
      </c>
      <c r="D69" t="s">
        <v>146</v>
      </c>
      <c r="G69" t="s">
        <v>2173</v>
      </c>
      <c r="K69" t="s">
        <v>2440</v>
      </c>
      <c r="L69" t="s">
        <v>1896</v>
      </c>
      <c r="M69" t="s">
        <v>2441</v>
      </c>
      <c r="N69" t="s">
        <v>1898</v>
      </c>
      <c r="R69" t="s">
        <v>119</v>
      </c>
      <c r="S69" t="s">
        <v>456</v>
      </c>
      <c r="U69" t="s">
        <v>117</v>
      </c>
      <c r="Z69" t="s">
        <v>2442</v>
      </c>
      <c r="AB69">
        <v>1</v>
      </c>
      <c r="AC69">
        <v>4</v>
      </c>
      <c r="AJ69">
        <v>0</v>
      </c>
      <c r="AL69">
        <v>0</v>
      </c>
      <c r="AV69" t="s">
        <v>456</v>
      </c>
      <c r="AX69" t="s">
        <v>459</v>
      </c>
      <c r="BF69" t="s">
        <v>1906</v>
      </c>
      <c r="BG69" t="s">
        <v>2074</v>
      </c>
      <c r="BI69" t="s">
        <v>456</v>
      </c>
      <c r="BM69" t="s">
        <v>457</v>
      </c>
      <c r="BN69" t="s">
        <v>457</v>
      </c>
      <c r="BO69" t="s">
        <v>457</v>
      </c>
      <c r="BQ69" t="s">
        <v>2442</v>
      </c>
      <c r="BR69">
        <v>1</v>
      </c>
      <c r="BS69">
        <v>4</v>
      </c>
      <c r="BU69" t="s">
        <v>1908</v>
      </c>
      <c r="BW69" t="s">
        <v>1948</v>
      </c>
      <c r="BX69" t="s">
        <v>1949</v>
      </c>
      <c r="BY69" t="s">
        <v>1970</v>
      </c>
      <c r="BZ69" t="s">
        <v>1910</v>
      </c>
      <c r="CA69" t="s">
        <v>2147</v>
      </c>
      <c r="CB69" t="s">
        <v>2467</v>
      </c>
      <c r="CC69" t="s">
        <v>1938</v>
      </c>
      <c r="CD69" t="s">
        <v>1939</v>
      </c>
      <c r="CE69">
        <v>55.2</v>
      </c>
      <c r="CF69">
        <v>39.9</v>
      </c>
      <c r="CG69">
        <v>52</v>
      </c>
      <c r="CH69">
        <v>1018</v>
      </c>
      <c r="CI69">
        <v>56</v>
      </c>
      <c r="CJ69">
        <v>37</v>
      </c>
      <c r="CK69">
        <v>58.6</v>
      </c>
      <c r="CL69">
        <v>55.2</v>
      </c>
      <c r="CM69">
        <v>52</v>
      </c>
      <c r="CN69">
        <v>31680</v>
      </c>
      <c r="CO69">
        <v>13.6</v>
      </c>
      <c r="CP69">
        <v>233</v>
      </c>
      <c r="CQ69">
        <v>42</v>
      </c>
      <c r="CR69">
        <v>0</v>
      </c>
      <c r="CS69">
        <v>0</v>
      </c>
      <c r="CT69" t="s">
        <v>1915</v>
      </c>
      <c r="DJ69" t="s">
        <v>2468</v>
      </c>
      <c r="DM69">
        <v>1.8</v>
      </c>
      <c r="DN69">
        <v>3304.4</v>
      </c>
      <c r="EL69">
        <v>0</v>
      </c>
      <c r="EM69" t="s">
        <v>458</v>
      </c>
    </row>
    <row r="70" spans="1:143" x14ac:dyDescent="0.35">
      <c r="A70" t="s">
        <v>34</v>
      </c>
      <c r="B70" t="s">
        <v>460</v>
      </c>
      <c r="C70" t="s">
        <v>116</v>
      </c>
      <c r="D70" t="s">
        <v>146</v>
      </c>
      <c r="G70" t="s">
        <v>2469</v>
      </c>
      <c r="K70" t="s">
        <v>2470</v>
      </c>
      <c r="L70" t="s">
        <v>1896</v>
      </c>
      <c r="M70" t="s">
        <v>2471</v>
      </c>
      <c r="N70" t="s">
        <v>1898</v>
      </c>
      <c r="R70" t="s">
        <v>153</v>
      </c>
      <c r="S70" t="s">
        <v>461</v>
      </c>
      <c r="T70" t="s">
        <v>117</v>
      </c>
      <c r="Y70" t="s">
        <v>2136</v>
      </c>
      <c r="AB70">
        <v>0</v>
      </c>
      <c r="AC70">
        <v>0</v>
      </c>
      <c r="AJ70">
        <v>0</v>
      </c>
      <c r="AL70">
        <v>0</v>
      </c>
      <c r="AS70" t="b">
        <v>1</v>
      </c>
      <c r="AT70">
        <v>0</v>
      </c>
      <c r="AU70">
        <v>0</v>
      </c>
      <c r="AV70" t="s">
        <v>461</v>
      </c>
      <c r="AX70" t="s">
        <v>464</v>
      </c>
      <c r="AY70" t="b">
        <v>1</v>
      </c>
      <c r="AZ70" t="b">
        <v>1</v>
      </c>
      <c r="BA70" t="s">
        <v>1977</v>
      </c>
      <c r="BF70" t="s">
        <v>1906</v>
      </c>
      <c r="BG70" t="s">
        <v>2472</v>
      </c>
      <c r="BI70" t="s">
        <v>2473</v>
      </c>
      <c r="BL70" t="s">
        <v>2474</v>
      </c>
      <c r="BM70" t="s">
        <v>462</v>
      </c>
      <c r="BN70" t="s">
        <v>462</v>
      </c>
      <c r="BO70" t="s">
        <v>462</v>
      </c>
      <c r="BR70">
        <v>2</v>
      </c>
      <c r="BS70">
        <v>4</v>
      </c>
      <c r="BU70" t="s">
        <v>1908</v>
      </c>
      <c r="BV70">
        <v>0</v>
      </c>
      <c r="BW70" t="s">
        <v>1948</v>
      </c>
      <c r="BX70" t="s">
        <v>1949</v>
      </c>
      <c r="BY70" t="s">
        <v>2033</v>
      </c>
      <c r="BZ70" t="s">
        <v>1995</v>
      </c>
      <c r="CA70" t="s">
        <v>2147</v>
      </c>
      <c r="CB70" t="s">
        <v>2475</v>
      </c>
      <c r="CC70" t="s">
        <v>1996</v>
      </c>
      <c r="CD70" t="s">
        <v>1997</v>
      </c>
      <c r="CE70">
        <v>76.7</v>
      </c>
      <c r="CF70">
        <v>51.8</v>
      </c>
      <c r="CG70">
        <v>78.3</v>
      </c>
      <c r="CH70">
        <v>1008</v>
      </c>
      <c r="CI70">
        <v>50</v>
      </c>
      <c r="CJ70">
        <v>59.9</v>
      </c>
      <c r="CK70">
        <v>80.599999999999994</v>
      </c>
      <c r="CL70">
        <v>78.3</v>
      </c>
      <c r="CM70">
        <v>76.7</v>
      </c>
      <c r="CN70">
        <v>31680</v>
      </c>
      <c r="CO70">
        <v>6</v>
      </c>
      <c r="CP70">
        <v>298</v>
      </c>
      <c r="CQ70">
        <v>0</v>
      </c>
      <c r="CR70">
        <v>0</v>
      </c>
      <c r="CS70">
        <v>0</v>
      </c>
      <c r="CT70" t="s">
        <v>1915</v>
      </c>
      <c r="CU70">
        <v>108</v>
      </c>
      <c r="CV70">
        <v>84</v>
      </c>
      <c r="CW70">
        <v>0.7</v>
      </c>
      <c r="CX70">
        <v>0.4</v>
      </c>
      <c r="CY70">
        <v>2.9</v>
      </c>
      <c r="CZ70">
        <v>3.3</v>
      </c>
      <c r="DA70">
        <v>1</v>
      </c>
      <c r="DB70">
        <v>1</v>
      </c>
      <c r="DC70">
        <v>0</v>
      </c>
      <c r="DD70">
        <v>0</v>
      </c>
      <c r="DE70">
        <v>0</v>
      </c>
      <c r="DF70">
        <v>0</v>
      </c>
      <c r="DG70">
        <v>129.16999999999999</v>
      </c>
      <c r="DH70">
        <v>196.95</v>
      </c>
      <c r="DI70">
        <v>0</v>
      </c>
      <c r="DJ70" t="s">
        <v>1979</v>
      </c>
      <c r="DK70" t="s">
        <v>2476</v>
      </c>
      <c r="DL70" t="s">
        <v>2477</v>
      </c>
      <c r="DM70">
        <v>35.83</v>
      </c>
      <c r="DN70">
        <v>97.5</v>
      </c>
      <c r="EA70">
        <v>106552</v>
      </c>
      <c r="EB70" t="s">
        <v>2478</v>
      </c>
      <c r="EC70">
        <v>106552</v>
      </c>
      <c r="ED70" t="s">
        <v>2478</v>
      </c>
      <c r="EE70" t="s">
        <v>2257</v>
      </c>
      <c r="EL70">
        <v>0</v>
      </c>
      <c r="EM70" t="s">
        <v>463</v>
      </c>
    </row>
    <row r="71" spans="1:143" x14ac:dyDescent="0.35">
      <c r="A71" t="s">
        <v>34</v>
      </c>
      <c r="B71" t="s">
        <v>465</v>
      </c>
      <c r="C71" t="s">
        <v>116</v>
      </c>
      <c r="D71" t="s">
        <v>146</v>
      </c>
      <c r="G71" t="s">
        <v>2479</v>
      </c>
      <c r="K71" t="s">
        <v>2480</v>
      </c>
      <c r="L71" t="s">
        <v>1896</v>
      </c>
      <c r="M71" t="s">
        <v>2481</v>
      </c>
      <c r="N71" t="s">
        <v>1898</v>
      </c>
      <c r="R71" t="s">
        <v>153</v>
      </c>
      <c r="S71" t="s">
        <v>466</v>
      </c>
      <c r="T71" t="s">
        <v>469</v>
      </c>
      <c r="U71" t="s">
        <v>117</v>
      </c>
      <c r="V71" t="s">
        <v>2014</v>
      </c>
      <c r="W71" t="s">
        <v>1923</v>
      </c>
      <c r="X71" t="s">
        <v>2482</v>
      </c>
      <c r="AB71">
        <v>0</v>
      </c>
      <c r="AC71">
        <v>0</v>
      </c>
      <c r="AJ71">
        <v>0</v>
      </c>
      <c r="AL71">
        <v>0</v>
      </c>
      <c r="AS71" t="b">
        <v>0</v>
      </c>
      <c r="AT71">
        <v>0</v>
      </c>
      <c r="AU71">
        <v>0</v>
      </c>
      <c r="AV71" t="s">
        <v>466</v>
      </c>
      <c r="AX71" t="s">
        <v>470</v>
      </c>
      <c r="BA71" t="s">
        <v>2164</v>
      </c>
      <c r="BF71" t="s">
        <v>2016</v>
      </c>
      <c r="BI71" t="s">
        <v>2483</v>
      </c>
      <c r="BL71" t="s">
        <v>2484</v>
      </c>
      <c r="BM71" t="s">
        <v>467</v>
      </c>
      <c r="BN71" t="s">
        <v>467</v>
      </c>
      <c r="BO71" t="s">
        <v>467</v>
      </c>
      <c r="BR71">
        <v>1</v>
      </c>
      <c r="BS71">
        <v>2</v>
      </c>
      <c r="CB71" t="s">
        <v>149</v>
      </c>
      <c r="CC71" t="s">
        <v>1996</v>
      </c>
      <c r="CD71" t="s">
        <v>1997</v>
      </c>
      <c r="CE71">
        <v>76.5</v>
      </c>
      <c r="CF71">
        <v>52.5</v>
      </c>
      <c r="CG71">
        <v>77.400000000000006</v>
      </c>
      <c r="CH71">
        <v>1006</v>
      </c>
      <c r="CI71">
        <v>41</v>
      </c>
      <c r="CJ71">
        <v>47.5</v>
      </c>
      <c r="CK71">
        <v>77.5</v>
      </c>
      <c r="CL71">
        <v>77.400000000000006</v>
      </c>
      <c r="CM71">
        <v>76.5</v>
      </c>
      <c r="CN71">
        <v>31680</v>
      </c>
      <c r="CO71">
        <v>14.3</v>
      </c>
      <c r="CP71">
        <v>226</v>
      </c>
      <c r="CQ71">
        <v>15</v>
      </c>
      <c r="CR71">
        <v>0</v>
      </c>
      <c r="CS71">
        <v>0</v>
      </c>
      <c r="CT71" t="s">
        <v>1915</v>
      </c>
      <c r="CU71">
        <v>167.8500061035156</v>
      </c>
      <c r="CV71">
        <v>144</v>
      </c>
      <c r="CW71">
        <v>3.8499999046325679</v>
      </c>
      <c r="CX71">
        <v>4.8499999046325684</v>
      </c>
      <c r="CY71">
        <v>12.44999980926514</v>
      </c>
      <c r="CZ71">
        <v>13.25</v>
      </c>
      <c r="DA71">
        <v>1</v>
      </c>
      <c r="DB71">
        <v>2</v>
      </c>
      <c r="DC71">
        <v>0</v>
      </c>
      <c r="DD71">
        <v>0</v>
      </c>
      <c r="DE71">
        <v>381.96</v>
      </c>
      <c r="DF71">
        <v>462.44</v>
      </c>
      <c r="DG71">
        <v>0</v>
      </c>
      <c r="DH71">
        <v>0</v>
      </c>
      <c r="DI71">
        <v>0</v>
      </c>
      <c r="DJ71" t="s">
        <v>2485</v>
      </c>
      <c r="DM71">
        <v>44.63</v>
      </c>
      <c r="DN71">
        <v>123.9</v>
      </c>
      <c r="DO71" t="s">
        <v>2024</v>
      </c>
      <c r="EL71">
        <v>0</v>
      </c>
      <c r="EM71" t="s">
        <v>468</v>
      </c>
    </row>
    <row r="72" spans="1:143" x14ac:dyDescent="0.35">
      <c r="A72" t="s">
        <v>34</v>
      </c>
      <c r="B72" t="s">
        <v>471</v>
      </c>
      <c r="C72" t="s">
        <v>116</v>
      </c>
      <c r="D72" t="s">
        <v>146</v>
      </c>
      <c r="G72" t="s">
        <v>2486</v>
      </c>
      <c r="K72" t="s">
        <v>2470</v>
      </c>
      <c r="L72" t="s">
        <v>1896</v>
      </c>
      <c r="M72" t="s">
        <v>2471</v>
      </c>
      <c r="N72" t="s">
        <v>1898</v>
      </c>
      <c r="R72" t="s">
        <v>153</v>
      </c>
      <c r="S72" t="s">
        <v>472</v>
      </c>
      <c r="T72" t="s">
        <v>117</v>
      </c>
      <c r="Y72" t="s">
        <v>2136</v>
      </c>
      <c r="AB72">
        <v>0</v>
      </c>
      <c r="AC72">
        <v>0</v>
      </c>
      <c r="AJ72">
        <v>0</v>
      </c>
      <c r="AL72">
        <v>0</v>
      </c>
      <c r="AS72" t="b">
        <v>1</v>
      </c>
      <c r="AT72">
        <v>0</v>
      </c>
      <c r="AU72">
        <v>0</v>
      </c>
      <c r="AV72" t="s">
        <v>472</v>
      </c>
      <c r="AX72" t="s">
        <v>475</v>
      </c>
      <c r="AY72" t="b">
        <v>1</v>
      </c>
      <c r="AZ72" t="b">
        <v>1</v>
      </c>
      <c r="BA72" t="s">
        <v>1977</v>
      </c>
      <c r="BF72" t="s">
        <v>1906</v>
      </c>
      <c r="BG72" t="s">
        <v>2183</v>
      </c>
      <c r="BI72" t="s">
        <v>2487</v>
      </c>
      <c r="BL72" t="s">
        <v>2488</v>
      </c>
      <c r="BM72" t="s">
        <v>473</v>
      </c>
      <c r="BN72" t="s">
        <v>473</v>
      </c>
      <c r="BO72" t="s">
        <v>473</v>
      </c>
      <c r="BR72">
        <v>2</v>
      </c>
      <c r="BS72">
        <v>4</v>
      </c>
      <c r="BU72" t="s">
        <v>1908</v>
      </c>
      <c r="BV72">
        <v>0</v>
      </c>
      <c r="BW72" t="s">
        <v>1948</v>
      </c>
      <c r="BX72" t="s">
        <v>1949</v>
      </c>
      <c r="BY72" t="s">
        <v>1970</v>
      </c>
      <c r="BZ72" t="s">
        <v>1995</v>
      </c>
      <c r="CA72" t="s">
        <v>1950</v>
      </c>
      <c r="CB72" t="s">
        <v>2489</v>
      </c>
      <c r="CC72" t="s">
        <v>1961</v>
      </c>
      <c r="CD72" t="s">
        <v>1962</v>
      </c>
      <c r="CE72">
        <v>60.4</v>
      </c>
      <c r="CF72">
        <v>39.700000000000003</v>
      </c>
      <c r="CG72">
        <v>60.3</v>
      </c>
      <c r="CH72">
        <v>1013</v>
      </c>
      <c r="CI72">
        <v>45</v>
      </c>
      <c r="CJ72">
        <v>38.299999999999997</v>
      </c>
      <c r="CK72">
        <v>60.8</v>
      </c>
      <c r="CL72">
        <v>60.4</v>
      </c>
      <c r="CM72">
        <v>60.3</v>
      </c>
      <c r="CN72">
        <v>31680</v>
      </c>
      <c r="CO72">
        <v>6.5</v>
      </c>
      <c r="CP72">
        <v>121</v>
      </c>
      <c r="CQ72">
        <v>36</v>
      </c>
      <c r="CR72">
        <v>0</v>
      </c>
      <c r="CS72">
        <v>0</v>
      </c>
      <c r="CT72" t="s">
        <v>1915</v>
      </c>
      <c r="CU72">
        <v>158.8500061035156</v>
      </c>
      <c r="CV72">
        <v>88</v>
      </c>
      <c r="CW72">
        <v>6.0500001907348633</v>
      </c>
      <c r="CX72">
        <v>2.4500000476837158</v>
      </c>
      <c r="CY72">
        <v>7.0500001907348633</v>
      </c>
      <c r="CZ72">
        <v>8.9499998092651367</v>
      </c>
      <c r="DA72">
        <v>1</v>
      </c>
      <c r="DB72">
        <v>1</v>
      </c>
      <c r="DC72">
        <v>0</v>
      </c>
      <c r="DD72">
        <v>0</v>
      </c>
      <c r="DE72">
        <v>301.13</v>
      </c>
      <c r="DF72">
        <v>406.64</v>
      </c>
      <c r="DG72">
        <v>0</v>
      </c>
      <c r="DH72">
        <v>0</v>
      </c>
      <c r="DI72">
        <v>0</v>
      </c>
      <c r="DJ72" t="s">
        <v>2490</v>
      </c>
      <c r="DM72">
        <v>41.98</v>
      </c>
      <c r="DN72">
        <v>103.1</v>
      </c>
      <c r="EL72">
        <v>0</v>
      </c>
      <c r="EM72" t="s">
        <v>474</v>
      </c>
    </row>
    <row r="73" spans="1:143" x14ac:dyDescent="0.35">
      <c r="A73" t="s">
        <v>34</v>
      </c>
      <c r="B73" t="s">
        <v>476</v>
      </c>
      <c r="C73" t="s">
        <v>116</v>
      </c>
      <c r="D73" t="s">
        <v>146</v>
      </c>
      <c r="G73" t="s">
        <v>2491</v>
      </c>
      <c r="K73" t="s">
        <v>2470</v>
      </c>
      <c r="L73" t="s">
        <v>1896</v>
      </c>
      <c r="M73" t="s">
        <v>2471</v>
      </c>
      <c r="N73" t="s">
        <v>1898</v>
      </c>
      <c r="R73" t="s">
        <v>153</v>
      </c>
      <c r="S73" t="s">
        <v>477</v>
      </c>
      <c r="T73" t="s">
        <v>117</v>
      </c>
      <c r="AB73">
        <v>0</v>
      </c>
      <c r="AC73">
        <v>0</v>
      </c>
      <c r="AG73" t="s">
        <v>2492</v>
      </c>
      <c r="AH73" t="s">
        <v>1903</v>
      </c>
      <c r="AI73">
        <v>475300</v>
      </c>
      <c r="AJ73">
        <v>0</v>
      </c>
      <c r="AL73">
        <v>0</v>
      </c>
      <c r="AS73" t="b">
        <v>0</v>
      </c>
      <c r="AT73">
        <v>0</v>
      </c>
      <c r="AU73">
        <v>0</v>
      </c>
      <c r="AV73" t="s">
        <v>477</v>
      </c>
      <c r="AX73" t="s">
        <v>480</v>
      </c>
      <c r="AY73" t="b">
        <v>1</v>
      </c>
      <c r="AZ73" t="b">
        <v>1</v>
      </c>
      <c r="BA73" t="s">
        <v>2493</v>
      </c>
      <c r="BF73" t="s">
        <v>1906</v>
      </c>
      <c r="BG73" t="s">
        <v>2328</v>
      </c>
      <c r="BI73" t="s">
        <v>2494</v>
      </c>
      <c r="BL73" t="s">
        <v>2495</v>
      </c>
      <c r="BM73" t="s">
        <v>478</v>
      </c>
      <c r="BN73" t="s">
        <v>478</v>
      </c>
      <c r="BO73" t="s">
        <v>478</v>
      </c>
      <c r="BR73">
        <v>2</v>
      </c>
      <c r="BS73">
        <v>2</v>
      </c>
      <c r="BU73" t="s">
        <v>1908</v>
      </c>
      <c r="BV73">
        <v>0</v>
      </c>
      <c r="BW73" t="s">
        <v>2032</v>
      </c>
      <c r="BX73" t="s">
        <v>1949</v>
      </c>
      <c r="BY73" t="s">
        <v>2033</v>
      </c>
      <c r="BZ73" t="s">
        <v>1995</v>
      </c>
      <c r="CA73" t="s">
        <v>1950</v>
      </c>
      <c r="CB73" t="s">
        <v>2496</v>
      </c>
      <c r="CC73" t="s">
        <v>1972</v>
      </c>
      <c r="CD73" t="s">
        <v>1973</v>
      </c>
      <c r="CE73">
        <v>53.2</v>
      </c>
      <c r="CF73">
        <v>30.7</v>
      </c>
      <c r="CG73">
        <v>51.6</v>
      </c>
      <c r="CH73">
        <v>1021</v>
      </c>
      <c r="CI73">
        <v>46</v>
      </c>
      <c r="CJ73">
        <v>39.4</v>
      </c>
      <c r="CK73">
        <v>54.2</v>
      </c>
      <c r="CL73">
        <v>53.2</v>
      </c>
      <c r="CM73">
        <v>51.6</v>
      </c>
      <c r="CN73">
        <v>31680</v>
      </c>
      <c r="CO73">
        <v>5.6</v>
      </c>
      <c r="CP73">
        <v>70</v>
      </c>
      <c r="CQ73">
        <v>87</v>
      </c>
      <c r="CR73">
        <v>0</v>
      </c>
      <c r="CS73">
        <v>0</v>
      </c>
      <c r="CT73" t="s">
        <v>1915</v>
      </c>
      <c r="CU73">
        <v>153.8500061035156</v>
      </c>
      <c r="CV73">
        <v>102</v>
      </c>
      <c r="CW73">
        <v>2.8499999046325679</v>
      </c>
      <c r="CX73">
        <v>1.549999952316284</v>
      </c>
      <c r="CY73">
        <v>3.6500000953674321</v>
      </c>
      <c r="CZ73">
        <v>5.0500001907348633</v>
      </c>
      <c r="DA73">
        <v>1</v>
      </c>
      <c r="DB73">
        <v>1</v>
      </c>
      <c r="DC73">
        <v>0</v>
      </c>
      <c r="DD73">
        <v>0</v>
      </c>
      <c r="DE73">
        <v>287.13</v>
      </c>
      <c r="DF73">
        <v>387.73</v>
      </c>
      <c r="DG73">
        <v>0</v>
      </c>
      <c r="DH73">
        <v>0</v>
      </c>
      <c r="DI73">
        <v>0</v>
      </c>
      <c r="DJ73" t="s">
        <v>2490</v>
      </c>
      <c r="DM73">
        <v>41.98</v>
      </c>
      <c r="DN73">
        <v>103.1</v>
      </c>
      <c r="EL73">
        <v>0</v>
      </c>
      <c r="EM73" t="s">
        <v>479</v>
      </c>
    </row>
    <row r="74" spans="1:143" x14ac:dyDescent="0.35">
      <c r="A74" t="s">
        <v>34</v>
      </c>
      <c r="B74" t="s">
        <v>481</v>
      </c>
      <c r="C74" t="s">
        <v>116</v>
      </c>
      <c r="D74" t="s">
        <v>146</v>
      </c>
      <c r="G74" t="s">
        <v>2497</v>
      </c>
      <c r="K74" t="s">
        <v>2470</v>
      </c>
      <c r="L74" t="s">
        <v>1896</v>
      </c>
      <c r="M74" t="s">
        <v>2471</v>
      </c>
      <c r="N74" t="s">
        <v>1898</v>
      </c>
      <c r="R74" t="s">
        <v>153</v>
      </c>
      <c r="S74" t="s">
        <v>482</v>
      </c>
      <c r="T74" t="s">
        <v>117</v>
      </c>
      <c r="Y74" t="s">
        <v>2136</v>
      </c>
      <c r="AB74">
        <v>0</v>
      </c>
      <c r="AC74">
        <v>0</v>
      </c>
      <c r="AJ74">
        <v>0</v>
      </c>
      <c r="AL74">
        <v>0</v>
      </c>
      <c r="AS74" t="b">
        <v>1</v>
      </c>
      <c r="AT74">
        <v>0</v>
      </c>
      <c r="AU74">
        <v>0</v>
      </c>
      <c r="AV74" t="s">
        <v>482</v>
      </c>
      <c r="AX74" t="s">
        <v>485</v>
      </c>
      <c r="AY74" t="b">
        <v>1</v>
      </c>
      <c r="AZ74" t="b">
        <v>1</v>
      </c>
      <c r="BA74" t="s">
        <v>1977</v>
      </c>
      <c r="BF74" t="s">
        <v>1906</v>
      </c>
      <c r="BG74" t="s">
        <v>2498</v>
      </c>
      <c r="BI74" t="s">
        <v>2499</v>
      </c>
      <c r="BL74" t="s">
        <v>2500</v>
      </c>
      <c r="BM74" t="s">
        <v>483</v>
      </c>
      <c r="BN74" t="s">
        <v>483</v>
      </c>
      <c r="BO74" t="s">
        <v>483</v>
      </c>
      <c r="BR74">
        <v>2</v>
      </c>
      <c r="BS74">
        <v>4</v>
      </c>
      <c r="BU74" t="s">
        <v>1908</v>
      </c>
      <c r="BV74">
        <v>0</v>
      </c>
      <c r="BW74" t="s">
        <v>1948</v>
      </c>
      <c r="BX74" t="s">
        <v>1949</v>
      </c>
      <c r="BY74" t="s">
        <v>1911</v>
      </c>
      <c r="BZ74" t="s">
        <v>1995</v>
      </c>
      <c r="CA74" t="s">
        <v>1950</v>
      </c>
      <c r="CB74" t="s">
        <v>2501</v>
      </c>
      <c r="CC74" t="s">
        <v>1996</v>
      </c>
      <c r="CD74" t="s">
        <v>1997</v>
      </c>
      <c r="CE74">
        <v>50.4</v>
      </c>
      <c r="CF74">
        <v>21.7</v>
      </c>
      <c r="CG74">
        <v>47.3</v>
      </c>
      <c r="CH74">
        <v>1011</v>
      </c>
      <c r="CI74">
        <v>32</v>
      </c>
      <c r="CJ74">
        <v>34.5</v>
      </c>
      <c r="CK74">
        <v>53.7</v>
      </c>
      <c r="CL74">
        <v>50.4</v>
      </c>
      <c r="CM74">
        <v>47.3</v>
      </c>
      <c r="CN74">
        <v>31680</v>
      </c>
      <c r="CO74">
        <v>7.6</v>
      </c>
      <c r="CP74">
        <v>342</v>
      </c>
      <c r="CQ74">
        <v>12</v>
      </c>
      <c r="CR74">
        <v>0</v>
      </c>
      <c r="CS74">
        <v>0</v>
      </c>
      <c r="CT74" t="s">
        <v>1915</v>
      </c>
      <c r="CU74">
        <v>144.8500061035156</v>
      </c>
      <c r="CV74">
        <v>106</v>
      </c>
      <c r="CW74">
        <v>1.549999952316284</v>
      </c>
      <c r="CX74">
        <v>1.3500000238418579</v>
      </c>
      <c r="CY74">
        <v>1.8500000238418579</v>
      </c>
      <c r="CZ74">
        <v>2.3499999046325679</v>
      </c>
      <c r="DA74">
        <v>1</v>
      </c>
      <c r="DB74">
        <v>1</v>
      </c>
      <c r="DC74">
        <v>0</v>
      </c>
      <c r="DD74">
        <v>0</v>
      </c>
      <c r="DE74">
        <v>250.45</v>
      </c>
      <c r="DF74">
        <v>338.19</v>
      </c>
      <c r="DG74">
        <v>0</v>
      </c>
      <c r="DH74">
        <v>0</v>
      </c>
      <c r="DI74">
        <v>0</v>
      </c>
      <c r="DJ74" t="s">
        <v>2490</v>
      </c>
      <c r="DM74">
        <v>41.98</v>
      </c>
      <c r="DN74">
        <v>103.1</v>
      </c>
      <c r="EL74">
        <v>0</v>
      </c>
      <c r="EM74" t="s">
        <v>484</v>
      </c>
    </row>
    <row r="75" spans="1:143" x14ac:dyDescent="0.35">
      <c r="A75" t="s">
        <v>34</v>
      </c>
      <c r="B75" t="s">
        <v>486</v>
      </c>
      <c r="C75" t="s">
        <v>116</v>
      </c>
      <c r="D75" t="s">
        <v>120</v>
      </c>
      <c r="R75" t="s">
        <v>153</v>
      </c>
      <c r="S75" t="s">
        <v>487</v>
      </c>
      <c r="T75" t="s">
        <v>117</v>
      </c>
      <c r="V75" t="s">
        <v>2502</v>
      </c>
      <c r="W75" t="s">
        <v>2503</v>
      </c>
      <c r="X75" t="s">
        <v>2504</v>
      </c>
      <c r="Y75" t="s">
        <v>2136</v>
      </c>
      <c r="AB75">
        <v>0</v>
      </c>
      <c r="AC75">
        <v>0</v>
      </c>
      <c r="AJ75">
        <v>0</v>
      </c>
      <c r="AL75">
        <v>0</v>
      </c>
      <c r="AS75" t="b">
        <v>1</v>
      </c>
      <c r="AT75">
        <v>0</v>
      </c>
      <c r="AU75">
        <v>0</v>
      </c>
      <c r="AV75" t="s">
        <v>487</v>
      </c>
      <c r="AX75" t="s">
        <v>490</v>
      </c>
      <c r="BA75" t="s">
        <v>2062</v>
      </c>
      <c r="BE75" t="s">
        <v>2505</v>
      </c>
      <c r="BF75" t="s">
        <v>1906</v>
      </c>
      <c r="BG75" t="s">
        <v>2506</v>
      </c>
      <c r="BI75" t="s">
        <v>2507</v>
      </c>
      <c r="BL75" t="s">
        <v>2508</v>
      </c>
      <c r="BM75" t="s">
        <v>488</v>
      </c>
      <c r="BN75" t="s">
        <v>488</v>
      </c>
      <c r="BO75" t="s">
        <v>488</v>
      </c>
      <c r="BR75">
        <v>6</v>
      </c>
      <c r="BS75">
        <v>10</v>
      </c>
      <c r="BU75" t="s">
        <v>1908</v>
      </c>
      <c r="BV75">
        <v>1</v>
      </c>
      <c r="BW75" t="s">
        <v>1948</v>
      </c>
      <c r="BX75" t="s">
        <v>1994</v>
      </c>
      <c r="BY75" t="s">
        <v>2033</v>
      </c>
      <c r="BZ75" t="s">
        <v>1995</v>
      </c>
      <c r="CA75" t="s">
        <v>1950</v>
      </c>
      <c r="EL75">
        <v>0</v>
      </c>
      <c r="EM75" t="s">
        <v>489</v>
      </c>
    </row>
    <row r="76" spans="1:143" x14ac:dyDescent="0.35">
      <c r="A76" t="s">
        <v>34</v>
      </c>
      <c r="B76" t="s">
        <v>491</v>
      </c>
      <c r="C76" t="s">
        <v>116</v>
      </c>
      <c r="D76" t="s">
        <v>146</v>
      </c>
      <c r="G76" t="s">
        <v>2509</v>
      </c>
      <c r="K76" t="s">
        <v>2510</v>
      </c>
      <c r="L76" t="s">
        <v>1896</v>
      </c>
      <c r="M76" t="s">
        <v>2511</v>
      </c>
      <c r="N76" t="s">
        <v>1898</v>
      </c>
      <c r="R76" t="s">
        <v>153</v>
      </c>
      <c r="S76" t="s">
        <v>492</v>
      </c>
      <c r="T76" t="s">
        <v>469</v>
      </c>
      <c r="U76" t="s">
        <v>117</v>
      </c>
      <c r="V76" t="s">
        <v>2014</v>
      </c>
      <c r="W76" t="s">
        <v>1923</v>
      </c>
      <c r="X76" t="s">
        <v>63</v>
      </c>
      <c r="AB76">
        <v>0</v>
      </c>
      <c r="AC76">
        <v>0</v>
      </c>
      <c r="AJ76">
        <v>0</v>
      </c>
      <c r="AL76">
        <v>0</v>
      </c>
      <c r="AS76" t="b">
        <v>1</v>
      </c>
      <c r="AT76">
        <v>0</v>
      </c>
      <c r="AU76">
        <v>0</v>
      </c>
      <c r="AV76" t="s">
        <v>492</v>
      </c>
      <c r="AX76" t="s">
        <v>495</v>
      </c>
      <c r="BA76" t="s">
        <v>2062</v>
      </c>
      <c r="BF76" t="s">
        <v>1906</v>
      </c>
      <c r="BG76" t="s">
        <v>2512</v>
      </c>
      <c r="BI76" t="s">
        <v>2513</v>
      </c>
      <c r="BL76" t="s">
        <v>2514</v>
      </c>
      <c r="BM76" t="s">
        <v>493</v>
      </c>
      <c r="BN76" t="s">
        <v>493</v>
      </c>
      <c r="BO76" t="s">
        <v>493</v>
      </c>
      <c r="BR76">
        <v>1</v>
      </c>
      <c r="BS76">
        <v>2</v>
      </c>
      <c r="CB76" t="s">
        <v>2430</v>
      </c>
      <c r="CC76" t="s">
        <v>1996</v>
      </c>
      <c r="CD76" t="s">
        <v>1997</v>
      </c>
      <c r="CE76">
        <v>59</v>
      </c>
      <c r="CF76">
        <v>43.7</v>
      </c>
      <c r="CG76">
        <v>58.3</v>
      </c>
      <c r="CH76">
        <v>1022</v>
      </c>
      <c r="CI76">
        <v>56</v>
      </c>
      <c r="CJ76">
        <v>32</v>
      </c>
      <c r="CK76">
        <v>59.7</v>
      </c>
      <c r="CL76">
        <v>59</v>
      </c>
      <c r="CM76">
        <v>58.3</v>
      </c>
      <c r="CN76">
        <v>31680</v>
      </c>
      <c r="CO76">
        <v>11.2</v>
      </c>
      <c r="CP76">
        <v>226</v>
      </c>
      <c r="CQ76">
        <v>1</v>
      </c>
      <c r="CR76">
        <v>0</v>
      </c>
      <c r="CS76">
        <v>0</v>
      </c>
      <c r="CT76" t="s">
        <v>1915</v>
      </c>
      <c r="CU76">
        <v>173.8500061035156</v>
      </c>
      <c r="CV76">
        <v>104</v>
      </c>
      <c r="CW76">
        <v>5.4499998092651367</v>
      </c>
      <c r="CX76">
        <v>5.3499999046325684</v>
      </c>
      <c r="CY76">
        <v>10.85000038146973</v>
      </c>
      <c r="CZ76">
        <v>14.64999961853027</v>
      </c>
      <c r="DA76">
        <v>1</v>
      </c>
      <c r="DB76">
        <v>1</v>
      </c>
      <c r="DC76">
        <v>0</v>
      </c>
      <c r="DD76">
        <v>4.04</v>
      </c>
      <c r="DE76">
        <v>103.06</v>
      </c>
      <c r="DF76">
        <v>137.57</v>
      </c>
      <c r="DG76">
        <v>0</v>
      </c>
      <c r="DH76">
        <v>0</v>
      </c>
      <c r="DI76">
        <v>0</v>
      </c>
      <c r="DJ76" t="s">
        <v>2515</v>
      </c>
      <c r="DM76">
        <v>23.64</v>
      </c>
      <c r="DN76">
        <v>212.6</v>
      </c>
      <c r="EL76">
        <v>0</v>
      </c>
      <c r="EM76" t="s">
        <v>494</v>
      </c>
    </row>
    <row r="77" spans="1:143" x14ac:dyDescent="0.35">
      <c r="A77" t="s">
        <v>36</v>
      </c>
      <c r="B77" t="s">
        <v>496</v>
      </c>
      <c r="C77" t="s">
        <v>116</v>
      </c>
      <c r="D77" t="s">
        <v>146</v>
      </c>
      <c r="G77" t="s">
        <v>2516</v>
      </c>
      <c r="K77" t="s">
        <v>2097</v>
      </c>
      <c r="L77" t="s">
        <v>1896</v>
      </c>
      <c r="M77" t="s">
        <v>2098</v>
      </c>
      <c r="N77" t="s">
        <v>1898</v>
      </c>
      <c r="R77" t="s">
        <v>119</v>
      </c>
      <c r="S77" t="s">
        <v>497</v>
      </c>
      <c r="T77" t="s">
        <v>117</v>
      </c>
      <c r="Z77" t="s">
        <v>2517</v>
      </c>
      <c r="AB77">
        <v>2</v>
      </c>
      <c r="AC77">
        <v>3</v>
      </c>
      <c r="AD77" t="s">
        <v>2221</v>
      </c>
      <c r="AG77" t="s">
        <v>2518</v>
      </c>
      <c r="AH77" t="s">
        <v>1903</v>
      </c>
      <c r="AI77">
        <v>308200</v>
      </c>
      <c r="AJ77">
        <v>0</v>
      </c>
      <c r="AL77">
        <v>0</v>
      </c>
      <c r="AV77" t="s">
        <v>497</v>
      </c>
      <c r="AX77" t="s">
        <v>500</v>
      </c>
      <c r="BF77" t="s">
        <v>1906</v>
      </c>
      <c r="BG77" t="s">
        <v>2519</v>
      </c>
      <c r="BI77" t="s">
        <v>497</v>
      </c>
      <c r="BM77" t="s">
        <v>498</v>
      </c>
      <c r="BN77" t="s">
        <v>498</v>
      </c>
      <c r="BO77" t="s">
        <v>498</v>
      </c>
      <c r="BQ77" t="s">
        <v>2517</v>
      </c>
      <c r="BR77">
        <v>2</v>
      </c>
      <c r="BS77">
        <v>3</v>
      </c>
      <c r="BT77" t="s">
        <v>2520</v>
      </c>
      <c r="BU77" t="s">
        <v>1908</v>
      </c>
      <c r="BV77">
        <v>0.1</v>
      </c>
      <c r="BW77" t="s">
        <v>1934</v>
      </c>
      <c r="BX77" t="s">
        <v>1949</v>
      </c>
      <c r="BY77" t="s">
        <v>1911</v>
      </c>
      <c r="CB77" t="s">
        <v>2521</v>
      </c>
      <c r="CC77" t="s">
        <v>1938</v>
      </c>
      <c r="CD77" t="s">
        <v>1939</v>
      </c>
      <c r="CE77">
        <v>73.599999999999994</v>
      </c>
      <c r="CF77">
        <v>61.2</v>
      </c>
      <c r="CG77">
        <v>77</v>
      </c>
      <c r="CH77">
        <v>1022</v>
      </c>
      <c r="CI77">
        <v>65</v>
      </c>
      <c r="CJ77">
        <v>63.5</v>
      </c>
      <c r="CK77">
        <v>75.2</v>
      </c>
      <c r="CL77">
        <v>77</v>
      </c>
      <c r="CM77">
        <v>73.599999999999994</v>
      </c>
      <c r="CN77">
        <v>15840</v>
      </c>
      <c r="CO77">
        <v>3.8</v>
      </c>
      <c r="CP77">
        <v>123</v>
      </c>
      <c r="CQ77">
        <v>74</v>
      </c>
      <c r="CR77">
        <v>0</v>
      </c>
      <c r="CS77">
        <v>0</v>
      </c>
      <c r="CT77" t="s">
        <v>1915</v>
      </c>
      <c r="CU77">
        <v>132</v>
      </c>
      <c r="CV77">
        <v>100</v>
      </c>
      <c r="CW77">
        <v>3.2</v>
      </c>
      <c r="CX77">
        <v>0.4</v>
      </c>
      <c r="CY77">
        <v>8.5</v>
      </c>
      <c r="CZ77">
        <v>9.1999999999999993</v>
      </c>
      <c r="DA77">
        <v>1</v>
      </c>
      <c r="DB77">
        <v>1</v>
      </c>
      <c r="DC77">
        <v>0</v>
      </c>
      <c r="DD77">
        <v>0</v>
      </c>
      <c r="DE77">
        <v>0</v>
      </c>
      <c r="DF77">
        <v>0</v>
      </c>
      <c r="DG77">
        <v>65.819999999999993</v>
      </c>
      <c r="DH77">
        <v>35.51</v>
      </c>
      <c r="DI77">
        <v>0</v>
      </c>
      <c r="DJ77" t="s">
        <v>2101</v>
      </c>
      <c r="DK77" t="s">
        <v>2522</v>
      </c>
      <c r="DL77" t="s">
        <v>2523</v>
      </c>
      <c r="DM77">
        <v>27.98</v>
      </c>
      <c r="DN77">
        <v>301.7</v>
      </c>
      <c r="EL77">
        <v>0</v>
      </c>
      <c r="EM77" t="s">
        <v>499</v>
      </c>
    </row>
    <row r="78" spans="1:143" x14ac:dyDescent="0.35">
      <c r="A78" t="s">
        <v>36</v>
      </c>
      <c r="B78" t="s">
        <v>501</v>
      </c>
      <c r="C78" t="s">
        <v>116</v>
      </c>
      <c r="D78" t="s">
        <v>146</v>
      </c>
      <c r="G78" t="s">
        <v>2524</v>
      </c>
      <c r="K78" t="s">
        <v>2097</v>
      </c>
      <c r="L78" t="s">
        <v>1896</v>
      </c>
      <c r="M78" t="s">
        <v>2098</v>
      </c>
      <c r="N78" t="s">
        <v>1898</v>
      </c>
      <c r="R78" t="s">
        <v>119</v>
      </c>
      <c r="S78" t="s">
        <v>502</v>
      </c>
      <c r="T78" t="s">
        <v>117</v>
      </c>
      <c r="Z78" t="s">
        <v>2525</v>
      </c>
      <c r="AB78">
        <v>1</v>
      </c>
      <c r="AC78">
        <v>2</v>
      </c>
      <c r="AD78" t="s">
        <v>1966</v>
      </c>
      <c r="AJ78">
        <v>0</v>
      </c>
      <c r="AL78">
        <v>0</v>
      </c>
      <c r="AS78" t="b">
        <v>1</v>
      </c>
      <c r="AV78" t="s">
        <v>502</v>
      </c>
      <c r="AX78" t="s">
        <v>505</v>
      </c>
      <c r="AY78" t="b">
        <v>1</v>
      </c>
      <c r="AZ78" t="b">
        <v>1</v>
      </c>
      <c r="BA78" t="s">
        <v>1977</v>
      </c>
      <c r="BF78" t="s">
        <v>1906</v>
      </c>
      <c r="BG78" t="s">
        <v>2235</v>
      </c>
      <c r="BI78" t="s">
        <v>502</v>
      </c>
      <c r="BK78" t="b">
        <v>0</v>
      </c>
      <c r="BM78" t="s">
        <v>503</v>
      </c>
      <c r="BN78" t="s">
        <v>503</v>
      </c>
      <c r="BO78" t="s">
        <v>503</v>
      </c>
      <c r="BQ78" t="s">
        <v>2525</v>
      </c>
      <c r="BR78">
        <v>1</v>
      </c>
      <c r="BS78">
        <v>2</v>
      </c>
      <c r="BT78" t="s">
        <v>2526</v>
      </c>
      <c r="BU78" t="s">
        <v>1908</v>
      </c>
      <c r="BV78">
        <v>0</v>
      </c>
      <c r="BW78" t="s">
        <v>1948</v>
      </c>
      <c r="BX78" t="s">
        <v>1910</v>
      </c>
      <c r="BY78" t="s">
        <v>1911</v>
      </c>
      <c r="CB78" t="s">
        <v>2527</v>
      </c>
      <c r="CC78" t="s">
        <v>1996</v>
      </c>
      <c r="CD78" t="s">
        <v>2414</v>
      </c>
      <c r="CE78">
        <v>56.1</v>
      </c>
      <c r="CF78">
        <v>35.1</v>
      </c>
      <c r="CG78">
        <v>55.3</v>
      </c>
      <c r="CH78">
        <v>1021</v>
      </c>
      <c r="CI78">
        <v>45</v>
      </c>
      <c r="CJ78">
        <v>51.5</v>
      </c>
      <c r="CK78">
        <v>85.2</v>
      </c>
      <c r="CL78">
        <v>56.1</v>
      </c>
      <c r="CM78">
        <v>55.3</v>
      </c>
      <c r="CN78">
        <v>31680</v>
      </c>
      <c r="CO78">
        <v>5.0999999999999996</v>
      </c>
      <c r="CP78">
        <v>342</v>
      </c>
      <c r="CQ78">
        <v>0</v>
      </c>
      <c r="CR78">
        <v>0</v>
      </c>
      <c r="CS78">
        <v>0</v>
      </c>
      <c r="CT78" t="s">
        <v>2415</v>
      </c>
      <c r="CU78">
        <v>146</v>
      </c>
      <c r="CV78">
        <v>75</v>
      </c>
      <c r="CW78">
        <v>6.9</v>
      </c>
      <c r="CX78">
        <v>1</v>
      </c>
      <c r="CY78">
        <v>10.7</v>
      </c>
      <c r="CZ78">
        <v>11.4</v>
      </c>
      <c r="DA78">
        <v>1</v>
      </c>
      <c r="DB78">
        <v>1</v>
      </c>
      <c r="DC78">
        <v>0</v>
      </c>
      <c r="DD78">
        <v>0</v>
      </c>
      <c r="DE78">
        <v>0</v>
      </c>
      <c r="DF78">
        <v>20.11</v>
      </c>
      <c r="DG78">
        <v>37.869999999999997</v>
      </c>
      <c r="DH78">
        <v>2.92</v>
      </c>
      <c r="DI78">
        <v>0</v>
      </c>
      <c r="DJ78" t="s">
        <v>2101</v>
      </c>
      <c r="DM78">
        <v>27.98</v>
      </c>
      <c r="DN78">
        <v>301.7</v>
      </c>
      <c r="EL78">
        <v>0</v>
      </c>
      <c r="EM78" t="s">
        <v>504</v>
      </c>
    </row>
    <row r="79" spans="1:143" x14ac:dyDescent="0.35">
      <c r="A79" t="s">
        <v>36</v>
      </c>
      <c r="B79" t="s">
        <v>506</v>
      </c>
      <c r="C79" t="s">
        <v>116</v>
      </c>
      <c r="D79" t="s">
        <v>146</v>
      </c>
      <c r="G79" t="s">
        <v>2072</v>
      </c>
      <c r="K79" t="s">
        <v>2097</v>
      </c>
      <c r="L79" t="s">
        <v>1896</v>
      </c>
      <c r="M79" t="s">
        <v>2098</v>
      </c>
      <c r="N79" t="s">
        <v>1898</v>
      </c>
      <c r="R79" t="s">
        <v>119</v>
      </c>
      <c r="S79" t="s">
        <v>507</v>
      </c>
      <c r="T79" t="s">
        <v>117</v>
      </c>
      <c r="Z79" t="s">
        <v>2528</v>
      </c>
      <c r="AB79">
        <v>3</v>
      </c>
      <c r="AC79">
        <v>5</v>
      </c>
      <c r="AD79" t="s">
        <v>1926</v>
      </c>
      <c r="AJ79">
        <v>0</v>
      </c>
      <c r="AL79">
        <v>0</v>
      </c>
      <c r="AV79" t="s">
        <v>507</v>
      </c>
      <c r="AX79" t="s">
        <v>510</v>
      </c>
      <c r="AY79" t="b">
        <v>1</v>
      </c>
      <c r="AZ79" t="b">
        <v>1</v>
      </c>
      <c r="BA79" t="s">
        <v>1987</v>
      </c>
      <c r="BF79" t="s">
        <v>1906</v>
      </c>
      <c r="BG79" t="s">
        <v>2529</v>
      </c>
      <c r="BI79" t="s">
        <v>507</v>
      </c>
      <c r="BM79" t="s">
        <v>508</v>
      </c>
      <c r="BN79" t="s">
        <v>508</v>
      </c>
      <c r="BO79" t="s">
        <v>508</v>
      </c>
      <c r="BQ79" t="s">
        <v>2528</v>
      </c>
      <c r="BR79">
        <v>3</v>
      </c>
      <c r="BS79">
        <v>5</v>
      </c>
      <c r="BU79" t="s">
        <v>1908</v>
      </c>
      <c r="BV79">
        <v>1</v>
      </c>
      <c r="BW79" t="s">
        <v>2093</v>
      </c>
      <c r="BX79" t="s">
        <v>2530</v>
      </c>
      <c r="BY79" t="s">
        <v>1970</v>
      </c>
      <c r="CB79" t="s">
        <v>2531</v>
      </c>
      <c r="CC79" t="s">
        <v>1961</v>
      </c>
      <c r="CD79" t="s">
        <v>1962</v>
      </c>
      <c r="CE79">
        <v>47.1</v>
      </c>
      <c r="CF79">
        <v>22.8</v>
      </c>
      <c r="CG79">
        <v>46.2</v>
      </c>
      <c r="CH79">
        <v>1033</v>
      </c>
      <c r="CI79">
        <v>39</v>
      </c>
      <c r="CJ79">
        <v>37.6</v>
      </c>
      <c r="CK79">
        <v>51.6</v>
      </c>
      <c r="CL79">
        <v>47.1</v>
      </c>
      <c r="CM79">
        <v>46.2</v>
      </c>
      <c r="CN79">
        <v>31680</v>
      </c>
      <c r="CO79">
        <v>2.5</v>
      </c>
      <c r="CP79">
        <v>298</v>
      </c>
      <c r="CQ79">
        <v>54</v>
      </c>
      <c r="CR79">
        <v>0</v>
      </c>
      <c r="CS79">
        <v>0</v>
      </c>
      <c r="CT79" t="s">
        <v>1915</v>
      </c>
      <c r="CU79">
        <v>161.8500061035156</v>
      </c>
      <c r="CV79">
        <v>103</v>
      </c>
      <c r="CW79">
        <v>3.8499999046325679</v>
      </c>
      <c r="CX79">
        <v>1.950000047683716</v>
      </c>
      <c r="CY79">
        <v>4.8499999046325684</v>
      </c>
      <c r="CZ79">
        <v>5.8499999046325684</v>
      </c>
      <c r="DA79">
        <v>1</v>
      </c>
      <c r="DB79">
        <v>1</v>
      </c>
      <c r="DC79">
        <v>0</v>
      </c>
      <c r="DD79">
        <v>0</v>
      </c>
      <c r="DE79">
        <v>107.61</v>
      </c>
      <c r="DF79">
        <v>166.09</v>
      </c>
      <c r="DG79">
        <v>0</v>
      </c>
      <c r="DH79">
        <v>0</v>
      </c>
      <c r="DI79">
        <v>0</v>
      </c>
      <c r="DJ79" t="s">
        <v>2101</v>
      </c>
      <c r="DM79">
        <v>27.98</v>
      </c>
      <c r="DN79">
        <v>301.7</v>
      </c>
      <c r="EL79">
        <v>0</v>
      </c>
      <c r="EM79" t="s">
        <v>509</v>
      </c>
    </row>
    <row r="80" spans="1:143" x14ac:dyDescent="0.35">
      <c r="A80" t="s">
        <v>36</v>
      </c>
      <c r="B80" t="s">
        <v>511</v>
      </c>
      <c r="C80" t="s">
        <v>116</v>
      </c>
      <c r="D80" t="s">
        <v>120</v>
      </c>
      <c r="G80" t="s">
        <v>1894</v>
      </c>
      <c r="H80" t="s">
        <v>1895</v>
      </c>
      <c r="L80" t="s">
        <v>1896</v>
      </c>
      <c r="M80" t="s">
        <v>2098</v>
      </c>
      <c r="N80" t="s">
        <v>1898</v>
      </c>
      <c r="R80" t="s">
        <v>119</v>
      </c>
      <c r="S80" t="s">
        <v>512</v>
      </c>
      <c r="T80" t="s">
        <v>117</v>
      </c>
      <c r="Z80" t="s">
        <v>2532</v>
      </c>
      <c r="AB80">
        <v>2</v>
      </c>
      <c r="AC80">
        <v>3</v>
      </c>
      <c r="AD80" t="s">
        <v>2221</v>
      </c>
      <c r="AE80">
        <v>1900</v>
      </c>
      <c r="AG80" t="s">
        <v>1928</v>
      </c>
      <c r="AH80" t="s">
        <v>1929</v>
      </c>
      <c r="AI80">
        <v>105700</v>
      </c>
      <c r="AJ80">
        <v>0</v>
      </c>
      <c r="AL80">
        <v>0</v>
      </c>
      <c r="AS80" t="b">
        <v>1</v>
      </c>
      <c r="AV80" t="s">
        <v>512</v>
      </c>
      <c r="AX80" t="s">
        <v>515</v>
      </c>
      <c r="AY80" t="b">
        <v>1</v>
      </c>
      <c r="AZ80" t="b">
        <v>1</v>
      </c>
      <c r="BA80" t="s">
        <v>1977</v>
      </c>
      <c r="BD80" t="s">
        <v>2533</v>
      </c>
      <c r="BF80" t="s">
        <v>1906</v>
      </c>
      <c r="BG80" t="s">
        <v>2235</v>
      </c>
      <c r="BI80" t="s">
        <v>512</v>
      </c>
      <c r="BK80" t="b">
        <v>0</v>
      </c>
      <c r="BM80" t="s">
        <v>513</v>
      </c>
      <c r="BN80" t="s">
        <v>513</v>
      </c>
      <c r="BO80" t="s">
        <v>513</v>
      </c>
      <c r="BQ80" t="s">
        <v>2532</v>
      </c>
      <c r="BR80">
        <v>2</v>
      </c>
      <c r="BS80">
        <v>3</v>
      </c>
      <c r="BU80" t="s">
        <v>1908</v>
      </c>
      <c r="BV80">
        <v>0</v>
      </c>
      <c r="BW80" t="s">
        <v>1948</v>
      </c>
      <c r="BX80" t="s">
        <v>1910</v>
      </c>
      <c r="BY80" t="s">
        <v>1911</v>
      </c>
      <c r="CA80" t="s">
        <v>1959</v>
      </c>
      <c r="CB80" t="s">
        <v>2534</v>
      </c>
      <c r="CC80" t="s">
        <v>2535</v>
      </c>
      <c r="CD80" t="s">
        <v>2536</v>
      </c>
      <c r="CE80">
        <v>48</v>
      </c>
      <c r="CF80">
        <v>47.3</v>
      </c>
      <c r="CG80">
        <v>47.1</v>
      </c>
      <c r="CH80">
        <v>1020</v>
      </c>
      <c r="CI80">
        <v>98</v>
      </c>
      <c r="CJ80">
        <v>46.2</v>
      </c>
      <c r="CK80">
        <v>59.5</v>
      </c>
      <c r="CL80">
        <v>48</v>
      </c>
      <c r="CM80">
        <v>47.1</v>
      </c>
      <c r="CN80">
        <v>5280</v>
      </c>
      <c r="CO80">
        <v>3.8</v>
      </c>
      <c r="CP80">
        <v>187</v>
      </c>
      <c r="CQ80">
        <v>100</v>
      </c>
      <c r="CR80">
        <v>0</v>
      </c>
      <c r="CS80">
        <v>0</v>
      </c>
      <c r="CT80" t="s">
        <v>1915</v>
      </c>
      <c r="DJ80" t="s">
        <v>2101</v>
      </c>
      <c r="DM80">
        <v>27.98</v>
      </c>
      <c r="DN80">
        <v>301.7</v>
      </c>
      <c r="DR80" t="s">
        <v>2039</v>
      </c>
      <c r="DS80">
        <v>520094</v>
      </c>
      <c r="DT80" t="s">
        <v>2537</v>
      </c>
      <c r="DU80" t="s">
        <v>2039</v>
      </c>
      <c r="DV80" t="s">
        <v>2039</v>
      </c>
      <c r="DW80" t="s">
        <v>2039</v>
      </c>
      <c r="DX80" t="s">
        <v>2039</v>
      </c>
      <c r="DY80" t="b">
        <v>0</v>
      </c>
      <c r="EL80">
        <v>0</v>
      </c>
      <c r="EM80" t="s">
        <v>514</v>
      </c>
    </row>
    <row r="81" spans="1:143" x14ac:dyDescent="0.35">
      <c r="A81" t="s">
        <v>36</v>
      </c>
      <c r="B81" t="s">
        <v>516</v>
      </c>
      <c r="C81" t="s">
        <v>116</v>
      </c>
      <c r="D81" t="s">
        <v>120</v>
      </c>
      <c r="E81">
        <v>499</v>
      </c>
      <c r="G81" t="s">
        <v>2538</v>
      </c>
      <c r="H81" t="s">
        <v>1920</v>
      </c>
      <c r="L81" t="s">
        <v>1896</v>
      </c>
      <c r="M81" t="s">
        <v>2098</v>
      </c>
      <c r="N81" t="s">
        <v>1898</v>
      </c>
      <c r="R81" t="s">
        <v>119</v>
      </c>
      <c r="S81" t="s">
        <v>517</v>
      </c>
      <c r="T81" t="s">
        <v>117</v>
      </c>
      <c r="Z81" t="s">
        <v>2539</v>
      </c>
      <c r="AB81">
        <v>3</v>
      </c>
      <c r="AC81">
        <v>6</v>
      </c>
      <c r="AD81" t="s">
        <v>2221</v>
      </c>
      <c r="AE81">
        <v>1880</v>
      </c>
      <c r="AG81" t="s">
        <v>1928</v>
      </c>
      <c r="AH81" t="s">
        <v>1929</v>
      </c>
      <c r="AI81">
        <v>141200</v>
      </c>
      <c r="AJ81">
        <v>0</v>
      </c>
      <c r="AL81">
        <v>0</v>
      </c>
      <c r="AS81" t="b">
        <v>1</v>
      </c>
      <c r="AV81" t="s">
        <v>517</v>
      </c>
      <c r="AW81" t="s">
        <v>2540</v>
      </c>
      <c r="AY81" t="b">
        <v>1</v>
      </c>
      <c r="AZ81" t="b">
        <v>0</v>
      </c>
      <c r="BA81" t="s">
        <v>1931</v>
      </c>
      <c r="BD81" t="s">
        <v>2541</v>
      </c>
      <c r="BF81" t="s">
        <v>1906</v>
      </c>
      <c r="BG81" t="s">
        <v>1907</v>
      </c>
      <c r="BI81" t="s">
        <v>517</v>
      </c>
      <c r="BM81" t="s">
        <v>518</v>
      </c>
      <c r="BN81" t="s">
        <v>518</v>
      </c>
      <c r="BO81" t="s">
        <v>518</v>
      </c>
      <c r="BQ81" t="s">
        <v>2539</v>
      </c>
      <c r="BR81">
        <v>3</v>
      </c>
      <c r="BS81">
        <v>6</v>
      </c>
      <c r="BU81" t="s">
        <v>1908</v>
      </c>
      <c r="BV81">
        <v>0</v>
      </c>
      <c r="BW81" t="s">
        <v>1948</v>
      </c>
      <c r="BX81" t="s">
        <v>1935</v>
      </c>
      <c r="BY81" t="s">
        <v>1911</v>
      </c>
      <c r="CA81" t="s">
        <v>2129</v>
      </c>
      <c r="CB81" t="s">
        <v>2542</v>
      </c>
      <c r="CC81" t="s">
        <v>1973</v>
      </c>
      <c r="CD81" t="s">
        <v>1973</v>
      </c>
      <c r="CE81">
        <v>39</v>
      </c>
      <c r="CF81">
        <v>32.4</v>
      </c>
      <c r="CG81">
        <v>35.200000000000003</v>
      </c>
      <c r="CH81">
        <v>1021</v>
      </c>
      <c r="CI81">
        <v>77</v>
      </c>
      <c r="CJ81">
        <v>33.4</v>
      </c>
      <c r="CK81">
        <v>46</v>
      </c>
      <c r="CL81">
        <v>39</v>
      </c>
      <c r="CM81">
        <v>35.200000000000003</v>
      </c>
      <c r="CN81">
        <v>31680</v>
      </c>
      <c r="CO81">
        <v>2</v>
      </c>
      <c r="CP81">
        <v>245</v>
      </c>
      <c r="CQ81">
        <v>100</v>
      </c>
      <c r="CR81">
        <v>0</v>
      </c>
      <c r="CS81">
        <v>0</v>
      </c>
      <c r="DJ81" t="s">
        <v>2101</v>
      </c>
      <c r="DM81">
        <v>27.98</v>
      </c>
      <c r="DN81">
        <v>301.7</v>
      </c>
      <c r="EL81">
        <v>0</v>
      </c>
      <c r="EM81" t="s">
        <v>519</v>
      </c>
    </row>
    <row r="82" spans="1:143" x14ac:dyDescent="0.35">
      <c r="A82" t="s">
        <v>38</v>
      </c>
      <c r="B82" t="s">
        <v>520</v>
      </c>
      <c r="C82" t="s">
        <v>116</v>
      </c>
      <c r="D82" t="s">
        <v>120</v>
      </c>
      <c r="E82">
        <v>65</v>
      </c>
      <c r="G82" t="s">
        <v>2543</v>
      </c>
      <c r="L82" t="s">
        <v>1896</v>
      </c>
      <c r="M82" t="s">
        <v>2544</v>
      </c>
      <c r="N82" t="s">
        <v>1898</v>
      </c>
      <c r="R82" t="s">
        <v>119</v>
      </c>
      <c r="S82" t="s">
        <v>521</v>
      </c>
      <c r="T82" t="s">
        <v>117</v>
      </c>
      <c r="Z82" t="s">
        <v>2545</v>
      </c>
      <c r="AA82" t="s">
        <v>2546</v>
      </c>
      <c r="AB82">
        <v>1</v>
      </c>
      <c r="AC82">
        <v>4</v>
      </c>
      <c r="AE82">
        <v>1950</v>
      </c>
      <c r="AF82" t="s">
        <v>2547</v>
      </c>
      <c r="AG82" t="s">
        <v>1928</v>
      </c>
      <c r="AH82" t="s">
        <v>1929</v>
      </c>
      <c r="AI82">
        <v>119100</v>
      </c>
      <c r="AJ82">
        <v>0</v>
      </c>
      <c r="AL82">
        <v>0</v>
      </c>
      <c r="AS82" t="b">
        <v>0</v>
      </c>
      <c r="AV82" t="s">
        <v>521</v>
      </c>
      <c r="AX82" t="s">
        <v>524</v>
      </c>
      <c r="BD82" t="s">
        <v>2548</v>
      </c>
      <c r="BF82" t="s">
        <v>1906</v>
      </c>
      <c r="BG82" t="s">
        <v>1907</v>
      </c>
      <c r="BI82" t="s">
        <v>521</v>
      </c>
      <c r="BL82" t="s">
        <v>2549</v>
      </c>
      <c r="BM82" t="s">
        <v>522</v>
      </c>
      <c r="BN82" t="s">
        <v>522</v>
      </c>
      <c r="BO82" t="s">
        <v>522</v>
      </c>
      <c r="BP82" t="s">
        <v>2550</v>
      </c>
      <c r="BQ82" t="s">
        <v>2545</v>
      </c>
      <c r="BR82">
        <v>1</v>
      </c>
      <c r="BS82">
        <v>4</v>
      </c>
      <c r="BU82" t="s">
        <v>1908</v>
      </c>
      <c r="BW82" t="s">
        <v>1948</v>
      </c>
      <c r="BX82" t="s">
        <v>1949</v>
      </c>
      <c r="BY82" t="s">
        <v>2039</v>
      </c>
      <c r="BZ82" t="s">
        <v>1910</v>
      </c>
      <c r="CB82" t="s">
        <v>2551</v>
      </c>
      <c r="CC82" t="s">
        <v>1972</v>
      </c>
      <c r="CD82" t="s">
        <v>1973</v>
      </c>
      <c r="CE82">
        <v>77.5</v>
      </c>
      <c r="CF82">
        <v>58.7</v>
      </c>
      <c r="CG82">
        <v>79.099999999999994</v>
      </c>
      <c r="CH82">
        <v>1017</v>
      </c>
      <c r="CI82">
        <v>52</v>
      </c>
      <c r="CJ82">
        <v>58.1</v>
      </c>
      <c r="CK82">
        <v>79.7</v>
      </c>
      <c r="CL82">
        <v>79.099999999999994</v>
      </c>
      <c r="CM82">
        <v>77.5</v>
      </c>
      <c r="CN82">
        <v>31680</v>
      </c>
      <c r="CO82">
        <v>9.6</v>
      </c>
      <c r="CP82">
        <v>240</v>
      </c>
      <c r="CQ82">
        <v>99</v>
      </c>
      <c r="CR82">
        <v>0</v>
      </c>
      <c r="CS82">
        <v>0</v>
      </c>
      <c r="CT82" t="s">
        <v>1915</v>
      </c>
      <c r="CU82">
        <v>142</v>
      </c>
      <c r="CV82">
        <v>110</v>
      </c>
      <c r="CW82">
        <v>1.1000000000000001</v>
      </c>
      <c r="CX82">
        <v>1.2</v>
      </c>
      <c r="CY82">
        <v>8</v>
      </c>
      <c r="CZ82">
        <v>8.1999999999999993</v>
      </c>
      <c r="DA82">
        <v>1</v>
      </c>
      <c r="DB82">
        <v>1</v>
      </c>
      <c r="DC82">
        <v>0</v>
      </c>
      <c r="DD82">
        <v>0</v>
      </c>
      <c r="DE82">
        <v>0</v>
      </c>
      <c r="DF82">
        <v>0</v>
      </c>
      <c r="DG82">
        <v>56.74</v>
      </c>
      <c r="DH82">
        <v>51.12</v>
      </c>
      <c r="DI82">
        <v>110.84</v>
      </c>
      <c r="DJ82" t="s">
        <v>2552</v>
      </c>
      <c r="DK82" t="s">
        <v>2553</v>
      </c>
      <c r="DL82" t="s">
        <v>2554</v>
      </c>
      <c r="DM82">
        <v>0.62</v>
      </c>
      <c r="DN82">
        <v>5264.5</v>
      </c>
      <c r="EL82">
        <v>0</v>
      </c>
      <c r="EM82" t="s">
        <v>523</v>
      </c>
    </row>
    <row r="83" spans="1:143" x14ac:dyDescent="0.35">
      <c r="A83" t="s">
        <v>38</v>
      </c>
      <c r="B83" t="s">
        <v>525</v>
      </c>
      <c r="C83" t="s">
        <v>116</v>
      </c>
      <c r="D83" t="s">
        <v>146</v>
      </c>
      <c r="G83" t="s">
        <v>2143</v>
      </c>
      <c r="J83" t="s">
        <v>2555</v>
      </c>
      <c r="K83" t="s">
        <v>2556</v>
      </c>
      <c r="L83" t="s">
        <v>1896</v>
      </c>
      <c r="M83" t="s">
        <v>2557</v>
      </c>
      <c r="N83" t="s">
        <v>1898</v>
      </c>
      <c r="R83" t="s">
        <v>119</v>
      </c>
      <c r="S83" t="s">
        <v>526</v>
      </c>
      <c r="T83" t="s">
        <v>117</v>
      </c>
      <c r="Z83" t="s">
        <v>2558</v>
      </c>
      <c r="AA83" t="s">
        <v>2559</v>
      </c>
      <c r="AB83">
        <v>1</v>
      </c>
      <c r="AC83">
        <v>4</v>
      </c>
      <c r="AJ83">
        <v>0</v>
      </c>
      <c r="AL83">
        <v>0</v>
      </c>
      <c r="AS83" t="b">
        <v>0</v>
      </c>
      <c r="AV83" t="s">
        <v>526</v>
      </c>
      <c r="AX83" t="s">
        <v>529</v>
      </c>
      <c r="BF83" t="s">
        <v>1906</v>
      </c>
      <c r="BG83" t="s">
        <v>1907</v>
      </c>
      <c r="BI83" t="s">
        <v>526</v>
      </c>
      <c r="BL83" t="s">
        <v>2560</v>
      </c>
      <c r="BM83" t="s">
        <v>527</v>
      </c>
      <c r="BN83" t="s">
        <v>527</v>
      </c>
      <c r="BO83" t="s">
        <v>527</v>
      </c>
      <c r="BQ83" t="s">
        <v>2558</v>
      </c>
      <c r="BR83">
        <v>1</v>
      </c>
      <c r="BS83">
        <v>4</v>
      </c>
      <c r="BU83" t="s">
        <v>1908</v>
      </c>
      <c r="BV83">
        <v>0</v>
      </c>
      <c r="BW83" t="s">
        <v>1934</v>
      </c>
      <c r="BX83" t="s">
        <v>1949</v>
      </c>
      <c r="BY83" t="s">
        <v>1911</v>
      </c>
      <c r="BZ83" t="s">
        <v>1910</v>
      </c>
      <c r="CB83" t="s">
        <v>2561</v>
      </c>
      <c r="CC83" t="s">
        <v>1996</v>
      </c>
      <c r="CD83" t="s">
        <v>1997</v>
      </c>
      <c r="CE83">
        <v>77.900000000000006</v>
      </c>
      <c r="CF83">
        <v>45.4</v>
      </c>
      <c r="CG83">
        <v>77.3</v>
      </c>
      <c r="CH83">
        <v>1020</v>
      </c>
      <c r="CI83">
        <v>32</v>
      </c>
      <c r="CJ83">
        <v>58.6</v>
      </c>
      <c r="CK83">
        <v>77.900000000000006</v>
      </c>
      <c r="CL83">
        <v>77.3</v>
      </c>
      <c r="CM83">
        <v>77.900000000000006</v>
      </c>
      <c r="CN83">
        <v>31680</v>
      </c>
      <c r="CO83">
        <v>6</v>
      </c>
      <c r="CP83">
        <v>321</v>
      </c>
      <c r="CQ83">
        <v>11</v>
      </c>
      <c r="CR83">
        <v>0</v>
      </c>
      <c r="CS83">
        <v>0</v>
      </c>
      <c r="CT83" t="s">
        <v>1915</v>
      </c>
      <c r="CU83">
        <v>107</v>
      </c>
      <c r="CV83">
        <v>86</v>
      </c>
      <c r="CW83">
        <v>0.5</v>
      </c>
      <c r="CX83">
        <v>0.7</v>
      </c>
      <c r="CY83">
        <v>2.2000000000000002</v>
      </c>
      <c r="CZ83">
        <v>2.2999999999999998</v>
      </c>
      <c r="DA83">
        <v>1</v>
      </c>
      <c r="DB83">
        <v>1</v>
      </c>
      <c r="DC83">
        <v>0</v>
      </c>
      <c r="DD83">
        <v>0</v>
      </c>
      <c r="DE83">
        <v>0</v>
      </c>
      <c r="DF83">
        <v>0</v>
      </c>
      <c r="DG83">
        <v>141.72999999999999</v>
      </c>
      <c r="DH83">
        <v>217.86</v>
      </c>
      <c r="DI83">
        <v>3.19</v>
      </c>
      <c r="DJ83" t="s">
        <v>2562</v>
      </c>
      <c r="DK83" t="s">
        <v>2563</v>
      </c>
      <c r="DL83" t="s">
        <v>2564</v>
      </c>
      <c r="DM83">
        <v>0.21</v>
      </c>
      <c r="DN83">
        <v>19609.5</v>
      </c>
      <c r="EL83">
        <v>0</v>
      </c>
      <c r="EM83" t="s">
        <v>528</v>
      </c>
    </row>
    <row r="84" spans="1:143" x14ac:dyDescent="0.35">
      <c r="A84" t="s">
        <v>38</v>
      </c>
      <c r="B84" t="s">
        <v>530</v>
      </c>
      <c r="C84" t="s">
        <v>116</v>
      </c>
      <c r="D84" t="s">
        <v>120</v>
      </c>
      <c r="E84">
        <v>50</v>
      </c>
      <c r="F84" t="s">
        <v>2565</v>
      </c>
      <c r="G84" t="s">
        <v>2566</v>
      </c>
      <c r="L84" t="s">
        <v>1896</v>
      </c>
      <c r="M84" t="s">
        <v>2567</v>
      </c>
      <c r="N84" t="s">
        <v>1898</v>
      </c>
      <c r="R84" t="s">
        <v>119</v>
      </c>
      <c r="S84" t="s">
        <v>531</v>
      </c>
      <c r="T84" t="s">
        <v>117</v>
      </c>
      <c r="AB84">
        <v>0</v>
      </c>
      <c r="AC84">
        <v>0</v>
      </c>
      <c r="AF84" t="s">
        <v>2568</v>
      </c>
      <c r="AG84" t="s">
        <v>2426</v>
      </c>
      <c r="AH84" t="s">
        <v>1903</v>
      </c>
      <c r="AI84">
        <v>4506300</v>
      </c>
      <c r="AJ84">
        <v>0</v>
      </c>
      <c r="AL84">
        <v>0</v>
      </c>
      <c r="AS84" t="b">
        <v>0</v>
      </c>
      <c r="AV84" t="s">
        <v>531</v>
      </c>
      <c r="AX84" t="s">
        <v>534</v>
      </c>
      <c r="BD84" t="s">
        <v>2569</v>
      </c>
      <c r="BF84" t="s">
        <v>1906</v>
      </c>
      <c r="BG84" t="s">
        <v>1907</v>
      </c>
      <c r="BI84" t="s">
        <v>531</v>
      </c>
      <c r="BM84" t="s">
        <v>532</v>
      </c>
      <c r="BN84" t="s">
        <v>532</v>
      </c>
      <c r="BO84" t="s">
        <v>532</v>
      </c>
      <c r="BP84" t="s">
        <v>2570</v>
      </c>
      <c r="BR84">
        <v>0</v>
      </c>
      <c r="BS84">
        <v>0</v>
      </c>
      <c r="BU84" t="s">
        <v>1908</v>
      </c>
      <c r="BV84">
        <v>0</v>
      </c>
      <c r="BW84" t="s">
        <v>1934</v>
      </c>
      <c r="BX84" t="s">
        <v>1949</v>
      </c>
      <c r="BY84" t="s">
        <v>1911</v>
      </c>
      <c r="BZ84" t="s">
        <v>1910</v>
      </c>
      <c r="CB84" t="s">
        <v>2571</v>
      </c>
      <c r="CC84" t="s">
        <v>1996</v>
      </c>
      <c r="CD84" t="s">
        <v>1997</v>
      </c>
      <c r="CE84">
        <v>80.900000000000006</v>
      </c>
      <c r="CF84">
        <v>49.1</v>
      </c>
      <c r="CG84">
        <v>79.7</v>
      </c>
      <c r="CH84">
        <v>1015</v>
      </c>
      <c r="CI84">
        <v>33</v>
      </c>
      <c r="CJ84">
        <v>61.9</v>
      </c>
      <c r="CK84">
        <v>81.099999999999994</v>
      </c>
      <c r="CL84">
        <v>79.7</v>
      </c>
      <c r="CM84">
        <v>80.900000000000006</v>
      </c>
      <c r="CN84">
        <v>31680</v>
      </c>
      <c r="CO84">
        <v>9.8000000000000007</v>
      </c>
      <c r="CP84">
        <v>310</v>
      </c>
      <c r="CQ84">
        <v>21</v>
      </c>
      <c r="CR84">
        <v>0</v>
      </c>
      <c r="CS84">
        <v>0</v>
      </c>
      <c r="CT84" t="s">
        <v>1915</v>
      </c>
      <c r="CU84">
        <v>111</v>
      </c>
      <c r="CV84">
        <v>79</v>
      </c>
      <c r="CW84">
        <v>0.7</v>
      </c>
      <c r="CX84">
        <v>0.3</v>
      </c>
      <c r="CY84">
        <v>1.5</v>
      </c>
      <c r="CZ84">
        <v>1.5</v>
      </c>
      <c r="DA84">
        <v>1</v>
      </c>
      <c r="DB84">
        <v>1</v>
      </c>
      <c r="DC84">
        <v>0</v>
      </c>
      <c r="DD84">
        <v>0</v>
      </c>
      <c r="DE84">
        <v>0</v>
      </c>
      <c r="DF84">
        <v>0</v>
      </c>
      <c r="DG84">
        <v>87.06</v>
      </c>
      <c r="DH84">
        <v>177.32</v>
      </c>
      <c r="DI84">
        <v>1.03</v>
      </c>
      <c r="DJ84" t="s">
        <v>2572</v>
      </c>
      <c r="DK84" t="s">
        <v>2573</v>
      </c>
      <c r="DL84" t="s">
        <v>2037</v>
      </c>
      <c r="DM84">
        <v>1.4</v>
      </c>
      <c r="DN84">
        <v>3838.6</v>
      </c>
      <c r="EL84">
        <v>0</v>
      </c>
      <c r="EM84" t="s">
        <v>533</v>
      </c>
    </row>
    <row r="85" spans="1:143" x14ac:dyDescent="0.35">
      <c r="A85" t="s">
        <v>38</v>
      </c>
      <c r="B85" t="s">
        <v>535</v>
      </c>
      <c r="C85" t="s">
        <v>116</v>
      </c>
      <c r="D85" t="s">
        <v>120</v>
      </c>
      <c r="E85">
        <v>50</v>
      </c>
      <c r="F85" t="s">
        <v>2565</v>
      </c>
      <c r="G85" t="s">
        <v>2566</v>
      </c>
      <c r="L85" t="s">
        <v>1896</v>
      </c>
      <c r="M85" t="s">
        <v>2567</v>
      </c>
      <c r="N85" t="s">
        <v>1898</v>
      </c>
      <c r="R85" t="s">
        <v>119</v>
      </c>
      <c r="S85" t="s">
        <v>536</v>
      </c>
      <c r="T85" t="s">
        <v>117</v>
      </c>
      <c r="Z85" t="s">
        <v>2545</v>
      </c>
      <c r="AA85" t="s">
        <v>2546</v>
      </c>
      <c r="AB85">
        <v>1</v>
      </c>
      <c r="AC85">
        <v>4</v>
      </c>
      <c r="AF85" t="s">
        <v>2568</v>
      </c>
      <c r="AG85" t="s">
        <v>2426</v>
      </c>
      <c r="AH85" t="s">
        <v>1903</v>
      </c>
      <c r="AI85">
        <v>4506300</v>
      </c>
      <c r="AJ85">
        <v>0</v>
      </c>
      <c r="AL85">
        <v>0</v>
      </c>
      <c r="AS85" t="b">
        <v>0</v>
      </c>
      <c r="AV85" t="s">
        <v>536</v>
      </c>
      <c r="AX85" t="s">
        <v>539</v>
      </c>
      <c r="BD85" t="s">
        <v>2574</v>
      </c>
      <c r="BF85" t="s">
        <v>1906</v>
      </c>
      <c r="BG85" t="s">
        <v>1907</v>
      </c>
      <c r="BI85" t="s">
        <v>536</v>
      </c>
      <c r="BL85" t="s">
        <v>2575</v>
      </c>
      <c r="BM85" t="s">
        <v>537</v>
      </c>
      <c r="BN85" t="s">
        <v>537</v>
      </c>
      <c r="BO85" t="s">
        <v>537</v>
      </c>
      <c r="BP85" t="s">
        <v>2576</v>
      </c>
      <c r="BQ85" t="s">
        <v>2545</v>
      </c>
      <c r="BR85">
        <v>1</v>
      </c>
      <c r="BS85">
        <v>4</v>
      </c>
      <c r="BU85" t="s">
        <v>1908</v>
      </c>
      <c r="BV85">
        <v>0</v>
      </c>
      <c r="BW85" t="s">
        <v>1934</v>
      </c>
      <c r="BX85" t="s">
        <v>1949</v>
      </c>
      <c r="BY85" t="s">
        <v>1911</v>
      </c>
      <c r="BZ85" t="s">
        <v>1910</v>
      </c>
      <c r="CB85" t="s">
        <v>2571</v>
      </c>
      <c r="CC85" t="s">
        <v>1996</v>
      </c>
      <c r="CD85" t="s">
        <v>1997</v>
      </c>
      <c r="CE85">
        <v>80.900000000000006</v>
      </c>
      <c r="CF85">
        <v>49.1</v>
      </c>
      <c r="CG85">
        <v>79.7</v>
      </c>
      <c r="CH85">
        <v>1015</v>
      </c>
      <c r="CI85">
        <v>33</v>
      </c>
      <c r="CJ85">
        <v>61.9</v>
      </c>
      <c r="CK85">
        <v>81.099999999999994</v>
      </c>
      <c r="CL85">
        <v>79.7</v>
      </c>
      <c r="CM85">
        <v>80.900000000000006</v>
      </c>
      <c r="CN85">
        <v>31680</v>
      </c>
      <c r="CO85">
        <v>9.8000000000000007</v>
      </c>
      <c r="CP85">
        <v>310</v>
      </c>
      <c r="CQ85">
        <v>21</v>
      </c>
      <c r="CR85">
        <v>0</v>
      </c>
      <c r="CS85">
        <v>0</v>
      </c>
      <c r="CT85" t="s">
        <v>1915</v>
      </c>
      <c r="CU85">
        <v>111</v>
      </c>
      <c r="CV85">
        <v>79</v>
      </c>
      <c r="CW85">
        <v>0.7</v>
      </c>
      <c r="CX85">
        <v>0.3</v>
      </c>
      <c r="CY85">
        <v>1.5</v>
      </c>
      <c r="CZ85">
        <v>1.5</v>
      </c>
      <c r="DA85">
        <v>1</v>
      </c>
      <c r="DB85">
        <v>1</v>
      </c>
      <c r="DC85">
        <v>0</v>
      </c>
      <c r="DD85">
        <v>0</v>
      </c>
      <c r="DE85">
        <v>0</v>
      </c>
      <c r="DF85">
        <v>0</v>
      </c>
      <c r="DG85">
        <v>88.44</v>
      </c>
      <c r="DH85">
        <v>175.79</v>
      </c>
      <c r="DI85">
        <v>0.9</v>
      </c>
      <c r="DJ85" t="s">
        <v>2572</v>
      </c>
      <c r="DK85" t="s">
        <v>2573</v>
      </c>
      <c r="DL85" t="s">
        <v>2037</v>
      </c>
      <c r="DM85">
        <v>1.4</v>
      </c>
      <c r="DN85">
        <v>3838.6</v>
      </c>
      <c r="EL85">
        <v>0</v>
      </c>
      <c r="EM85" t="s">
        <v>538</v>
      </c>
    </row>
    <row r="86" spans="1:143" x14ac:dyDescent="0.35">
      <c r="A86" t="s">
        <v>38</v>
      </c>
      <c r="B86" t="s">
        <v>540</v>
      </c>
      <c r="C86" t="s">
        <v>116</v>
      </c>
      <c r="D86" t="s">
        <v>120</v>
      </c>
      <c r="E86">
        <v>418</v>
      </c>
      <c r="G86" t="s">
        <v>2577</v>
      </c>
      <c r="L86" t="s">
        <v>1896</v>
      </c>
      <c r="M86" t="s">
        <v>2578</v>
      </c>
      <c r="N86" t="s">
        <v>1898</v>
      </c>
      <c r="R86" t="s">
        <v>119</v>
      </c>
      <c r="S86" t="s">
        <v>541</v>
      </c>
      <c r="T86" t="s">
        <v>117</v>
      </c>
      <c r="Z86" t="s">
        <v>2367</v>
      </c>
      <c r="AA86" t="s">
        <v>2579</v>
      </c>
      <c r="AB86">
        <v>1</v>
      </c>
      <c r="AC86">
        <v>4</v>
      </c>
      <c r="AE86">
        <v>1960</v>
      </c>
      <c r="AF86" t="s">
        <v>2580</v>
      </c>
      <c r="AG86" t="s">
        <v>2369</v>
      </c>
      <c r="AH86" t="s">
        <v>1903</v>
      </c>
      <c r="AI86">
        <v>672900</v>
      </c>
      <c r="AJ86">
        <v>0</v>
      </c>
      <c r="AL86">
        <v>0</v>
      </c>
      <c r="AS86" t="b">
        <v>0</v>
      </c>
      <c r="AV86" t="s">
        <v>541</v>
      </c>
      <c r="AX86" t="s">
        <v>544</v>
      </c>
      <c r="BD86" t="s">
        <v>2581</v>
      </c>
      <c r="BF86" t="s">
        <v>1906</v>
      </c>
      <c r="BG86" t="s">
        <v>1907</v>
      </c>
      <c r="BI86" t="s">
        <v>541</v>
      </c>
      <c r="BL86" t="s">
        <v>2582</v>
      </c>
      <c r="BM86" t="s">
        <v>542</v>
      </c>
      <c r="BN86" t="s">
        <v>542</v>
      </c>
      <c r="BO86" t="s">
        <v>542</v>
      </c>
      <c r="BP86" t="s">
        <v>2583</v>
      </c>
      <c r="BQ86" t="s">
        <v>2367</v>
      </c>
      <c r="BR86">
        <v>1</v>
      </c>
      <c r="BS86">
        <v>4</v>
      </c>
      <c r="BU86" t="s">
        <v>1908</v>
      </c>
      <c r="BV86">
        <v>0</v>
      </c>
      <c r="BW86" t="s">
        <v>1934</v>
      </c>
      <c r="BX86" t="s">
        <v>1949</v>
      </c>
      <c r="BY86" t="s">
        <v>1911</v>
      </c>
      <c r="BZ86" t="s">
        <v>1910</v>
      </c>
      <c r="CB86" t="s">
        <v>2584</v>
      </c>
      <c r="CC86" t="s">
        <v>1961</v>
      </c>
      <c r="CD86" t="s">
        <v>1962</v>
      </c>
      <c r="CE86">
        <v>84</v>
      </c>
      <c r="CF86">
        <v>50.1</v>
      </c>
      <c r="CG86">
        <v>82.2</v>
      </c>
      <c r="CH86">
        <v>1007</v>
      </c>
      <c r="CI86">
        <v>31</v>
      </c>
      <c r="CJ86">
        <v>64</v>
      </c>
      <c r="CK86">
        <v>84</v>
      </c>
      <c r="CL86">
        <v>82.2</v>
      </c>
      <c r="CM86">
        <v>84</v>
      </c>
      <c r="CN86">
        <v>31680</v>
      </c>
      <c r="CO86">
        <v>2.5</v>
      </c>
      <c r="CP86">
        <v>290</v>
      </c>
      <c r="CQ86">
        <v>44</v>
      </c>
      <c r="CR86">
        <v>0</v>
      </c>
      <c r="CS86">
        <v>0</v>
      </c>
      <c r="CT86" t="s">
        <v>1915</v>
      </c>
      <c r="CU86">
        <v>113</v>
      </c>
      <c r="CV86">
        <v>87</v>
      </c>
      <c r="CW86">
        <v>0.6</v>
      </c>
      <c r="CX86">
        <v>0.4</v>
      </c>
      <c r="CY86">
        <v>2.8</v>
      </c>
      <c r="CZ86">
        <v>2.9</v>
      </c>
      <c r="DA86">
        <v>1</v>
      </c>
      <c r="DB86">
        <v>1</v>
      </c>
      <c r="DC86">
        <v>0</v>
      </c>
      <c r="DD86">
        <v>0</v>
      </c>
      <c r="DE86">
        <v>0</v>
      </c>
      <c r="DF86">
        <v>0</v>
      </c>
      <c r="DG86">
        <v>99.02</v>
      </c>
      <c r="DH86">
        <v>172.82</v>
      </c>
      <c r="DI86">
        <v>0</v>
      </c>
      <c r="DJ86" t="s">
        <v>2585</v>
      </c>
      <c r="DK86" t="s">
        <v>2586</v>
      </c>
      <c r="DL86" t="s">
        <v>1996</v>
      </c>
      <c r="DM86">
        <v>0.54</v>
      </c>
      <c r="DN86">
        <v>8383.2999999999993</v>
      </c>
      <c r="EL86">
        <v>0</v>
      </c>
      <c r="EM86" t="s">
        <v>543</v>
      </c>
    </row>
    <row r="87" spans="1:143" x14ac:dyDescent="0.35">
      <c r="A87" t="s">
        <v>38</v>
      </c>
      <c r="B87" t="s">
        <v>545</v>
      </c>
      <c r="C87" t="s">
        <v>116</v>
      </c>
      <c r="D87" t="s">
        <v>120</v>
      </c>
      <c r="E87">
        <v>100</v>
      </c>
      <c r="G87" t="s">
        <v>2587</v>
      </c>
      <c r="L87" t="s">
        <v>1896</v>
      </c>
      <c r="M87" t="s">
        <v>2557</v>
      </c>
      <c r="N87" t="s">
        <v>1898</v>
      </c>
      <c r="R87" t="s">
        <v>119</v>
      </c>
      <c r="S87" t="s">
        <v>546</v>
      </c>
      <c r="T87" t="s">
        <v>117</v>
      </c>
      <c r="Z87" t="s">
        <v>2588</v>
      </c>
      <c r="AA87" t="s">
        <v>2589</v>
      </c>
      <c r="AB87">
        <v>1</v>
      </c>
      <c r="AC87">
        <v>4</v>
      </c>
      <c r="AE87">
        <v>2020</v>
      </c>
      <c r="AF87" t="s">
        <v>2590</v>
      </c>
      <c r="AG87" t="s">
        <v>2234</v>
      </c>
      <c r="AH87" t="s">
        <v>1903</v>
      </c>
      <c r="AJ87">
        <v>0</v>
      </c>
      <c r="AL87">
        <v>0</v>
      </c>
      <c r="AS87" t="b">
        <v>0</v>
      </c>
      <c r="AV87" t="s">
        <v>546</v>
      </c>
      <c r="AX87" t="s">
        <v>549</v>
      </c>
      <c r="BD87" t="s">
        <v>2591</v>
      </c>
      <c r="BF87" t="s">
        <v>1906</v>
      </c>
      <c r="BG87" t="s">
        <v>1907</v>
      </c>
      <c r="BI87" t="s">
        <v>546</v>
      </c>
      <c r="BL87" t="s">
        <v>2592</v>
      </c>
      <c r="BM87" t="s">
        <v>547</v>
      </c>
      <c r="BN87" t="s">
        <v>547</v>
      </c>
      <c r="BO87" t="s">
        <v>547</v>
      </c>
      <c r="BP87" t="s">
        <v>2593</v>
      </c>
      <c r="BQ87" t="s">
        <v>2588</v>
      </c>
      <c r="BR87">
        <v>1</v>
      </c>
      <c r="BS87">
        <v>4</v>
      </c>
      <c r="BU87" t="s">
        <v>1908</v>
      </c>
      <c r="BV87">
        <v>0</v>
      </c>
      <c r="BW87" t="s">
        <v>2128</v>
      </c>
      <c r="BX87" t="s">
        <v>1949</v>
      </c>
      <c r="BY87" t="s">
        <v>1911</v>
      </c>
      <c r="BZ87" t="s">
        <v>1910</v>
      </c>
      <c r="CB87" t="s">
        <v>2594</v>
      </c>
      <c r="CC87" t="s">
        <v>1961</v>
      </c>
      <c r="CD87" t="s">
        <v>1962</v>
      </c>
      <c r="CE87">
        <v>91</v>
      </c>
      <c r="CF87">
        <v>61.2</v>
      </c>
      <c r="CG87">
        <v>92.4</v>
      </c>
      <c r="CH87">
        <v>1017</v>
      </c>
      <c r="CI87">
        <v>37</v>
      </c>
      <c r="CJ87">
        <v>71.2</v>
      </c>
      <c r="CK87">
        <v>91</v>
      </c>
      <c r="CL87">
        <v>92.4</v>
      </c>
      <c r="CM87">
        <v>91</v>
      </c>
      <c r="CN87">
        <v>31680</v>
      </c>
      <c r="CO87">
        <v>7.6</v>
      </c>
      <c r="CP87">
        <v>266</v>
      </c>
      <c r="CQ87">
        <v>26</v>
      </c>
      <c r="CR87">
        <v>0</v>
      </c>
      <c r="CS87">
        <v>0</v>
      </c>
      <c r="CT87" t="s">
        <v>1915</v>
      </c>
      <c r="CU87">
        <v>153</v>
      </c>
      <c r="CV87">
        <v>122</v>
      </c>
      <c r="CW87">
        <v>0.9</v>
      </c>
      <c r="CX87">
        <v>0.7</v>
      </c>
      <c r="CY87">
        <v>8.1</v>
      </c>
      <c r="CZ87">
        <v>8.1999999999999993</v>
      </c>
      <c r="DA87">
        <v>1</v>
      </c>
      <c r="DB87">
        <v>1</v>
      </c>
      <c r="DC87">
        <v>0</v>
      </c>
      <c r="DD87">
        <v>0</v>
      </c>
      <c r="DE87">
        <v>0</v>
      </c>
      <c r="DF87">
        <v>0</v>
      </c>
      <c r="DG87">
        <v>88.44</v>
      </c>
      <c r="DH87">
        <v>129.85</v>
      </c>
      <c r="DI87">
        <v>0</v>
      </c>
      <c r="DJ87" t="s">
        <v>2595</v>
      </c>
      <c r="DK87" t="s">
        <v>2596</v>
      </c>
      <c r="DL87" t="s">
        <v>2597</v>
      </c>
      <c r="DM87">
        <v>0.31</v>
      </c>
      <c r="DN87">
        <v>8032.3</v>
      </c>
      <c r="EL87">
        <v>0</v>
      </c>
      <c r="EM87" t="s">
        <v>548</v>
      </c>
    </row>
    <row r="88" spans="1:143" x14ac:dyDescent="0.35">
      <c r="A88" t="s">
        <v>38</v>
      </c>
      <c r="B88" t="s">
        <v>550</v>
      </c>
      <c r="C88" t="s">
        <v>116</v>
      </c>
      <c r="D88" t="s">
        <v>120</v>
      </c>
      <c r="G88" t="s">
        <v>2598</v>
      </c>
      <c r="L88" t="s">
        <v>1896</v>
      </c>
      <c r="M88" t="s">
        <v>2567</v>
      </c>
      <c r="R88" t="s">
        <v>119</v>
      </c>
      <c r="S88" t="s">
        <v>551</v>
      </c>
      <c r="T88" t="s">
        <v>117</v>
      </c>
      <c r="Z88" t="s">
        <v>2599</v>
      </c>
      <c r="AA88" t="s">
        <v>2600</v>
      </c>
      <c r="AB88">
        <v>2</v>
      </c>
      <c r="AC88">
        <v>8</v>
      </c>
      <c r="AJ88">
        <v>0</v>
      </c>
      <c r="AL88">
        <v>0</v>
      </c>
      <c r="AS88" t="b">
        <v>0</v>
      </c>
      <c r="AV88" t="s">
        <v>551</v>
      </c>
      <c r="AX88" t="s">
        <v>554</v>
      </c>
      <c r="BD88" t="s">
        <v>2601</v>
      </c>
      <c r="BF88" t="s">
        <v>1906</v>
      </c>
      <c r="BG88" t="s">
        <v>1907</v>
      </c>
      <c r="BI88" t="s">
        <v>551</v>
      </c>
      <c r="BL88" t="s">
        <v>2602</v>
      </c>
      <c r="BM88" t="s">
        <v>552</v>
      </c>
      <c r="BN88" t="s">
        <v>552</v>
      </c>
      <c r="BO88" t="s">
        <v>552</v>
      </c>
      <c r="BP88" t="s">
        <v>2603</v>
      </c>
      <c r="BQ88" t="s">
        <v>2599</v>
      </c>
      <c r="BR88">
        <v>2</v>
      </c>
      <c r="BS88">
        <v>8</v>
      </c>
      <c r="BU88" t="s">
        <v>1908</v>
      </c>
      <c r="BV88">
        <v>0</v>
      </c>
      <c r="BW88" t="s">
        <v>2128</v>
      </c>
      <c r="BX88" t="s">
        <v>2084</v>
      </c>
      <c r="BY88" t="s">
        <v>1970</v>
      </c>
      <c r="BZ88" t="s">
        <v>1910</v>
      </c>
      <c r="CB88" t="s">
        <v>2604</v>
      </c>
      <c r="CC88" t="s">
        <v>1996</v>
      </c>
      <c r="CD88" t="s">
        <v>1997</v>
      </c>
      <c r="CE88">
        <v>89.2</v>
      </c>
      <c r="CF88">
        <v>70.8</v>
      </c>
      <c r="CG88">
        <v>95.9</v>
      </c>
      <c r="CH88">
        <v>1017</v>
      </c>
      <c r="CI88">
        <v>55</v>
      </c>
      <c r="CJ88">
        <v>72.099999999999994</v>
      </c>
      <c r="CK88">
        <v>89.2</v>
      </c>
      <c r="CL88">
        <v>95.9</v>
      </c>
      <c r="CM88">
        <v>89.2</v>
      </c>
      <c r="CN88">
        <v>31680</v>
      </c>
      <c r="CO88">
        <v>6.9</v>
      </c>
      <c r="CP88">
        <v>269</v>
      </c>
      <c r="CQ88">
        <v>0</v>
      </c>
      <c r="CR88">
        <v>0</v>
      </c>
      <c r="CS88">
        <v>0</v>
      </c>
      <c r="CT88" t="s">
        <v>1915</v>
      </c>
      <c r="CU88">
        <v>143</v>
      </c>
      <c r="CV88">
        <v>122</v>
      </c>
      <c r="CW88">
        <v>0.8</v>
      </c>
      <c r="CX88">
        <v>0.8</v>
      </c>
      <c r="CY88">
        <v>2.4</v>
      </c>
      <c r="CZ88">
        <v>2.5</v>
      </c>
      <c r="DA88">
        <v>1</v>
      </c>
      <c r="DB88">
        <v>1</v>
      </c>
      <c r="DC88">
        <v>0</v>
      </c>
      <c r="DD88">
        <v>0</v>
      </c>
      <c r="DE88">
        <v>0</v>
      </c>
      <c r="DF88">
        <v>0</v>
      </c>
      <c r="DG88">
        <v>150.16</v>
      </c>
      <c r="DH88">
        <v>204.9</v>
      </c>
      <c r="DI88">
        <v>0</v>
      </c>
      <c r="DJ88" t="s">
        <v>2605</v>
      </c>
      <c r="DK88" t="s">
        <v>2606</v>
      </c>
      <c r="DL88" t="s">
        <v>2607</v>
      </c>
      <c r="DM88">
        <v>0.49</v>
      </c>
      <c r="DN88">
        <v>8283.7000000000007</v>
      </c>
      <c r="EL88">
        <v>0</v>
      </c>
      <c r="EM88" t="s">
        <v>553</v>
      </c>
    </row>
    <row r="89" spans="1:143" x14ac:dyDescent="0.35">
      <c r="A89" t="s">
        <v>38</v>
      </c>
      <c r="B89" t="s">
        <v>555</v>
      </c>
      <c r="C89" t="s">
        <v>116</v>
      </c>
      <c r="D89" t="s">
        <v>120</v>
      </c>
      <c r="G89" t="s">
        <v>2608</v>
      </c>
      <c r="L89" t="s">
        <v>1896</v>
      </c>
      <c r="M89" t="s">
        <v>2557</v>
      </c>
      <c r="R89" t="s">
        <v>119</v>
      </c>
      <c r="S89" t="s">
        <v>556</v>
      </c>
      <c r="T89" t="s">
        <v>117</v>
      </c>
      <c r="Z89" t="s">
        <v>2588</v>
      </c>
      <c r="AA89" t="s">
        <v>2589</v>
      </c>
      <c r="AB89">
        <v>1</v>
      </c>
      <c r="AC89">
        <v>4</v>
      </c>
      <c r="AJ89">
        <v>0</v>
      </c>
      <c r="AL89">
        <v>0</v>
      </c>
      <c r="AS89" t="b">
        <v>0</v>
      </c>
      <c r="AV89" t="s">
        <v>556</v>
      </c>
      <c r="AX89" t="s">
        <v>559</v>
      </c>
      <c r="BD89" t="s">
        <v>2609</v>
      </c>
      <c r="BF89" t="s">
        <v>1906</v>
      </c>
      <c r="BG89" t="s">
        <v>1907</v>
      </c>
      <c r="BI89" t="s">
        <v>556</v>
      </c>
      <c r="BL89" t="s">
        <v>2610</v>
      </c>
      <c r="BM89" t="s">
        <v>557</v>
      </c>
      <c r="BN89" t="s">
        <v>557</v>
      </c>
      <c r="BO89" t="s">
        <v>557</v>
      </c>
      <c r="BP89" t="s">
        <v>2611</v>
      </c>
      <c r="BQ89" t="s">
        <v>2588</v>
      </c>
      <c r="BR89">
        <v>1</v>
      </c>
      <c r="BS89">
        <v>4</v>
      </c>
      <c r="BU89" t="s">
        <v>1908</v>
      </c>
      <c r="BV89">
        <v>0</v>
      </c>
      <c r="BW89" t="s">
        <v>2128</v>
      </c>
      <c r="BX89" t="s">
        <v>1949</v>
      </c>
      <c r="BY89" t="s">
        <v>1911</v>
      </c>
      <c r="BZ89" t="s">
        <v>1910</v>
      </c>
      <c r="CB89" t="s">
        <v>2612</v>
      </c>
      <c r="CC89" t="s">
        <v>1996</v>
      </c>
      <c r="CD89" t="s">
        <v>1997</v>
      </c>
      <c r="CE89">
        <v>85.8</v>
      </c>
      <c r="CF89">
        <v>62.4</v>
      </c>
      <c r="CG89">
        <v>87.3</v>
      </c>
      <c r="CH89">
        <v>1019</v>
      </c>
      <c r="CI89">
        <v>46</v>
      </c>
      <c r="CJ89">
        <v>71.2</v>
      </c>
      <c r="CK89">
        <v>91</v>
      </c>
      <c r="CL89">
        <v>87.3</v>
      </c>
      <c r="CM89">
        <v>85.8</v>
      </c>
      <c r="CN89">
        <v>31680</v>
      </c>
      <c r="CO89">
        <v>6</v>
      </c>
      <c r="CP89">
        <v>284</v>
      </c>
      <c r="CQ89">
        <v>8</v>
      </c>
      <c r="CR89">
        <v>0</v>
      </c>
      <c r="CS89">
        <v>0</v>
      </c>
      <c r="CT89" t="s">
        <v>1915</v>
      </c>
      <c r="CU89">
        <v>154</v>
      </c>
      <c r="CV89">
        <v>114</v>
      </c>
      <c r="CW89">
        <v>1.3</v>
      </c>
      <c r="CX89">
        <v>0.6</v>
      </c>
      <c r="CY89">
        <v>6.8</v>
      </c>
      <c r="CZ89">
        <v>6.8</v>
      </c>
      <c r="DA89">
        <v>1</v>
      </c>
      <c r="DB89">
        <v>1</v>
      </c>
      <c r="DC89">
        <v>0</v>
      </c>
      <c r="DD89">
        <v>0</v>
      </c>
      <c r="DE89">
        <v>0</v>
      </c>
      <c r="DF89">
        <v>0</v>
      </c>
      <c r="DG89">
        <v>50.4</v>
      </c>
      <c r="DH89">
        <v>80.77</v>
      </c>
      <c r="DI89">
        <v>0</v>
      </c>
      <c r="DJ89" t="s">
        <v>2605</v>
      </c>
      <c r="DK89" t="s">
        <v>2606</v>
      </c>
      <c r="DL89" t="s">
        <v>2613</v>
      </c>
      <c r="DM89">
        <v>0.49</v>
      </c>
      <c r="DN89">
        <v>8283.7000000000007</v>
      </c>
      <c r="EL89">
        <v>0</v>
      </c>
      <c r="EM89" t="s">
        <v>558</v>
      </c>
    </row>
    <row r="90" spans="1:143" x14ac:dyDescent="0.35">
      <c r="A90" t="s">
        <v>38</v>
      </c>
      <c r="B90" t="s">
        <v>560</v>
      </c>
      <c r="C90" t="s">
        <v>116</v>
      </c>
      <c r="D90" t="s">
        <v>120</v>
      </c>
      <c r="G90" t="s">
        <v>2614</v>
      </c>
      <c r="L90" t="s">
        <v>1896</v>
      </c>
      <c r="M90" t="s">
        <v>2557</v>
      </c>
      <c r="R90" t="s">
        <v>119</v>
      </c>
      <c r="S90" t="s">
        <v>561</v>
      </c>
      <c r="T90" t="s">
        <v>117</v>
      </c>
      <c r="Z90" t="s">
        <v>2558</v>
      </c>
      <c r="AA90" t="s">
        <v>2559</v>
      </c>
      <c r="AB90">
        <v>1</v>
      </c>
      <c r="AC90">
        <v>4</v>
      </c>
      <c r="AJ90">
        <v>0</v>
      </c>
      <c r="AL90">
        <v>0</v>
      </c>
      <c r="AS90" t="b">
        <v>0</v>
      </c>
      <c r="AV90" t="s">
        <v>561</v>
      </c>
      <c r="AX90" t="s">
        <v>564</v>
      </c>
      <c r="BD90" t="s">
        <v>2615</v>
      </c>
      <c r="BF90" t="s">
        <v>1906</v>
      </c>
      <c r="BG90" t="s">
        <v>1907</v>
      </c>
      <c r="BI90" t="s">
        <v>561</v>
      </c>
      <c r="BL90" t="s">
        <v>2616</v>
      </c>
      <c r="BM90" t="s">
        <v>562</v>
      </c>
      <c r="BN90" t="s">
        <v>562</v>
      </c>
      <c r="BO90" t="s">
        <v>562</v>
      </c>
      <c r="BP90" t="s">
        <v>2617</v>
      </c>
      <c r="BQ90" t="s">
        <v>2558</v>
      </c>
      <c r="BR90">
        <v>1</v>
      </c>
      <c r="BS90">
        <v>4</v>
      </c>
      <c r="BU90" t="s">
        <v>1908</v>
      </c>
      <c r="BV90">
        <v>0</v>
      </c>
      <c r="BW90" t="s">
        <v>1934</v>
      </c>
      <c r="BX90" t="s">
        <v>1910</v>
      </c>
      <c r="BY90" t="s">
        <v>1911</v>
      </c>
      <c r="BZ90" t="s">
        <v>1910</v>
      </c>
      <c r="CB90" t="s">
        <v>2618</v>
      </c>
      <c r="CC90" t="s">
        <v>1913</v>
      </c>
      <c r="CD90" t="s">
        <v>1914</v>
      </c>
      <c r="CE90">
        <v>76.400000000000006</v>
      </c>
      <c r="CF90">
        <v>66</v>
      </c>
      <c r="CG90">
        <v>79.3</v>
      </c>
      <c r="CH90">
        <v>1006</v>
      </c>
      <c r="CI90">
        <v>70</v>
      </c>
      <c r="CJ90">
        <v>63.9</v>
      </c>
      <c r="CK90">
        <v>77</v>
      </c>
      <c r="CL90">
        <v>79.3</v>
      </c>
      <c r="CM90">
        <v>76.400000000000006</v>
      </c>
      <c r="CN90">
        <v>26400</v>
      </c>
      <c r="CO90">
        <v>9.1999999999999993</v>
      </c>
      <c r="CP90">
        <v>183</v>
      </c>
      <c r="CQ90">
        <v>70</v>
      </c>
      <c r="CR90">
        <v>0.03</v>
      </c>
      <c r="CS90">
        <v>0</v>
      </c>
      <c r="CT90" t="s">
        <v>1915</v>
      </c>
      <c r="CU90">
        <v>138</v>
      </c>
      <c r="CV90">
        <v>143</v>
      </c>
      <c r="CW90">
        <v>1.6</v>
      </c>
      <c r="CX90">
        <v>1.8</v>
      </c>
      <c r="CY90">
        <v>14</v>
      </c>
      <c r="CZ90">
        <v>14.3</v>
      </c>
      <c r="DA90">
        <v>1</v>
      </c>
      <c r="DB90">
        <v>2</v>
      </c>
      <c r="DC90">
        <v>0</v>
      </c>
      <c r="DD90">
        <v>0</v>
      </c>
      <c r="DE90">
        <v>0</v>
      </c>
      <c r="DF90">
        <v>0</v>
      </c>
      <c r="DG90">
        <v>27.88</v>
      </c>
      <c r="DH90">
        <v>22.59</v>
      </c>
      <c r="DI90">
        <v>0</v>
      </c>
      <c r="DJ90" t="s">
        <v>2562</v>
      </c>
      <c r="DK90" t="s">
        <v>2563</v>
      </c>
      <c r="DL90" t="s">
        <v>2383</v>
      </c>
      <c r="DM90">
        <v>0.21</v>
      </c>
      <c r="DN90">
        <v>19609.5</v>
      </c>
      <c r="EL90">
        <v>0</v>
      </c>
      <c r="EM90" t="s">
        <v>563</v>
      </c>
    </row>
    <row r="91" spans="1:143" x14ac:dyDescent="0.35">
      <c r="A91" t="s">
        <v>38</v>
      </c>
      <c r="B91" t="s">
        <v>565</v>
      </c>
      <c r="C91" t="s">
        <v>116</v>
      </c>
      <c r="D91" t="s">
        <v>120</v>
      </c>
      <c r="G91" t="s">
        <v>2619</v>
      </c>
      <c r="L91" t="s">
        <v>1896</v>
      </c>
      <c r="M91" t="s">
        <v>2557</v>
      </c>
      <c r="R91" t="s">
        <v>119</v>
      </c>
      <c r="S91" t="s">
        <v>566</v>
      </c>
      <c r="T91" t="s">
        <v>117</v>
      </c>
      <c r="Z91" t="s">
        <v>2588</v>
      </c>
      <c r="AA91" t="s">
        <v>2589</v>
      </c>
      <c r="AB91">
        <v>1</v>
      </c>
      <c r="AC91">
        <v>4</v>
      </c>
      <c r="AJ91">
        <v>0</v>
      </c>
      <c r="AL91">
        <v>0</v>
      </c>
      <c r="AS91" t="b">
        <v>0</v>
      </c>
      <c r="AV91" t="s">
        <v>566</v>
      </c>
      <c r="AX91" t="s">
        <v>569</v>
      </c>
      <c r="BD91" t="s">
        <v>2620</v>
      </c>
      <c r="BF91" t="s">
        <v>1906</v>
      </c>
      <c r="BG91" t="s">
        <v>1907</v>
      </c>
      <c r="BI91" t="s">
        <v>566</v>
      </c>
      <c r="BL91" t="s">
        <v>2621</v>
      </c>
      <c r="BM91" t="s">
        <v>567</v>
      </c>
      <c r="BN91" t="s">
        <v>567</v>
      </c>
      <c r="BO91" t="s">
        <v>567</v>
      </c>
      <c r="BP91" t="s">
        <v>2622</v>
      </c>
      <c r="BQ91" t="s">
        <v>2588</v>
      </c>
      <c r="BR91">
        <v>1</v>
      </c>
      <c r="BS91">
        <v>4</v>
      </c>
      <c r="BU91" t="s">
        <v>1908</v>
      </c>
      <c r="BV91">
        <v>0</v>
      </c>
      <c r="BW91" t="s">
        <v>1934</v>
      </c>
      <c r="BX91" t="s">
        <v>1910</v>
      </c>
      <c r="BY91" t="s">
        <v>1911</v>
      </c>
      <c r="BZ91" t="s">
        <v>1910</v>
      </c>
      <c r="CB91" t="s">
        <v>2623</v>
      </c>
      <c r="CC91" t="s">
        <v>1996</v>
      </c>
      <c r="CD91" t="s">
        <v>1997</v>
      </c>
      <c r="CE91">
        <v>82.8</v>
      </c>
      <c r="CF91">
        <v>57.5</v>
      </c>
      <c r="CG91">
        <v>82.9</v>
      </c>
      <c r="CH91">
        <v>1007</v>
      </c>
      <c r="CI91">
        <v>42</v>
      </c>
      <c r="CJ91">
        <v>58.8</v>
      </c>
      <c r="CK91">
        <v>86.2</v>
      </c>
      <c r="CL91">
        <v>82.8</v>
      </c>
      <c r="CM91">
        <v>82.8</v>
      </c>
      <c r="CN91">
        <v>31680</v>
      </c>
      <c r="CO91">
        <v>8.3000000000000007</v>
      </c>
      <c r="CP91">
        <v>235</v>
      </c>
      <c r="CQ91">
        <v>1</v>
      </c>
      <c r="CR91">
        <v>0</v>
      </c>
      <c r="CS91">
        <v>0</v>
      </c>
      <c r="CT91" t="s">
        <v>1915</v>
      </c>
      <c r="CU91">
        <v>135</v>
      </c>
      <c r="CV91">
        <v>130</v>
      </c>
      <c r="CW91">
        <v>2.2999999999999998</v>
      </c>
      <c r="CX91">
        <v>0.7</v>
      </c>
      <c r="CY91">
        <v>7.6</v>
      </c>
      <c r="CZ91">
        <v>8</v>
      </c>
      <c r="DA91">
        <v>1</v>
      </c>
      <c r="DB91">
        <v>1</v>
      </c>
      <c r="DC91">
        <v>0</v>
      </c>
      <c r="DD91">
        <v>0</v>
      </c>
      <c r="DE91">
        <v>0</v>
      </c>
      <c r="DF91">
        <v>0</v>
      </c>
      <c r="DG91">
        <v>166.82</v>
      </c>
      <c r="DH91">
        <v>120.79</v>
      </c>
      <c r="DI91">
        <v>0</v>
      </c>
      <c r="DJ91" t="s">
        <v>2605</v>
      </c>
      <c r="DK91" t="s">
        <v>2606</v>
      </c>
      <c r="DL91" t="s">
        <v>2624</v>
      </c>
      <c r="DM91">
        <v>0.49</v>
      </c>
      <c r="DN91">
        <v>8283.7000000000007</v>
      </c>
      <c r="EL91">
        <v>0</v>
      </c>
      <c r="EM91" t="s">
        <v>568</v>
      </c>
    </row>
    <row r="92" spans="1:143" x14ac:dyDescent="0.35">
      <c r="A92" t="s">
        <v>38</v>
      </c>
      <c r="B92" t="s">
        <v>570</v>
      </c>
      <c r="C92" t="s">
        <v>116</v>
      </c>
      <c r="D92" t="s">
        <v>120</v>
      </c>
      <c r="G92" t="s">
        <v>2619</v>
      </c>
      <c r="L92" t="s">
        <v>1896</v>
      </c>
      <c r="M92" t="s">
        <v>2557</v>
      </c>
      <c r="R92" t="s">
        <v>119</v>
      </c>
      <c r="S92" t="s">
        <v>571</v>
      </c>
      <c r="T92" t="s">
        <v>117</v>
      </c>
      <c r="Z92" t="s">
        <v>2588</v>
      </c>
      <c r="AA92" t="s">
        <v>2589</v>
      </c>
      <c r="AB92">
        <v>1</v>
      </c>
      <c r="AC92">
        <v>4</v>
      </c>
      <c r="AJ92">
        <v>0</v>
      </c>
      <c r="AL92">
        <v>0</v>
      </c>
      <c r="AS92" t="b">
        <v>0</v>
      </c>
      <c r="AV92" t="s">
        <v>571</v>
      </c>
      <c r="AX92" t="s">
        <v>574</v>
      </c>
      <c r="BD92" t="s">
        <v>2625</v>
      </c>
      <c r="BF92" t="s">
        <v>1906</v>
      </c>
      <c r="BG92" t="s">
        <v>1907</v>
      </c>
      <c r="BI92" t="s">
        <v>571</v>
      </c>
      <c r="BL92" t="s">
        <v>2626</v>
      </c>
      <c r="BM92" t="s">
        <v>572</v>
      </c>
      <c r="BN92" t="s">
        <v>572</v>
      </c>
      <c r="BO92" t="s">
        <v>572</v>
      </c>
      <c r="BP92" t="s">
        <v>2627</v>
      </c>
      <c r="BQ92" t="s">
        <v>2588</v>
      </c>
      <c r="BR92">
        <v>1</v>
      </c>
      <c r="BS92">
        <v>4</v>
      </c>
      <c r="BU92" t="s">
        <v>1908</v>
      </c>
      <c r="BV92">
        <v>0</v>
      </c>
      <c r="BW92" t="s">
        <v>1909</v>
      </c>
      <c r="BX92" t="s">
        <v>1910</v>
      </c>
      <c r="BY92" t="s">
        <v>1911</v>
      </c>
      <c r="BZ92" t="s">
        <v>1910</v>
      </c>
      <c r="CB92" t="s">
        <v>2623</v>
      </c>
      <c r="CC92" t="s">
        <v>1996</v>
      </c>
      <c r="CD92" t="s">
        <v>1997</v>
      </c>
      <c r="CE92">
        <v>82.8</v>
      </c>
      <c r="CF92">
        <v>57.5</v>
      </c>
      <c r="CG92">
        <v>82.9</v>
      </c>
      <c r="CH92">
        <v>1007</v>
      </c>
      <c r="CI92">
        <v>42</v>
      </c>
      <c r="CJ92">
        <v>58.8</v>
      </c>
      <c r="CK92">
        <v>86.2</v>
      </c>
      <c r="CL92">
        <v>82.8</v>
      </c>
      <c r="CM92">
        <v>82.8</v>
      </c>
      <c r="CN92">
        <v>31680</v>
      </c>
      <c r="CO92">
        <v>8.3000000000000007</v>
      </c>
      <c r="CP92">
        <v>235</v>
      </c>
      <c r="CQ92">
        <v>1</v>
      </c>
      <c r="CR92">
        <v>0</v>
      </c>
      <c r="CS92">
        <v>0</v>
      </c>
      <c r="CT92" t="s">
        <v>1915</v>
      </c>
      <c r="CU92">
        <v>135</v>
      </c>
      <c r="CV92">
        <v>130</v>
      </c>
      <c r="CW92">
        <v>2.2999999999999998</v>
      </c>
      <c r="CX92">
        <v>0.7</v>
      </c>
      <c r="CY92">
        <v>7.6</v>
      </c>
      <c r="CZ92">
        <v>8</v>
      </c>
      <c r="DA92">
        <v>1</v>
      </c>
      <c r="DB92">
        <v>1</v>
      </c>
      <c r="DC92">
        <v>0</v>
      </c>
      <c r="DD92">
        <v>0</v>
      </c>
      <c r="DE92">
        <v>0</v>
      </c>
      <c r="DF92">
        <v>0</v>
      </c>
      <c r="DG92">
        <v>172.32</v>
      </c>
      <c r="DH92">
        <v>96.8</v>
      </c>
      <c r="DI92">
        <v>0</v>
      </c>
      <c r="DJ92" t="s">
        <v>2605</v>
      </c>
      <c r="DK92" t="s">
        <v>2606</v>
      </c>
      <c r="DL92" t="s">
        <v>2624</v>
      </c>
      <c r="DM92">
        <v>0.49</v>
      </c>
      <c r="DN92">
        <v>8283.7000000000007</v>
      </c>
      <c r="EL92">
        <v>0</v>
      </c>
      <c r="EM92" t="s">
        <v>573</v>
      </c>
    </row>
    <row r="93" spans="1:143" x14ac:dyDescent="0.35">
      <c r="A93" t="s">
        <v>38</v>
      </c>
      <c r="B93" t="s">
        <v>575</v>
      </c>
      <c r="C93" t="s">
        <v>116</v>
      </c>
      <c r="D93" t="s">
        <v>120</v>
      </c>
      <c r="E93">
        <v>50</v>
      </c>
      <c r="G93" t="s">
        <v>2628</v>
      </c>
      <c r="L93" t="s">
        <v>1896</v>
      </c>
      <c r="M93" t="s">
        <v>2629</v>
      </c>
      <c r="N93" t="s">
        <v>1898</v>
      </c>
      <c r="R93" t="s">
        <v>119</v>
      </c>
      <c r="S93" t="s">
        <v>576</v>
      </c>
      <c r="T93" t="s">
        <v>117</v>
      </c>
      <c r="Z93" t="s">
        <v>2367</v>
      </c>
      <c r="AA93" t="s">
        <v>2579</v>
      </c>
      <c r="AB93">
        <v>1</v>
      </c>
      <c r="AC93">
        <v>4</v>
      </c>
      <c r="AE93">
        <v>2003</v>
      </c>
      <c r="AF93" t="s">
        <v>2630</v>
      </c>
      <c r="AG93" t="s">
        <v>2631</v>
      </c>
      <c r="AH93" t="s">
        <v>1903</v>
      </c>
      <c r="AI93">
        <v>4787400</v>
      </c>
      <c r="AJ93">
        <v>0</v>
      </c>
      <c r="AL93">
        <v>0</v>
      </c>
      <c r="AS93" t="b">
        <v>0</v>
      </c>
      <c r="AV93" t="s">
        <v>576</v>
      </c>
      <c r="AX93" t="s">
        <v>579</v>
      </c>
      <c r="BD93" t="s">
        <v>2632</v>
      </c>
      <c r="BF93" t="s">
        <v>1906</v>
      </c>
      <c r="BG93" t="s">
        <v>1907</v>
      </c>
      <c r="BI93" t="s">
        <v>576</v>
      </c>
      <c r="BL93" t="s">
        <v>2633</v>
      </c>
      <c r="BM93" t="s">
        <v>577</v>
      </c>
      <c r="BN93" t="s">
        <v>577</v>
      </c>
      <c r="BO93" t="s">
        <v>577</v>
      </c>
      <c r="BP93" t="s">
        <v>2634</v>
      </c>
      <c r="BQ93" t="s">
        <v>2367</v>
      </c>
      <c r="BR93">
        <v>1</v>
      </c>
      <c r="BS93">
        <v>4</v>
      </c>
      <c r="BU93" t="s">
        <v>1908</v>
      </c>
      <c r="BW93" t="s">
        <v>1934</v>
      </c>
      <c r="BX93" t="s">
        <v>1949</v>
      </c>
      <c r="BY93" t="s">
        <v>1911</v>
      </c>
      <c r="BZ93" t="s">
        <v>1910</v>
      </c>
      <c r="CA93" t="s">
        <v>1950</v>
      </c>
      <c r="CB93" t="s">
        <v>2635</v>
      </c>
      <c r="CC93" t="s">
        <v>1996</v>
      </c>
      <c r="CD93" t="s">
        <v>1997</v>
      </c>
      <c r="CE93">
        <v>77.5</v>
      </c>
      <c r="CF93">
        <v>54.1</v>
      </c>
      <c r="CG93">
        <v>78.400000000000006</v>
      </c>
      <c r="CH93">
        <v>1015</v>
      </c>
      <c r="CI93">
        <v>44</v>
      </c>
      <c r="CJ93">
        <v>59.4</v>
      </c>
      <c r="CK93">
        <v>78.8</v>
      </c>
      <c r="CL93">
        <v>78.400000000000006</v>
      </c>
      <c r="CM93">
        <v>77.5</v>
      </c>
      <c r="CN93">
        <v>31680</v>
      </c>
      <c r="CO93">
        <v>7.6</v>
      </c>
      <c r="CP93">
        <v>108</v>
      </c>
      <c r="CQ93">
        <v>6</v>
      </c>
      <c r="CR93">
        <v>0</v>
      </c>
      <c r="CS93">
        <v>0</v>
      </c>
      <c r="CT93" t="s">
        <v>1915</v>
      </c>
      <c r="CU93">
        <v>121</v>
      </c>
      <c r="CV93">
        <v>126</v>
      </c>
      <c r="CW93">
        <v>2.2000000000000002</v>
      </c>
      <c r="CX93">
        <v>0.5</v>
      </c>
      <c r="CY93">
        <v>5.0999999999999996</v>
      </c>
      <c r="CZ93">
        <v>5.4</v>
      </c>
      <c r="DA93">
        <v>1</v>
      </c>
      <c r="DB93">
        <v>1</v>
      </c>
      <c r="DC93">
        <v>0</v>
      </c>
      <c r="DD93">
        <v>0</v>
      </c>
      <c r="DE93">
        <v>0</v>
      </c>
      <c r="DF93">
        <v>0</v>
      </c>
      <c r="DG93">
        <v>241.24</v>
      </c>
      <c r="DH93">
        <v>161.65</v>
      </c>
      <c r="DI93">
        <v>0</v>
      </c>
      <c r="DJ93" t="s">
        <v>2636</v>
      </c>
      <c r="DK93" t="s">
        <v>2637</v>
      </c>
      <c r="DL93" t="s">
        <v>2638</v>
      </c>
      <c r="DM93">
        <v>0.16</v>
      </c>
      <c r="DN93">
        <v>15818.8</v>
      </c>
      <c r="EL93">
        <v>0</v>
      </c>
      <c r="EM93" t="s">
        <v>578</v>
      </c>
    </row>
    <row r="94" spans="1:143" x14ac:dyDescent="0.35">
      <c r="A94" t="s">
        <v>38</v>
      </c>
      <c r="B94" t="s">
        <v>580</v>
      </c>
      <c r="C94" t="s">
        <v>116</v>
      </c>
      <c r="D94" t="s">
        <v>120</v>
      </c>
      <c r="E94">
        <v>19</v>
      </c>
      <c r="G94" t="s">
        <v>2639</v>
      </c>
      <c r="L94" t="s">
        <v>1896</v>
      </c>
      <c r="M94" t="s">
        <v>2640</v>
      </c>
      <c r="N94" t="s">
        <v>1898</v>
      </c>
      <c r="R94" t="s">
        <v>119</v>
      </c>
      <c r="S94" t="s">
        <v>581</v>
      </c>
      <c r="T94" t="s">
        <v>117</v>
      </c>
      <c r="Z94" t="s">
        <v>2367</v>
      </c>
      <c r="AA94" t="s">
        <v>2579</v>
      </c>
      <c r="AB94">
        <v>1</v>
      </c>
      <c r="AC94">
        <v>4</v>
      </c>
      <c r="AE94">
        <v>1954</v>
      </c>
      <c r="AF94" t="s">
        <v>2641</v>
      </c>
      <c r="AG94" t="s">
        <v>1928</v>
      </c>
      <c r="AH94" t="s">
        <v>1929</v>
      </c>
      <c r="AI94">
        <v>117700</v>
      </c>
      <c r="AJ94">
        <v>0</v>
      </c>
      <c r="AL94">
        <v>0</v>
      </c>
      <c r="AS94" t="b">
        <v>0</v>
      </c>
      <c r="AV94" t="s">
        <v>581</v>
      </c>
      <c r="AX94" t="s">
        <v>584</v>
      </c>
      <c r="BD94" t="s">
        <v>2642</v>
      </c>
      <c r="BF94" t="s">
        <v>1906</v>
      </c>
      <c r="BG94" t="s">
        <v>2643</v>
      </c>
      <c r="BI94" t="s">
        <v>581</v>
      </c>
      <c r="BL94" t="s">
        <v>2644</v>
      </c>
      <c r="BM94" t="s">
        <v>582</v>
      </c>
      <c r="BN94" t="s">
        <v>582</v>
      </c>
      <c r="BO94" t="s">
        <v>582</v>
      </c>
      <c r="BP94" t="s">
        <v>2645</v>
      </c>
      <c r="BQ94" t="s">
        <v>2367</v>
      </c>
      <c r="BR94">
        <v>1</v>
      </c>
      <c r="BS94">
        <v>4</v>
      </c>
      <c r="BU94" t="s">
        <v>1908</v>
      </c>
      <c r="BV94">
        <v>0</v>
      </c>
      <c r="BW94" t="s">
        <v>1993</v>
      </c>
      <c r="BX94" t="s">
        <v>1910</v>
      </c>
      <c r="BY94" t="s">
        <v>1911</v>
      </c>
      <c r="BZ94" t="s">
        <v>1910</v>
      </c>
      <c r="CA94" t="s">
        <v>1910</v>
      </c>
      <c r="CB94" t="s">
        <v>2646</v>
      </c>
      <c r="CC94" t="s">
        <v>1996</v>
      </c>
      <c r="CD94" t="s">
        <v>1997</v>
      </c>
      <c r="CE94">
        <v>80.2</v>
      </c>
      <c r="CF94">
        <v>48.3</v>
      </c>
      <c r="CG94">
        <v>79.099999999999994</v>
      </c>
      <c r="CH94">
        <v>1019</v>
      </c>
      <c r="CI94">
        <v>33</v>
      </c>
      <c r="CJ94">
        <v>57.4</v>
      </c>
      <c r="CK94">
        <v>81.400000000000006</v>
      </c>
      <c r="CL94">
        <v>79.099999999999994</v>
      </c>
      <c r="CM94">
        <v>80.2</v>
      </c>
      <c r="CN94">
        <v>31680</v>
      </c>
      <c r="CO94">
        <v>5.8</v>
      </c>
      <c r="CP94">
        <v>111</v>
      </c>
      <c r="CQ94">
        <v>12</v>
      </c>
      <c r="CR94">
        <v>0</v>
      </c>
      <c r="CS94">
        <v>0</v>
      </c>
      <c r="CT94" t="s">
        <v>1915</v>
      </c>
      <c r="CU94">
        <v>129</v>
      </c>
      <c r="CV94">
        <v>130</v>
      </c>
      <c r="CW94">
        <v>0.8</v>
      </c>
      <c r="CX94">
        <v>0.6</v>
      </c>
      <c r="CY94">
        <v>8.1999999999999993</v>
      </c>
      <c r="CZ94">
        <v>8.8000000000000007</v>
      </c>
      <c r="DA94">
        <v>1</v>
      </c>
      <c r="DB94">
        <v>1</v>
      </c>
      <c r="DC94">
        <v>0</v>
      </c>
      <c r="DD94">
        <v>0</v>
      </c>
      <c r="DE94">
        <v>0</v>
      </c>
      <c r="DF94">
        <v>0</v>
      </c>
      <c r="DG94">
        <v>171.01</v>
      </c>
      <c r="DH94">
        <v>127.31</v>
      </c>
      <c r="DI94">
        <v>0</v>
      </c>
      <c r="DJ94" t="s">
        <v>2647</v>
      </c>
      <c r="DK94" t="s">
        <v>2648</v>
      </c>
      <c r="DL94" t="s">
        <v>2649</v>
      </c>
      <c r="DM94">
        <v>3.32</v>
      </c>
      <c r="DN94">
        <v>2219</v>
      </c>
      <c r="EL94">
        <v>0</v>
      </c>
      <c r="EM94" t="s">
        <v>583</v>
      </c>
    </row>
    <row r="95" spans="1:143" x14ac:dyDescent="0.35">
      <c r="A95" t="s">
        <v>38</v>
      </c>
      <c r="B95" t="s">
        <v>585</v>
      </c>
      <c r="C95" t="s">
        <v>116</v>
      </c>
      <c r="D95" t="s">
        <v>120</v>
      </c>
      <c r="E95">
        <v>140</v>
      </c>
      <c r="G95" t="s">
        <v>2650</v>
      </c>
      <c r="L95" t="s">
        <v>1896</v>
      </c>
      <c r="M95" t="s">
        <v>2629</v>
      </c>
      <c r="N95" t="s">
        <v>1898</v>
      </c>
      <c r="R95" t="s">
        <v>119</v>
      </c>
      <c r="S95" t="s">
        <v>586</v>
      </c>
      <c r="T95" t="s">
        <v>117</v>
      </c>
      <c r="Z95" t="s">
        <v>2651</v>
      </c>
      <c r="AA95" t="s">
        <v>2652</v>
      </c>
      <c r="AB95">
        <v>1</v>
      </c>
      <c r="AC95">
        <v>4</v>
      </c>
      <c r="AE95">
        <v>2017</v>
      </c>
      <c r="AF95" t="s">
        <v>2653</v>
      </c>
      <c r="AG95" t="s">
        <v>2234</v>
      </c>
      <c r="AH95" t="s">
        <v>1903</v>
      </c>
      <c r="AI95">
        <v>1251100</v>
      </c>
      <c r="AJ95">
        <v>0</v>
      </c>
      <c r="AL95">
        <v>0</v>
      </c>
      <c r="AS95" t="b">
        <v>0</v>
      </c>
      <c r="AV95" t="s">
        <v>586</v>
      </c>
      <c r="AX95" t="s">
        <v>589</v>
      </c>
      <c r="BD95" t="s">
        <v>2654</v>
      </c>
      <c r="BF95" t="s">
        <v>1906</v>
      </c>
      <c r="BG95" t="s">
        <v>1907</v>
      </c>
      <c r="BI95" t="s">
        <v>586</v>
      </c>
      <c r="BL95" t="s">
        <v>2655</v>
      </c>
      <c r="BM95" t="s">
        <v>587</v>
      </c>
      <c r="BN95" t="s">
        <v>587</v>
      </c>
      <c r="BO95" t="s">
        <v>587</v>
      </c>
      <c r="BP95" t="s">
        <v>2656</v>
      </c>
      <c r="BQ95" t="s">
        <v>2651</v>
      </c>
      <c r="BR95">
        <v>1</v>
      </c>
      <c r="BS95">
        <v>4</v>
      </c>
      <c r="BU95" t="s">
        <v>1908</v>
      </c>
      <c r="BV95">
        <v>0</v>
      </c>
      <c r="BW95" t="s">
        <v>1934</v>
      </c>
      <c r="BX95" t="s">
        <v>1910</v>
      </c>
      <c r="BY95" t="s">
        <v>1911</v>
      </c>
      <c r="BZ95" t="s">
        <v>1910</v>
      </c>
      <c r="CB95" t="s">
        <v>2657</v>
      </c>
      <c r="CC95" t="s">
        <v>1996</v>
      </c>
      <c r="CD95" t="s">
        <v>1997</v>
      </c>
      <c r="CE95">
        <v>69.5</v>
      </c>
      <c r="CF95">
        <v>55.8</v>
      </c>
      <c r="CG95">
        <v>69.5</v>
      </c>
      <c r="CH95">
        <v>1021</v>
      </c>
      <c r="CI95">
        <v>62</v>
      </c>
      <c r="CJ95">
        <v>60.3</v>
      </c>
      <c r="CK95">
        <v>82.6</v>
      </c>
      <c r="CL95">
        <v>69.5</v>
      </c>
      <c r="CM95">
        <v>69.5</v>
      </c>
      <c r="CN95">
        <v>31680</v>
      </c>
      <c r="CO95">
        <v>7.8</v>
      </c>
      <c r="CP95">
        <v>185</v>
      </c>
      <c r="CQ95">
        <v>9</v>
      </c>
      <c r="CR95">
        <v>0</v>
      </c>
      <c r="CS95">
        <v>0</v>
      </c>
      <c r="CT95" t="s">
        <v>1915</v>
      </c>
      <c r="CU95">
        <v>195</v>
      </c>
      <c r="CV95">
        <v>90</v>
      </c>
      <c r="CW95">
        <v>6.8</v>
      </c>
      <c r="CX95">
        <v>0.4</v>
      </c>
      <c r="CY95">
        <v>11.4</v>
      </c>
      <c r="CZ95">
        <v>12</v>
      </c>
      <c r="DA95">
        <v>1</v>
      </c>
      <c r="DB95">
        <v>1</v>
      </c>
      <c r="DC95">
        <v>0</v>
      </c>
      <c r="DD95">
        <v>0</v>
      </c>
      <c r="DE95">
        <v>0</v>
      </c>
      <c r="DF95">
        <v>0</v>
      </c>
      <c r="DG95">
        <v>210.94</v>
      </c>
      <c r="DH95">
        <v>118.74</v>
      </c>
      <c r="DI95">
        <v>0</v>
      </c>
      <c r="DJ95" t="s">
        <v>2658</v>
      </c>
      <c r="DK95" t="s">
        <v>2659</v>
      </c>
      <c r="DL95" t="s">
        <v>2660</v>
      </c>
      <c r="DM95">
        <v>1.17</v>
      </c>
      <c r="DN95">
        <v>6052.1</v>
      </c>
      <c r="EL95">
        <v>0</v>
      </c>
      <c r="EM95" t="s">
        <v>588</v>
      </c>
    </row>
    <row r="96" spans="1:143" x14ac:dyDescent="0.35">
      <c r="A96" t="s">
        <v>38</v>
      </c>
      <c r="B96" t="s">
        <v>590</v>
      </c>
      <c r="C96" t="s">
        <v>116</v>
      </c>
      <c r="D96" t="s">
        <v>120</v>
      </c>
      <c r="E96">
        <v>115</v>
      </c>
      <c r="G96" t="s">
        <v>2661</v>
      </c>
      <c r="L96" t="s">
        <v>1896</v>
      </c>
      <c r="M96" t="s">
        <v>2662</v>
      </c>
      <c r="N96" t="s">
        <v>1898</v>
      </c>
      <c r="R96" t="s">
        <v>119</v>
      </c>
      <c r="S96" t="s">
        <v>591</v>
      </c>
      <c r="T96" t="s">
        <v>117</v>
      </c>
      <c r="Z96" t="s">
        <v>2663</v>
      </c>
      <c r="AA96" t="s">
        <v>2664</v>
      </c>
      <c r="AB96">
        <v>1</v>
      </c>
      <c r="AC96">
        <v>4</v>
      </c>
      <c r="AE96">
        <v>1950</v>
      </c>
      <c r="AF96" t="s">
        <v>2665</v>
      </c>
      <c r="AG96" t="s">
        <v>1928</v>
      </c>
      <c r="AH96" t="s">
        <v>1929</v>
      </c>
      <c r="AI96">
        <v>123900</v>
      </c>
      <c r="AJ96">
        <v>0</v>
      </c>
      <c r="AL96">
        <v>0</v>
      </c>
      <c r="AS96" t="b">
        <v>0</v>
      </c>
      <c r="AV96" t="s">
        <v>591</v>
      </c>
      <c r="AX96" t="s">
        <v>594</v>
      </c>
      <c r="BD96" t="s">
        <v>2666</v>
      </c>
      <c r="BF96" t="s">
        <v>1906</v>
      </c>
      <c r="BG96" t="s">
        <v>2667</v>
      </c>
      <c r="BI96" t="s">
        <v>591</v>
      </c>
      <c r="BL96" t="s">
        <v>2668</v>
      </c>
      <c r="BM96" t="s">
        <v>592</v>
      </c>
      <c r="BN96" t="s">
        <v>592</v>
      </c>
      <c r="BO96" t="s">
        <v>592</v>
      </c>
      <c r="BP96" t="s">
        <v>2669</v>
      </c>
      <c r="BQ96" t="s">
        <v>2663</v>
      </c>
      <c r="BR96">
        <v>1</v>
      </c>
      <c r="BS96">
        <v>4</v>
      </c>
      <c r="BU96" t="s">
        <v>1908</v>
      </c>
      <c r="BV96">
        <v>0</v>
      </c>
      <c r="BW96" t="s">
        <v>1948</v>
      </c>
      <c r="BX96" t="s">
        <v>1910</v>
      </c>
      <c r="BY96" t="s">
        <v>1911</v>
      </c>
      <c r="BZ96" t="s">
        <v>1910</v>
      </c>
      <c r="CB96" t="s">
        <v>2670</v>
      </c>
      <c r="CC96" t="s">
        <v>1996</v>
      </c>
      <c r="CD96" t="s">
        <v>1997</v>
      </c>
      <c r="CE96">
        <v>78.2</v>
      </c>
      <c r="CF96">
        <v>55.5</v>
      </c>
      <c r="CG96">
        <v>79</v>
      </c>
      <c r="CH96">
        <v>1012</v>
      </c>
      <c r="CI96">
        <v>46</v>
      </c>
      <c r="CJ96">
        <v>58.6</v>
      </c>
      <c r="CK96">
        <v>79.099999999999994</v>
      </c>
      <c r="CL96">
        <v>79</v>
      </c>
      <c r="CM96">
        <v>78.2</v>
      </c>
      <c r="CN96">
        <v>31680</v>
      </c>
      <c r="CO96">
        <v>11.9</v>
      </c>
      <c r="CP96">
        <v>177</v>
      </c>
      <c r="CQ96">
        <v>16</v>
      </c>
      <c r="CR96">
        <v>0</v>
      </c>
      <c r="CS96">
        <v>0</v>
      </c>
      <c r="CT96" t="s">
        <v>1915</v>
      </c>
      <c r="CU96">
        <v>129</v>
      </c>
      <c r="CV96">
        <v>112</v>
      </c>
      <c r="CW96">
        <v>1</v>
      </c>
      <c r="CX96">
        <v>0.6</v>
      </c>
      <c r="CY96">
        <v>10.3</v>
      </c>
      <c r="CZ96">
        <v>12.7</v>
      </c>
      <c r="DA96">
        <v>1</v>
      </c>
      <c r="DB96">
        <v>1</v>
      </c>
      <c r="DC96">
        <v>0</v>
      </c>
      <c r="DD96">
        <v>0</v>
      </c>
      <c r="DE96">
        <v>0</v>
      </c>
      <c r="DF96">
        <v>0</v>
      </c>
      <c r="DG96">
        <v>35.07</v>
      </c>
      <c r="DH96">
        <v>20.49</v>
      </c>
      <c r="DI96">
        <v>0</v>
      </c>
      <c r="DJ96" t="s">
        <v>2671</v>
      </c>
      <c r="DK96" t="s">
        <v>2672</v>
      </c>
      <c r="DL96" t="s">
        <v>2554</v>
      </c>
      <c r="DM96">
        <v>1.22</v>
      </c>
      <c r="DN96">
        <v>3133.6</v>
      </c>
      <c r="EL96">
        <v>0</v>
      </c>
      <c r="EM96" t="s">
        <v>593</v>
      </c>
    </row>
    <row r="97" spans="1:143" x14ac:dyDescent="0.35">
      <c r="A97" t="s">
        <v>38</v>
      </c>
      <c r="B97" t="s">
        <v>595</v>
      </c>
      <c r="C97" t="s">
        <v>116</v>
      </c>
      <c r="D97" t="s">
        <v>120</v>
      </c>
      <c r="E97">
        <v>2</v>
      </c>
      <c r="G97" t="s">
        <v>2673</v>
      </c>
      <c r="L97" t="s">
        <v>1896</v>
      </c>
      <c r="M97" t="s">
        <v>2557</v>
      </c>
      <c r="N97" t="s">
        <v>1898</v>
      </c>
      <c r="R97" t="s">
        <v>119</v>
      </c>
      <c r="S97" t="s">
        <v>596</v>
      </c>
      <c r="T97" t="s">
        <v>117</v>
      </c>
      <c r="Z97" t="s">
        <v>2588</v>
      </c>
      <c r="AA97" t="s">
        <v>2589</v>
      </c>
      <c r="AB97">
        <v>1</v>
      </c>
      <c r="AC97">
        <v>4</v>
      </c>
      <c r="AE97">
        <v>2021</v>
      </c>
      <c r="AF97" t="s">
        <v>2674</v>
      </c>
      <c r="AG97" t="s">
        <v>2369</v>
      </c>
      <c r="AH97" t="s">
        <v>1903</v>
      </c>
      <c r="AI97">
        <v>916400</v>
      </c>
      <c r="AJ97">
        <v>0</v>
      </c>
      <c r="AL97">
        <v>0</v>
      </c>
      <c r="AS97" t="b">
        <v>0</v>
      </c>
      <c r="AV97" t="s">
        <v>596</v>
      </c>
      <c r="AX97" t="s">
        <v>599</v>
      </c>
      <c r="BD97" t="s">
        <v>2675</v>
      </c>
      <c r="BF97" t="s">
        <v>1906</v>
      </c>
      <c r="BG97" t="s">
        <v>1907</v>
      </c>
      <c r="BI97" t="s">
        <v>596</v>
      </c>
      <c r="BL97" t="s">
        <v>2676</v>
      </c>
      <c r="BM97" t="s">
        <v>597</v>
      </c>
      <c r="BN97" t="s">
        <v>597</v>
      </c>
      <c r="BO97" t="s">
        <v>597</v>
      </c>
      <c r="BP97" t="s">
        <v>2677</v>
      </c>
      <c r="BQ97" t="s">
        <v>2588</v>
      </c>
      <c r="BR97">
        <v>1</v>
      </c>
      <c r="BS97">
        <v>4</v>
      </c>
      <c r="BU97" t="s">
        <v>1908</v>
      </c>
      <c r="BV97">
        <v>0</v>
      </c>
      <c r="BW97" t="s">
        <v>1909</v>
      </c>
      <c r="BX97" t="s">
        <v>1949</v>
      </c>
      <c r="BY97" t="s">
        <v>1970</v>
      </c>
      <c r="BZ97" t="s">
        <v>1995</v>
      </c>
      <c r="CB97" t="s">
        <v>2678</v>
      </c>
      <c r="CC97" t="s">
        <v>1996</v>
      </c>
      <c r="CD97" t="s">
        <v>1997</v>
      </c>
      <c r="CE97">
        <v>81.5</v>
      </c>
      <c r="CF97">
        <v>39.4</v>
      </c>
      <c r="CG97">
        <v>78.5</v>
      </c>
      <c r="CH97">
        <v>1015</v>
      </c>
      <c r="CI97">
        <v>22</v>
      </c>
      <c r="CJ97">
        <v>59.5</v>
      </c>
      <c r="CK97">
        <v>81.5</v>
      </c>
      <c r="CL97">
        <v>78.5</v>
      </c>
      <c r="CM97">
        <v>81.5</v>
      </c>
      <c r="CN97">
        <v>31680</v>
      </c>
      <c r="CO97">
        <v>7.4</v>
      </c>
      <c r="CP97">
        <v>298</v>
      </c>
      <c r="CQ97">
        <v>10</v>
      </c>
      <c r="CR97">
        <v>0</v>
      </c>
      <c r="CS97">
        <v>0</v>
      </c>
      <c r="CT97" t="s">
        <v>1915</v>
      </c>
      <c r="CU97">
        <v>109</v>
      </c>
      <c r="CV97">
        <v>93</v>
      </c>
      <c r="CW97">
        <v>0.1</v>
      </c>
      <c r="CX97">
        <v>0.3</v>
      </c>
      <c r="CY97">
        <v>2.9</v>
      </c>
      <c r="CZ97">
        <v>3.1</v>
      </c>
      <c r="DA97">
        <v>1</v>
      </c>
      <c r="DB97">
        <v>1</v>
      </c>
      <c r="DC97">
        <v>0</v>
      </c>
      <c r="DD97">
        <v>0</v>
      </c>
      <c r="DE97">
        <v>0</v>
      </c>
      <c r="DF97">
        <v>0</v>
      </c>
      <c r="DG97">
        <v>264.12</v>
      </c>
      <c r="DH97">
        <v>126.96</v>
      </c>
      <c r="DI97">
        <v>0</v>
      </c>
      <c r="DJ97" t="s">
        <v>2605</v>
      </c>
      <c r="DK97" t="s">
        <v>2606</v>
      </c>
      <c r="DL97" t="s">
        <v>2613</v>
      </c>
      <c r="DM97">
        <v>0.49</v>
      </c>
      <c r="DN97">
        <v>8283.7000000000007</v>
      </c>
      <c r="EL97">
        <v>0</v>
      </c>
      <c r="EM97" t="s">
        <v>598</v>
      </c>
    </row>
    <row r="98" spans="1:143" x14ac:dyDescent="0.35">
      <c r="A98" t="s">
        <v>38</v>
      </c>
      <c r="B98" t="s">
        <v>600</v>
      </c>
      <c r="C98" t="s">
        <v>116</v>
      </c>
      <c r="D98" t="s">
        <v>120</v>
      </c>
      <c r="G98" t="s">
        <v>2679</v>
      </c>
      <c r="L98" t="s">
        <v>1896</v>
      </c>
      <c r="M98" t="s">
        <v>2680</v>
      </c>
      <c r="R98" t="s">
        <v>119</v>
      </c>
      <c r="S98" t="s">
        <v>601</v>
      </c>
      <c r="T98" t="s">
        <v>117</v>
      </c>
      <c r="Z98" t="s">
        <v>2681</v>
      </c>
      <c r="AA98" t="s">
        <v>2682</v>
      </c>
      <c r="AB98">
        <v>1</v>
      </c>
      <c r="AC98">
        <v>4</v>
      </c>
      <c r="AE98">
        <v>1971</v>
      </c>
      <c r="AF98" t="s">
        <v>2683</v>
      </c>
      <c r="AG98" t="s">
        <v>2426</v>
      </c>
      <c r="AH98" t="s">
        <v>1903</v>
      </c>
      <c r="AI98">
        <v>22519200</v>
      </c>
      <c r="AJ98">
        <v>0</v>
      </c>
      <c r="AL98">
        <v>0</v>
      </c>
      <c r="AS98" t="b">
        <v>0</v>
      </c>
      <c r="AV98" t="s">
        <v>601</v>
      </c>
      <c r="AX98" t="s">
        <v>604</v>
      </c>
      <c r="BD98" t="s">
        <v>2684</v>
      </c>
      <c r="BF98" t="s">
        <v>1906</v>
      </c>
      <c r="BG98" t="s">
        <v>1907</v>
      </c>
      <c r="BI98" t="s">
        <v>601</v>
      </c>
      <c r="BL98" t="s">
        <v>2685</v>
      </c>
      <c r="BM98" t="s">
        <v>602</v>
      </c>
      <c r="BN98" t="s">
        <v>602</v>
      </c>
      <c r="BO98" t="s">
        <v>602</v>
      </c>
      <c r="BP98" t="s">
        <v>2686</v>
      </c>
      <c r="BQ98" t="s">
        <v>2681</v>
      </c>
      <c r="BR98">
        <v>1</v>
      </c>
      <c r="BS98">
        <v>4</v>
      </c>
      <c r="BU98" t="s">
        <v>1908</v>
      </c>
      <c r="BV98">
        <v>0</v>
      </c>
      <c r="BW98" t="s">
        <v>2128</v>
      </c>
      <c r="BX98" t="s">
        <v>1949</v>
      </c>
      <c r="BY98" t="s">
        <v>1911</v>
      </c>
      <c r="BZ98" t="s">
        <v>1910</v>
      </c>
      <c r="CB98" t="s">
        <v>2687</v>
      </c>
      <c r="CC98" t="s">
        <v>1996</v>
      </c>
      <c r="CD98" t="s">
        <v>1997</v>
      </c>
      <c r="CE98">
        <v>74.7</v>
      </c>
      <c r="CF98">
        <v>41.2</v>
      </c>
      <c r="CG98">
        <v>75.2</v>
      </c>
      <c r="CH98">
        <v>1017</v>
      </c>
      <c r="CI98">
        <v>30</v>
      </c>
      <c r="CJ98">
        <v>59.5</v>
      </c>
      <c r="CK98">
        <v>81.5</v>
      </c>
      <c r="CL98">
        <v>75.2</v>
      </c>
      <c r="CM98">
        <v>74.7</v>
      </c>
      <c r="CN98">
        <v>31680</v>
      </c>
      <c r="CO98">
        <v>6.9</v>
      </c>
      <c r="CP98">
        <v>309</v>
      </c>
      <c r="CQ98">
        <v>21</v>
      </c>
      <c r="CR98">
        <v>0</v>
      </c>
      <c r="CS98">
        <v>0</v>
      </c>
      <c r="CT98" t="s">
        <v>1915</v>
      </c>
      <c r="CU98">
        <v>106</v>
      </c>
      <c r="CV98">
        <v>79</v>
      </c>
      <c r="CW98">
        <v>0.8</v>
      </c>
      <c r="CX98">
        <v>0.3</v>
      </c>
      <c r="CY98">
        <v>2.8</v>
      </c>
      <c r="CZ98">
        <v>3</v>
      </c>
      <c r="DA98">
        <v>1</v>
      </c>
      <c r="DB98">
        <v>1</v>
      </c>
      <c r="DC98">
        <v>0</v>
      </c>
      <c r="DD98">
        <v>0</v>
      </c>
      <c r="DE98">
        <v>0</v>
      </c>
      <c r="DF98">
        <v>0</v>
      </c>
      <c r="DG98">
        <v>144.56</v>
      </c>
      <c r="DH98">
        <v>73.010000000000005</v>
      </c>
      <c r="DI98">
        <v>0</v>
      </c>
      <c r="DJ98" t="s">
        <v>2688</v>
      </c>
      <c r="DK98" t="s">
        <v>2689</v>
      </c>
      <c r="DL98" t="s">
        <v>2690</v>
      </c>
      <c r="DM98">
        <v>2.44</v>
      </c>
      <c r="DN98">
        <v>1782</v>
      </c>
      <c r="EL98">
        <v>0</v>
      </c>
      <c r="EM98" t="s">
        <v>603</v>
      </c>
    </row>
    <row r="99" spans="1:143" x14ac:dyDescent="0.35">
      <c r="A99" t="s">
        <v>38</v>
      </c>
      <c r="B99" t="s">
        <v>605</v>
      </c>
      <c r="C99" t="s">
        <v>116</v>
      </c>
      <c r="D99" t="s">
        <v>120</v>
      </c>
      <c r="E99">
        <v>10</v>
      </c>
      <c r="G99" t="s">
        <v>2691</v>
      </c>
      <c r="L99" t="s">
        <v>1896</v>
      </c>
      <c r="M99" t="s">
        <v>2557</v>
      </c>
      <c r="N99" t="s">
        <v>1898</v>
      </c>
      <c r="R99" t="s">
        <v>119</v>
      </c>
      <c r="S99" t="s">
        <v>606</v>
      </c>
      <c r="T99" t="s">
        <v>117</v>
      </c>
      <c r="Z99" t="s">
        <v>2692</v>
      </c>
      <c r="AA99" t="s">
        <v>2693</v>
      </c>
      <c r="AB99">
        <v>2</v>
      </c>
      <c r="AC99">
        <v>6</v>
      </c>
      <c r="AF99" t="s">
        <v>2674</v>
      </c>
      <c r="AG99" t="s">
        <v>2694</v>
      </c>
      <c r="AH99" t="s">
        <v>1903</v>
      </c>
      <c r="AI99">
        <v>2052500</v>
      </c>
      <c r="AJ99">
        <v>0</v>
      </c>
      <c r="AL99">
        <v>0</v>
      </c>
      <c r="AS99" t="b">
        <v>0</v>
      </c>
      <c r="AV99" t="s">
        <v>606</v>
      </c>
      <c r="AX99" t="s">
        <v>609</v>
      </c>
      <c r="BD99" t="s">
        <v>2695</v>
      </c>
      <c r="BF99" t="s">
        <v>1906</v>
      </c>
      <c r="BG99" t="s">
        <v>1907</v>
      </c>
      <c r="BI99" t="s">
        <v>606</v>
      </c>
      <c r="BL99" t="s">
        <v>2696</v>
      </c>
      <c r="BM99" t="s">
        <v>607</v>
      </c>
      <c r="BN99" t="s">
        <v>607</v>
      </c>
      <c r="BO99" t="s">
        <v>607</v>
      </c>
      <c r="BP99" t="s">
        <v>2697</v>
      </c>
      <c r="BQ99" t="s">
        <v>2692</v>
      </c>
      <c r="BR99">
        <v>2</v>
      </c>
      <c r="BS99">
        <v>6</v>
      </c>
      <c r="BU99" t="s">
        <v>1908</v>
      </c>
      <c r="BV99">
        <v>0</v>
      </c>
      <c r="BW99" t="s">
        <v>1909</v>
      </c>
      <c r="BX99" t="s">
        <v>1949</v>
      </c>
      <c r="BY99" t="s">
        <v>1970</v>
      </c>
      <c r="BZ99" t="s">
        <v>1995</v>
      </c>
      <c r="CB99" t="s">
        <v>2687</v>
      </c>
      <c r="CC99" t="s">
        <v>1996</v>
      </c>
      <c r="CD99" t="s">
        <v>1997</v>
      </c>
      <c r="CE99">
        <v>74.7</v>
      </c>
      <c r="CF99">
        <v>41.2</v>
      </c>
      <c r="CG99">
        <v>75.2</v>
      </c>
      <c r="CH99">
        <v>1017</v>
      </c>
      <c r="CI99">
        <v>30</v>
      </c>
      <c r="CJ99">
        <v>59.5</v>
      </c>
      <c r="CK99">
        <v>81.5</v>
      </c>
      <c r="CL99">
        <v>75.2</v>
      </c>
      <c r="CM99">
        <v>74.7</v>
      </c>
      <c r="CN99">
        <v>31680</v>
      </c>
      <c r="CO99">
        <v>6.9</v>
      </c>
      <c r="CP99">
        <v>309</v>
      </c>
      <c r="CQ99">
        <v>21</v>
      </c>
      <c r="CR99">
        <v>0</v>
      </c>
      <c r="CS99">
        <v>0</v>
      </c>
      <c r="CT99" t="s">
        <v>1915</v>
      </c>
      <c r="CU99">
        <v>106</v>
      </c>
      <c r="CV99">
        <v>79</v>
      </c>
      <c r="CW99">
        <v>0.8</v>
      </c>
      <c r="CX99">
        <v>0.3</v>
      </c>
      <c r="CY99">
        <v>2.8</v>
      </c>
      <c r="CZ99">
        <v>3</v>
      </c>
      <c r="DA99">
        <v>1</v>
      </c>
      <c r="DB99">
        <v>1</v>
      </c>
      <c r="DC99">
        <v>0</v>
      </c>
      <c r="DD99">
        <v>0</v>
      </c>
      <c r="DE99">
        <v>0</v>
      </c>
      <c r="DF99">
        <v>0</v>
      </c>
      <c r="DG99">
        <v>143.66999999999999</v>
      </c>
      <c r="DH99">
        <v>79.569999999999993</v>
      </c>
      <c r="DI99">
        <v>0</v>
      </c>
      <c r="DJ99" t="s">
        <v>2605</v>
      </c>
      <c r="DK99" t="s">
        <v>2606</v>
      </c>
      <c r="DL99" t="s">
        <v>2554</v>
      </c>
      <c r="DM99">
        <v>0.49</v>
      </c>
      <c r="DN99">
        <v>8283.7000000000007</v>
      </c>
      <c r="EL99">
        <v>0</v>
      </c>
      <c r="EM99" t="s">
        <v>608</v>
      </c>
    </row>
    <row r="100" spans="1:143" x14ac:dyDescent="0.35">
      <c r="A100" t="s">
        <v>38</v>
      </c>
      <c r="B100" t="s">
        <v>610</v>
      </c>
      <c r="C100" t="s">
        <v>116</v>
      </c>
      <c r="D100" t="s">
        <v>120</v>
      </c>
      <c r="G100" t="s">
        <v>2698</v>
      </c>
      <c r="L100" t="s">
        <v>1896</v>
      </c>
      <c r="M100" t="s">
        <v>2680</v>
      </c>
      <c r="R100" t="s">
        <v>119</v>
      </c>
      <c r="S100" t="s">
        <v>611</v>
      </c>
      <c r="T100" t="s">
        <v>117</v>
      </c>
      <c r="Z100" t="s">
        <v>2699</v>
      </c>
      <c r="AA100" t="s">
        <v>2700</v>
      </c>
      <c r="AB100">
        <v>2</v>
      </c>
      <c r="AC100">
        <v>8</v>
      </c>
      <c r="AE100">
        <v>1971</v>
      </c>
      <c r="AF100" t="s">
        <v>2683</v>
      </c>
      <c r="AG100" t="s">
        <v>2426</v>
      </c>
      <c r="AH100" t="s">
        <v>1903</v>
      </c>
      <c r="AI100">
        <v>22519200</v>
      </c>
      <c r="AJ100">
        <v>0</v>
      </c>
      <c r="AL100">
        <v>0</v>
      </c>
      <c r="AS100" t="b">
        <v>0</v>
      </c>
      <c r="AV100" t="s">
        <v>611</v>
      </c>
      <c r="AX100" t="s">
        <v>614</v>
      </c>
      <c r="BD100" t="s">
        <v>2701</v>
      </c>
      <c r="BF100" t="s">
        <v>1906</v>
      </c>
      <c r="BG100" t="s">
        <v>2702</v>
      </c>
      <c r="BI100" t="s">
        <v>611</v>
      </c>
      <c r="BL100" t="s">
        <v>2703</v>
      </c>
      <c r="BM100" t="s">
        <v>612</v>
      </c>
      <c r="BN100" t="s">
        <v>612</v>
      </c>
      <c r="BO100" t="s">
        <v>612</v>
      </c>
      <c r="BP100" t="s">
        <v>2704</v>
      </c>
      <c r="BQ100" t="s">
        <v>2699</v>
      </c>
      <c r="BR100">
        <v>2</v>
      </c>
      <c r="BS100">
        <v>8</v>
      </c>
      <c r="BU100" t="s">
        <v>1908</v>
      </c>
      <c r="BV100">
        <v>0</v>
      </c>
      <c r="BW100" t="s">
        <v>1909</v>
      </c>
      <c r="BX100" t="s">
        <v>1949</v>
      </c>
      <c r="BY100" t="s">
        <v>1970</v>
      </c>
      <c r="BZ100" t="s">
        <v>1995</v>
      </c>
      <c r="CB100" t="s">
        <v>2705</v>
      </c>
      <c r="CC100" t="s">
        <v>1996</v>
      </c>
      <c r="CD100" t="s">
        <v>1997</v>
      </c>
      <c r="CE100">
        <v>85</v>
      </c>
      <c r="CF100">
        <v>54.3</v>
      </c>
      <c r="CG100">
        <v>83.9</v>
      </c>
      <c r="CH100">
        <v>1007</v>
      </c>
      <c r="CI100">
        <v>35</v>
      </c>
      <c r="CJ100">
        <v>66</v>
      </c>
      <c r="CK100">
        <v>89.7</v>
      </c>
      <c r="CL100">
        <v>83.9</v>
      </c>
      <c r="CM100">
        <v>85</v>
      </c>
      <c r="CN100">
        <v>31680</v>
      </c>
      <c r="CO100">
        <v>12.5</v>
      </c>
      <c r="CP100">
        <v>298</v>
      </c>
      <c r="CQ100">
        <v>16</v>
      </c>
      <c r="CR100">
        <v>0</v>
      </c>
      <c r="CS100">
        <v>0</v>
      </c>
      <c r="CT100" t="s">
        <v>1915</v>
      </c>
      <c r="CU100">
        <v>129</v>
      </c>
      <c r="CV100">
        <v>113</v>
      </c>
      <c r="CW100">
        <v>1.4</v>
      </c>
      <c r="CX100">
        <v>0.8</v>
      </c>
      <c r="CY100">
        <v>18.399999999999999</v>
      </c>
      <c r="CZ100">
        <v>18.899999999999999</v>
      </c>
      <c r="DA100">
        <v>2</v>
      </c>
      <c r="DB100">
        <v>2</v>
      </c>
      <c r="DC100">
        <v>0</v>
      </c>
      <c r="DD100">
        <v>0</v>
      </c>
      <c r="DE100">
        <v>0</v>
      </c>
      <c r="DF100">
        <v>0</v>
      </c>
      <c r="DG100">
        <v>383.81</v>
      </c>
      <c r="DH100">
        <v>170.55</v>
      </c>
      <c r="DI100">
        <v>0</v>
      </c>
      <c r="DJ100" t="s">
        <v>2688</v>
      </c>
      <c r="DK100" t="s">
        <v>2689</v>
      </c>
      <c r="DL100" t="s">
        <v>2690</v>
      </c>
      <c r="DM100">
        <v>2.44</v>
      </c>
      <c r="DN100">
        <v>1782</v>
      </c>
      <c r="EL100">
        <v>0</v>
      </c>
      <c r="EM100" t="s">
        <v>613</v>
      </c>
    </row>
    <row r="101" spans="1:143" x14ac:dyDescent="0.35">
      <c r="A101" t="s">
        <v>38</v>
      </c>
      <c r="B101" t="s">
        <v>615</v>
      </c>
      <c r="C101" t="s">
        <v>116</v>
      </c>
      <c r="D101" t="s">
        <v>120</v>
      </c>
      <c r="E101">
        <v>1160</v>
      </c>
      <c r="G101" t="s">
        <v>2706</v>
      </c>
      <c r="L101" t="s">
        <v>1896</v>
      </c>
      <c r="M101" t="s">
        <v>2629</v>
      </c>
      <c r="N101" t="s">
        <v>1898</v>
      </c>
      <c r="R101" t="s">
        <v>119</v>
      </c>
      <c r="S101" t="s">
        <v>616</v>
      </c>
      <c r="T101" t="s">
        <v>117</v>
      </c>
      <c r="Z101" t="s">
        <v>2651</v>
      </c>
      <c r="AA101" t="s">
        <v>2652</v>
      </c>
      <c r="AB101">
        <v>1</v>
      </c>
      <c r="AC101">
        <v>4</v>
      </c>
      <c r="AE101">
        <v>1980</v>
      </c>
      <c r="AF101" t="s">
        <v>2707</v>
      </c>
      <c r="AG101" t="s">
        <v>2369</v>
      </c>
      <c r="AH101" t="s">
        <v>1903</v>
      </c>
      <c r="AI101">
        <v>518400</v>
      </c>
      <c r="AJ101">
        <v>0</v>
      </c>
      <c r="AL101">
        <v>0</v>
      </c>
      <c r="AS101" t="b">
        <v>0</v>
      </c>
      <c r="AV101" t="s">
        <v>616</v>
      </c>
      <c r="AX101" t="s">
        <v>619</v>
      </c>
      <c r="BD101" t="s">
        <v>2708</v>
      </c>
      <c r="BF101" t="s">
        <v>1906</v>
      </c>
      <c r="BG101" t="s">
        <v>1907</v>
      </c>
      <c r="BI101" t="s">
        <v>616</v>
      </c>
      <c r="BL101" t="s">
        <v>2709</v>
      </c>
      <c r="BM101" t="s">
        <v>617</v>
      </c>
      <c r="BN101" t="s">
        <v>617</v>
      </c>
      <c r="BO101" t="s">
        <v>617</v>
      </c>
      <c r="BP101" t="s">
        <v>2710</v>
      </c>
      <c r="BQ101" t="s">
        <v>2651</v>
      </c>
      <c r="BR101">
        <v>1</v>
      </c>
      <c r="BS101">
        <v>4</v>
      </c>
      <c r="BU101" t="s">
        <v>1908</v>
      </c>
      <c r="BV101">
        <v>0</v>
      </c>
      <c r="BW101" t="s">
        <v>1934</v>
      </c>
      <c r="BX101" t="s">
        <v>1949</v>
      </c>
      <c r="BY101" t="s">
        <v>1911</v>
      </c>
      <c r="BZ101" t="s">
        <v>1910</v>
      </c>
      <c r="CB101" t="s">
        <v>2711</v>
      </c>
      <c r="CC101" t="s">
        <v>1961</v>
      </c>
      <c r="CD101" t="s">
        <v>1962</v>
      </c>
      <c r="CE101">
        <v>89.7</v>
      </c>
      <c r="CF101">
        <v>51.9</v>
      </c>
      <c r="CG101">
        <v>87.7</v>
      </c>
      <c r="CH101">
        <v>1007</v>
      </c>
      <c r="CI101">
        <v>28</v>
      </c>
      <c r="CJ101">
        <v>66</v>
      </c>
      <c r="CK101">
        <v>89.7</v>
      </c>
      <c r="CL101">
        <v>87.7</v>
      </c>
      <c r="CM101">
        <v>89.7</v>
      </c>
      <c r="CN101">
        <v>31680</v>
      </c>
      <c r="CO101">
        <v>15</v>
      </c>
      <c r="CP101">
        <v>282</v>
      </c>
      <c r="CQ101">
        <v>32</v>
      </c>
      <c r="CR101">
        <v>0</v>
      </c>
      <c r="CS101">
        <v>0</v>
      </c>
      <c r="CT101" t="s">
        <v>1915</v>
      </c>
      <c r="CU101">
        <v>128</v>
      </c>
      <c r="CV101">
        <v>123</v>
      </c>
      <c r="CW101">
        <v>1.1000000000000001</v>
      </c>
      <c r="CX101">
        <v>1.2</v>
      </c>
      <c r="CY101">
        <v>23.8</v>
      </c>
      <c r="CZ101">
        <v>24.3</v>
      </c>
      <c r="DA101">
        <v>2</v>
      </c>
      <c r="DB101">
        <v>2</v>
      </c>
      <c r="DC101">
        <v>0</v>
      </c>
      <c r="DD101">
        <v>0</v>
      </c>
      <c r="DE101">
        <v>0</v>
      </c>
      <c r="DF101">
        <v>0</v>
      </c>
      <c r="DG101">
        <v>319.10000000000002</v>
      </c>
      <c r="DH101">
        <v>152.30000000000001</v>
      </c>
      <c r="DI101">
        <v>0</v>
      </c>
      <c r="DJ101" t="s">
        <v>2658</v>
      </c>
      <c r="DK101" t="s">
        <v>2659</v>
      </c>
      <c r="DL101" t="s">
        <v>1972</v>
      </c>
      <c r="DM101">
        <v>1.17</v>
      </c>
      <c r="DN101">
        <v>6052.1</v>
      </c>
      <c r="EL101">
        <v>0</v>
      </c>
      <c r="EM101" t="s">
        <v>618</v>
      </c>
    </row>
    <row r="102" spans="1:143" x14ac:dyDescent="0.35">
      <c r="A102" t="s">
        <v>38</v>
      </c>
      <c r="B102" t="s">
        <v>620</v>
      </c>
      <c r="C102" t="s">
        <v>116</v>
      </c>
      <c r="D102" t="s">
        <v>120</v>
      </c>
      <c r="G102" t="s">
        <v>2712</v>
      </c>
      <c r="J102" t="s">
        <v>2713</v>
      </c>
      <c r="L102" t="s">
        <v>1896</v>
      </c>
      <c r="M102" t="s">
        <v>2714</v>
      </c>
      <c r="R102" t="s">
        <v>119</v>
      </c>
      <c r="S102" t="s">
        <v>621</v>
      </c>
      <c r="T102" t="s">
        <v>117</v>
      </c>
      <c r="Z102" t="s">
        <v>2715</v>
      </c>
      <c r="AA102" t="s">
        <v>2716</v>
      </c>
      <c r="AB102">
        <v>9</v>
      </c>
      <c r="AC102">
        <v>33</v>
      </c>
      <c r="AE102">
        <v>1965</v>
      </c>
      <c r="AF102" t="s">
        <v>2641</v>
      </c>
      <c r="AG102" t="s">
        <v>2717</v>
      </c>
      <c r="AH102" t="s">
        <v>1903</v>
      </c>
      <c r="AI102">
        <v>4606000</v>
      </c>
      <c r="AJ102">
        <v>0</v>
      </c>
      <c r="AL102">
        <v>0</v>
      </c>
      <c r="AS102" t="b">
        <v>0</v>
      </c>
      <c r="AV102" t="s">
        <v>621</v>
      </c>
      <c r="AX102" t="s">
        <v>624</v>
      </c>
      <c r="BD102" t="s">
        <v>2718</v>
      </c>
      <c r="BF102" t="s">
        <v>1906</v>
      </c>
      <c r="BG102" t="s">
        <v>2719</v>
      </c>
      <c r="BI102" t="s">
        <v>621</v>
      </c>
      <c r="BL102" t="s">
        <v>2720</v>
      </c>
      <c r="BM102" t="s">
        <v>622</v>
      </c>
      <c r="BN102" t="s">
        <v>622</v>
      </c>
      <c r="BO102" t="s">
        <v>622</v>
      </c>
      <c r="BP102" t="s">
        <v>2721</v>
      </c>
      <c r="BQ102" t="s">
        <v>2715</v>
      </c>
      <c r="BR102">
        <v>9</v>
      </c>
      <c r="BS102">
        <v>33</v>
      </c>
      <c r="BU102" t="s">
        <v>1908</v>
      </c>
      <c r="BV102">
        <v>0</v>
      </c>
      <c r="BW102" t="s">
        <v>1934</v>
      </c>
      <c r="BX102" t="s">
        <v>1949</v>
      </c>
      <c r="BY102" t="s">
        <v>2033</v>
      </c>
      <c r="BZ102" t="s">
        <v>2722</v>
      </c>
      <c r="CB102" t="s">
        <v>2723</v>
      </c>
      <c r="CC102" t="s">
        <v>1961</v>
      </c>
      <c r="CD102" t="s">
        <v>1962</v>
      </c>
      <c r="CE102">
        <v>86.7</v>
      </c>
      <c r="CF102">
        <v>51</v>
      </c>
      <c r="CG102">
        <v>84.7</v>
      </c>
      <c r="CH102">
        <v>1009</v>
      </c>
      <c r="CI102">
        <v>29</v>
      </c>
      <c r="CJ102">
        <v>66</v>
      </c>
      <c r="CK102">
        <v>89.7</v>
      </c>
      <c r="CL102">
        <v>84.7</v>
      </c>
      <c r="CM102">
        <v>86.7</v>
      </c>
      <c r="CN102">
        <v>31680</v>
      </c>
      <c r="CO102">
        <v>13.4</v>
      </c>
      <c r="CP102">
        <v>274</v>
      </c>
      <c r="CQ102">
        <v>30</v>
      </c>
      <c r="CR102">
        <v>0</v>
      </c>
      <c r="CS102">
        <v>0</v>
      </c>
      <c r="CT102" t="s">
        <v>1915</v>
      </c>
      <c r="CU102">
        <v>150</v>
      </c>
      <c r="CV102">
        <v>116</v>
      </c>
      <c r="CW102">
        <v>0.9</v>
      </c>
      <c r="CX102">
        <v>0.9</v>
      </c>
      <c r="CY102">
        <v>27.9</v>
      </c>
      <c r="CZ102">
        <v>28.8</v>
      </c>
      <c r="DA102">
        <v>2</v>
      </c>
      <c r="DB102">
        <v>3</v>
      </c>
      <c r="DC102">
        <v>0</v>
      </c>
      <c r="DD102">
        <v>0</v>
      </c>
      <c r="DE102">
        <v>0</v>
      </c>
      <c r="DF102">
        <v>0</v>
      </c>
      <c r="DG102">
        <v>183.29</v>
      </c>
      <c r="DH102">
        <v>102.53</v>
      </c>
      <c r="DI102">
        <v>0</v>
      </c>
      <c r="DJ102" t="s">
        <v>2724</v>
      </c>
      <c r="DK102" t="s">
        <v>2725</v>
      </c>
      <c r="DL102" t="s">
        <v>2726</v>
      </c>
      <c r="DM102">
        <v>1.57</v>
      </c>
      <c r="DN102">
        <v>3914.6</v>
      </c>
      <c r="EL102">
        <v>0</v>
      </c>
      <c r="EM102" t="s">
        <v>623</v>
      </c>
    </row>
    <row r="103" spans="1:143" x14ac:dyDescent="0.35">
      <c r="A103" t="s">
        <v>38</v>
      </c>
      <c r="B103" t="s">
        <v>625</v>
      </c>
      <c r="C103" t="s">
        <v>116</v>
      </c>
      <c r="D103" t="s">
        <v>120</v>
      </c>
      <c r="E103">
        <v>615</v>
      </c>
      <c r="F103" t="s">
        <v>2226</v>
      </c>
      <c r="G103" t="s">
        <v>2727</v>
      </c>
      <c r="L103" t="s">
        <v>1896</v>
      </c>
      <c r="M103" t="s">
        <v>2714</v>
      </c>
      <c r="N103" t="s">
        <v>1898</v>
      </c>
      <c r="R103" t="s">
        <v>119</v>
      </c>
      <c r="S103" t="s">
        <v>626</v>
      </c>
      <c r="T103" t="s">
        <v>117</v>
      </c>
      <c r="Z103" t="s">
        <v>2728</v>
      </c>
      <c r="AA103" t="s">
        <v>2729</v>
      </c>
      <c r="AB103">
        <v>1</v>
      </c>
      <c r="AC103">
        <v>4</v>
      </c>
      <c r="AE103">
        <v>2003</v>
      </c>
      <c r="AF103" t="s">
        <v>2568</v>
      </c>
      <c r="AG103" t="s">
        <v>2730</v>
      </c>
      <c r="AH103" t="s">
        <v>1903</v>
      </c>
      <c r="AI103">
        <v>442900</v>
      </c>
      <c r="AJ103">
        <v>0</v>
      </c>
      <c r="AL103">
        <v>0</v>
      </c>
      <c r="AS103" t="b">
        <v>0</v>
      </c>
      <c r="AV103" t="s">
        <v>626</v>
      </c>
      <c r="AX103" t="s">
        <v>629</v>
      </c>
      <c r="BD103" t="s">
        <v>2731</v>
      </c>
      <c r="BF103" t="s">
        <v>1906</v>
      </c>
      <c r="BG103" t="s">
        <v>1907</v>
      </c>
      <c r="BI103" t="s">
        <v>626</v>
      </c>
      <c r="BL103" t="s">
        <v>2732</v>
      </c>
      <c r="BM103" t="s">
        <v>627</v>
      </c>
      <c r="BN103" t="s">
        <v>627</v>
      </c>
      <c r="BO103" t="s">
        <v>627</v>
      </c>
      <c r="BP103" t="s">
        <v>2733</v>
      </c>
      <c r="BQ103" t="s">
        <v>2728</v>
      </c>
      <c r="BR103">
        <v>1</v>
      </c>
      <c r="BS103">
        <v>4</v>
      </c>
      <c r="BU103" t="s">
        <v>1908</v>
      </c>
      <c r="BV103">
        <v>0</v>
      </c>
      <c r="BW103" t="s">
        <v>1909</v>
      </c>
      <c r="BX103" t="s">
        <v>1949</v>
      </c>
      <c r="BY103" t="s">
        <v>1911</v>
      </c>
      <c r="BZ103" t="s">
        <v>1910</v>
      </c>
      <c r="CB103" t="s">
        <v>2734</v>
      </c>
      <c r="CC103" t="s">
        <v>1996</v>
      </c>
      <c r="CD103" t="s">
        <v>1997</v>
      </c>
      <c r="CE103">
        <v>72.3</v>
      </c>
      <c r="CF103">
        <v>57.8</v>
      </c>
      <c r="CG103">
        <v>76.400000000000006</v>
      </c>
      <c r="CH103">
        <v>1021</v>
      </c>
      <c r="CI103">
        <v>60</v>
      </c>
      <c r="CJ103">
        <v>62.3</v>
      </c>
      <c r="CK103">
        <v>82.6</v>
      </c>
      <c r="CL103">
        <v>76.400000000000006</v>
      </c>
      <c r="CM103">
        <v>72.3</v>
      </c>
      <c r="CN103">
        <v>31680</v>
      </c>
      <c r="CO103">
        <v>8.3000000000000007</v>
      </c>
      <c r="CP103">
        <v>167</v>
      </c>
      <c r="CQ103">
        <v>11</v>
      </c>
      <c r="CR103">
        <v>0</v>
      </c>
      <c r="CS103">
        <v>0</v>
      </c>
      <c r="CT103" t="s">
        <v>1915</v>
      </c>
      <c r="CU103">
        <v>134</v>
      </c>
      <c r="CV103">
        <v>87</v>
      </c>
      <c r="CW103">
        <v>4.5</v>
      </c>
      <c r="CX103">
        <v>0.4</v>
      </c>
      <c r="CY103">
        <v>5.2</v>
      </c>
      <c r="CZ103">
        <v>5.6</v>
      </c>
      <c r="DA103">
        <v>1</v>
      </c>
      <c r="DB103">
        <v>1</v>
      </c>
      <c r="DC103">
        <v>0</v>
      </c>
      <c r="DD103">
        <v>0</v>
      </c>
      <c r="DE103">
        <v>0</v>
      </c>
      <c r="DF103">
        <v>0</v>
      </c>
      <c r="DG103">
        <v>277.33</v>
      </c>
      <c r="DH103">
        <v>126.75</v>
      </c>
      <c r="DI103">
        <v>0</v>
      </c>
      <c r="DJ103" t="s">
        <v>2735</v>
      </c>
      <c r="DK103" t="s">
        <v>2736</v>
      </c>
      <c r="DL103" t="s">
        <v>2080</v>
      </c>
      <c r="DM103">
        <v>0.77</v>
      </c>
      <c r="DN103">
        <v>6783.1</v>
      </c>
      <c r="EL103">
        <v>0</v>
      </c>
      <c r="EM103" t="s">
        <v>628</v>
      </c>
    </row>
    <row r="104" spans="1:143" x14ac:dyDescent="0.35">
      <c r="A104" t="s">
        <v>38</v>
      </c>
      <c r="B104" t="s">
        <v>630</v>
      </c>
      <c r="C104" t="s">
        <v>116</v>
      </c>
      <c r="D104" t="s">
        <v>120</v>
      </c>
      <c r="E104">
        <v>31</v>
      </c>
      <c r="G104" t="s">
        <v>2737</v>
      </c>
      <c r="L104" t="s">
        <v>1896</v>
      </c>
      <c r="M104" t="s">
        <v>2738</v>
      </c>
      <c r="N104" t="s">
        <v>1898</v>
      </c>
      <c r="R104" t="s">
        <v>119</v>
      </c>
      <c r="S104" t="s">
        <v>631</v>
      </c>
      <c r="T104" t="s">
        <v>117</v>
      </c>
      <c r="Z104" t="s">
        <v>2367</v>
      </c>
      <c r="AA104" t="s">
        <v>2579</v>
      </c>
      <c r="AB104">
        <v>1</v>
      </c>
      <c r="AC104">
        <v>4</v>
      </c>
      <c r="AE104">
        <v>1890</v>
      </c>
      <c r="AF104" t="s">
        <v>2739</v>
      </c>
      <c r="AG104" t="s">
        <v>2740</v>
      </c>
      <c r="AH104" t="s">
        <v>1903</v>
      </c>
      <c r="AI104">
        <v>48200</v>
      </c>
      <c r="AJ104">
        <v>0</v>
      </c>
      <c r="AL104">
        <v>0</v>
      </c>
      <c r="AS104" t="b">
        <v>0</v>
      </c>
      <c r="AV104" t="s">
        <v>631</v>
      </c>
      <c r="AX104" t="s">
        <v>634</v>
      </c>
      <c r="BD104" t="s">
        <v>2741</v>
      </c>
      <c r="BF104" t="s">
        <v>1906</v>
      </c>
      <c r="BG104" t="s">
        <v>1907</v>
      </c>
      <c r="BI104" t="s">
        <v>631</v>
      </c>
      <c r="BL104" t="s">
        <v>2742</v>
      </c>
      <c r="BM104" t="s">
        <v>632</v>
      </c>
      <c r="BN104" t="s">
        <v>632</v>
      </c>
      <c r="BO104" t="s">
        <v>632</v>
      </c>
      <c r="BP104" t="s">
        <v>2743</v>
      </c>
      <c r="BQ104" t="s">
        <v>2367</v>
      </c>
      <c r="BR104">
        <v>1</v>
      </c>
      <c r="BS104">
        <v>4</v>
      </c>
      <c r="BU104" t="s">
        <v>1908</v>
      </c>
      <c r="BV104">
        <v>0</v>
      </c>
      <c r="BW104" t="s">
        <v>1934</v>
      </c>
      <c r="BX104" t="s">
        <v>1949</v>
      </c>
      <c r="BY104" t="s">
        <v>1970</v>
      </c>
      <c r="BZ104" t="s">
        <v>1910</v>
      </c>
      <c r="CB104" t="s">
        <v>2744</v>
      </c>
      <c r="CC104" t="s">
        <v>1913</v>
      </c>
      <c r="CD104" t="s">
        <v>1914</v>
      </c>
      <c r="CE104">
        <v>82.7</v>
      </c>
      <c r="CF104">
        <v>56.9</v>
      </c>
      <c r="CG104">
        <v>82.6</v>
      </c>
      <c r="CH104">
        <v>1014</v>
      </c>
      <c r="CI104">
        <v>41</v>
      </c>
      <c r="CJ104">
        <v>65.8</v>
      </c>
      <c r="CK104">
        <v>82.7</v>
      </c>
      <c r="CL104">
        <v>82.6</v>
      </c>
      <c r="CM104">
        <v>82.7</v>
      </c>
      <c r="CN104">
        <v>31680</v>
      </c>
      <c r="CO104">
        <v>4.9000000000000004</v>
      </c>
      <c r="CP104">
        <v>132</v>
      </c>
      <c r="CQ104">
        <v>69</v>
      </c>
      <c r="CR104">
        <v>0</v>
      </c>
      <c r="CS104">
        <v>0</v>
      </c>
      <c r="CT104" t="s">
        <v>1915</v>
      </c>
      <c r="CU104">
        <v>134</v>
      </c>
      <c r="CV104">
        <v>106</v>
      </c>
      <c r="CW104">
        <v>1</v>
      </c>
      <c r="CX104">
        <v>0.5</v>
      </c>
      <c r="CY104">
        <v>9.4</v>
      </c>
      <c r="CZ104">
        <v>10.3</v>
      </c>
      <c r="DA104">
        <v>1</v>
      </c>
      <c r="DB104">
        <v>1</v>
      </c>
      <c r="DC104">
        <v>0</v>
      </c>
      <c r="DD104">
        <v>0</v>
      </c>
      <c r="DE104">
        <v>0</v>
      </c>
      <c r="DF104">
        <v>0</v>
      </c>
      <c r="DG104">
        <v>77.5</v>
      </c>
      <c r="DH104">
        <v>37.130000000000003</v>
      </c>
      <c r="DI104">
        <v>0</v>
      </c>
      <c r="DJ104" t="s">
        <v>2745</v>
      </c>
      <c r="DK104" t="s">
        <v>2746</v>
      </c>
      <c r="DL104" t="s">
        <v>2660</v>
      </c>
      <c r="DM104">
        <v>0.28999999999999998</v>
      </c>
      <c r="DN104">
        <v>15251.7</v>
      </c>
      <c r="EL104">
        <v>0</v>
      </c>
      <c r="EM104" t="s">
        <v>633</v>
      </c>
    </row>
    <row r="105" spans="1:143" x14ac:dyDescent="0.35">
      <c r="A105" t="s">
        <v>38</v>
      </c>
      <c r="B105" t="s">
        <v>635</v>
      </c>
      <c r="C105" t="s">
        <v>116</v>
      </c>
      <c r="D105" t="s">
        <v>120</v>
      </c>
      <c r="E105">
        <v>3</v>
      </c>
      <c r="G105" t="s">
        <v>2747</v>
      </c>
      <c r="L105" t="s">
        <v>1896</v>
      </c>
      <c r="M105" t="s">
        <v>2557</v>
      </c>
      <c r="N105" t="s">
        <v>1898</v>
      </c>
      <c r="R105" t="s">
        <v>119</v>
      </c>
      <c r="S105" t="s">
        <v>636</v>
      </c>
      <c r="T105" t="s">
        <v>117</v>
      </c>
      <c r="Z105" t="s">
        <v>2588</v>
      </c>
      <c r="AA105" t="s">
        <v>2589</v>
      </c>
      <c r="AB105">
        <v>1</v>
      </c>
      <c r="AC105">
        <v>4</v>
      </c>
      <c r="AE105">
        <v>2015</v>
      </c>
      <c r="AF105" t="s">
        <v>2674</v>
      </c>
      <c r="AG105" t="s">
        <v>2748</v>
      </c>
      <c r="AH105" t="s">
        <v>1903</v>
      </c>
      <c r="AI105">
        <v>2821900</v>
      </c>
      <c r="AJ105">
        <v>0</v>
      </c>
      <c r="AL105">
        <v>0</v>
      </c>
      <c r="AS105" t="b">
        <v>0</v>
      </c>
      <c r="AV105" t="s">
        <v>636</v>
      </c>
      <c r="AX105" t="s">
        <v>639</v>
      </c>
      <c r="BD105" t="s">
        <v>2749</v>
      </c>
      <c r="BF105" t="s">
        <v>1906</v>
      </c>
      <c r="BG105" t="s">
        <v>1907</v>
      </c>
      <c r="BI105" t="s">
        <v>636</v>
      </c>
      <c r="BL105" t="s">
        <v>2750</v>
      </c>
      <c r="BM105" t="s">
        <v>637</v>
      </c>
      <c r="BN105" t="s">
        <v>637</v>
      </c>
      <c r="BO105" t="s">
        <v>637</v>
      </c>
      <c r="BP105" t="s">
        <v>2751</v>
      </c>
      <c r="BQ105" t="s">
        <v>2588</v>
      </c>
      <c r="BR105">
        <v>1</v>
      </c>
      <c r="BS105">
        <v>4</v>
      </c>
      <c r="BU105" t="s">
        <v>1908</v>
      </c>
      <c r="BV105">
        <v>0</v>
      </c>
      <c r="BW105" t="s">
        <v>2128</v>
      </c>
      <c r="BX105" t="s">
        <v>1949</v>
      </c>
      <c r="BY105" t="s">
        <v>1911</v>
      </c>
      <c r="BZ105" t="s">
        <v>1910</v>
      </c>
      <c r="CB105" t="s">
        <v>2752</v>
      </c>
      <c r="CC105" t="s">
        <v>1996</v>
      </c>
      <c r="CD105" t="s">
        <v>1997</v>
      </c>
      <c r="CE105">
        <v>91.3</v>
      </c>
      <c r="CF105">
        <v>58.3</v>
      </c>
      <c r="CG105">
        <v>91.4</v>
      </c>
      <c r="CH105">
        <v>1010</v>
      </c>
      <c r="CI105">
        <v>33</v>
      </c>
      <c r="CJ105">
        <v>71.099999999999994</v>
      </c>
      <c r="CK105">
        <v>91.3</v>
      </c>
      <c r="CL105">
        <v>91.4</v>
      </c>
      <c r="CM105">
        <v>91.3</v>
      </c>
      <c r="CN105">
        <v>31680</v>
      </c>
      <c r="CO105">
        <v>11.6</v>
      </c>
      <c r="CP105">
        <v>294</v>
      </c>
      <c r="CQ105">
        <v>23</v>
      </c>
      <c r="CR105">
        <v>0</v>
      </c>
      <c r="CS105">
        <v>0</v>
      </c>
      <c r="CT105" t="s">
        <v>1915</v>
      </c>
      <c r="CU105">
        <v>120</v>
      </c>
      <c r="CV105">
        <v>105</v>
      </c>
      <c r="CW105">
        <v>0.9</v>
      </c>
      <c r="CX105">
        <v>0.6</v>
      </c>
      <c r="CY105">
        <v>6.3</v>
      </c>
      <c r="CZ105">
        <v>7.3</v>
      </c>
      <c r="DA105">
        <v>1</v>
      </c>
      <c r="DB105">
        <v>1</v>
      </c>
      <c r="DC105">
        <v>0</v>
      </c>
      <c r="DD105">
        <v>0</v>
      </c>
      <c r="DE105">
        <v>0</v>
      </c>
      <c r="DF105">
        <v>0</v>
      </c>
      <c r="DG105">
        <v>249.48</v>
      </c>
      <c r="DH105">
        <v>113.47</v>
      </c>
      <c r="DI105">
        <v>0</v>
      </c>
      <c r="DJ105" t="s">
        <v>2605</v>
      </c>
      <c r="DK105" t="s">
        <v>2606</v>
      </c>
      <c r="DL105" t="s">
        <v>2613</v>
      </c>
      <c r="DM105">
        <v>0.49</v>
      </c>
      <c r="DN105">
        <v>8283.7000000000007</v>
      </c>
      <c r="EL105">
        <v>0</v>
      </c>
      <c r="EM105" t="s">
        <v>638</v>
      </c>
    </row>
    <row r="106" spans="1:143" x14ac:dyDescent="0.35">
      <c r="A106" t="s">
        <v>38</v>
      </c>
      <c r="B106" t="s">
        <v>640</v>
      </c>
      <c r="C106" t="s">
        <v>116</v>
      </c>
      <c r="D106" t="s">
        <v>120</v>
      </c>
      <c r="E106">
        <v>123</v>
      </c>
      <c r="G106" t="s">
        <v>2753</v>
      </c>
      <c r="L106" t="s">
        <v>1896</v>
      </c>
      <c r="M106" t="s">
        <v>2557</v>
      </c>
      <c r="N106" t="s">
        <v>1898</v>
      </c>
      <c r="R106" t="s">
        <v>119</v>
      </c>
      <c r="S106" t="s">
        <v>641</v>
      </c>
      <c r="T106" t="s">
        <v>117</v>
      </c>
      <c r="Z106" t="s">
        <v>2588</v>
      </c>
      <c r="AA106" t="s">
        <v>2589</v>
      </c>
      <c r="AB106">
        <v>1</v>
      </c>
      <c r="AC106">
        <v>4</v>
      </c>
      <c r="AF106" t="s">
        <v>2674</v>
      </c>
      <c r="AG106" t="s">
        <v>2754</v>
      </c>
      <c r="AH106" t="s">
        <v>1903</v>
      </c>
      <c r="AI106">
        <v>1210100</v>
      </c>
      <c r="AJ106">
        <v>0</v>
      </c>
      <c r="AL106">
        <v>0</v>
      </c>
      <c r="AS106" t="b">
        <v>0</v>
      </c>
      <c r="AV106" t="s">
        <v>641</v>
      </c>
      <c r="AX106" t="s">
        <v>644</v>
      </c>
      <c r="BD106" t="s">
        <v>2755</v>
      </c>
      <c r="BF106" t="s">
        <v>1906</v>
      </c>
      <c r="BG106" t="s">
        <v>1907</v>
      </c>
      <c r="BI106" t="s">
        <v>641</v>
      </c>
      <c r="BL106" t="s">
        <v>2756</v>
      </c>
      <c r="BM106" t="s">
        <v>642</v>
      </c>
      <c r="BN106" t="s">
        <v>642</v>
      </c>
      <c r="BO106" t="s">
        <v>642</v>
      </c>
      <c r="BP106" t="s">
        <v>2757</v>
      </c>
      <c r="BQ106" t="s">
        <v>2588</v>
      </c>
      <c r="BR106">
        <v>1</v>
      </c>
      <c r="BS106">
        <v>4</v>
      </c>
      <c r="BU106" t="s">
        <v>1908</v>
      </c>
      <c r="BV106">
        <v>0</v>
      </c>
      <c r="BW106" t="s">
        <v>2128</v>
      </c>
      <c r="BX106" t="s">
        <v>1949</v>
      </c>
      <c r="BY106" t="s">
        <v>1911</v>
      </c>
      <c r="BZ106" t="s">
        <v>1910</v>
      </c>
      <c r="CB106" t="s">
        <v>2758</v>
      </c>
      <c r="CC106" t="s">
        <v>1961</v>
      </c>
      <c r="CD106" t="s">
        <v>1962</v>
      </c>
      <c r="CE106">
        <v>90.6</v>
      </c>
      <c r="CF106">
        <v>58.4</v>
      </c>
      <c r="CG106">
        <v>90.6</v>
      </c>
      <c r="CH106">
        <v>1010</v>
      </c>
      <c r="CI106">
        <v>34</v>
      </c>
      <c r="CJ106">
        <v>71.099999999999994</v>
      </c>
      <c r="CK106">
        <v>91.3</v>
      </c>
      <c r="CL106">
        <v>90.6</v>
      </c>
      <c r="CM106">
        <v>90.6</v>
      </c>
      <c r="CN106">
        <v>31680</v>
      </c>
      <c r="CO106">
        <v>12.1</v>
      </c>
      <c r="CP106">
        <v>290</v>
      </c>
      <c r="CQ106">
        <v>28</v>
      </c>
      <c r="CR106">
        <v>0</v>
      </c>
      <c r="CS106">
        <v>0</v>
      </c>
      <c r="CT106" t="s">
        <v>1915</v>
      </c>
      <c r="CU106">
        <v>121</v>
      </c>
      <c r="CV106">
        <v>108</v>
      </c>
      <c r="CW106">
        <v>0.6</v>
      </c>
      <c r="CX106">
        <v>0.6</v>
      </c>
      <c r="CY106">
        <v>6.1</v>
      </c>
      <c r="CZ106">
        <v>7</v>
      </c>
      <c r="DA106">
        <v>1</v>
      </c>
      <c r="DB106">
        <v>1</v>
      </c>
      <c r="DC106">
        <v>0</v>
      </c>
      <c r="DD106">
        <v>0</v>
      </c>
      <c r="DE106">
        <v>0</v>
      </c>
      <c r="DF106">
        <v>0</v>
      </c>
      <c r="DG106">
        <v>222.93</v>
      </c>
      <c r="DH106">
        <v>97.85</v>
      </c>
      <c r="DI106">
        <v>0</v>
      </c>
      <c r="DJ106" t="s">
        <v>2605</v>
      </c>
      <c r="DK106" t="s">
        <v>2606</v>
      </c>
      <c r="DL106" t="s">
        <v>2759</v>
      </c>
      <c r="DM106">
        <v>0.49</v>
      </c>
      <c r="DN106">
        <v>8283.7000000000007</v>
      </c>
      <c r="EL106">
        <v>0</v>
      </c>
      <c r="EM106" t="s">
        <v>643</v>
      </c>
    </row>
    <row r="107" spans="1:143" x14ac:dyDescent="0.35">
      <c r="A107" t="s">
        <v>38</v>
      </c>
      <c r="B107" t="s">
        <v>645</v>
      </c>
      <c r="C107" t="s">
        <v>116</v>
      </c>
      <c r="D107" t="s">
        <v>120</v>
      </c>
      <c r="E107">
        <v>7</v>
      </c>
      <c r="G107" t="s">
        <v>2760</v>
      </c>
      <c r="L107" t="s">
        <v>1896</v>
      </c>
      <c r="M107" t="s">
        <v>2761</v>
      </c>
      <c r="N107" t="s">
        <v>1898</v>
      </c>
      <c r="R107" t="s">
        <v>119</v>
      </c>
      <c r="S107" t="s">
        <v>646</v>
      </c>
      <c r="T107" t="s">
        <v>117</v>
      </c>
      <c r="Z107" t="s">
        <v>2762</v>
      </c>
      <c r="AA107" t="s">
        <v>2763</v>
      </c>
      <c r="AB107">
        <v>1</v>
      </c>
      <c r="AC107">
        <v>4</v>
      </c>
      <c r="AE107">
        <v>2010</v>
      </c>
      <c r="AF107" t="s">
        <v>2764</v>
      </c>
      <c r="AG107" t="s">
        <v>2426</v>
      </c>
      <c r="AH107" t="s">
        <v>1903</v>
      </c>
      <c r="AI107">
        <v>2661000</v>
      </c>
      <c r="AJ107">
        <v>0</v>
      </c>
      <c r="AL107">
        <v>0</v>
      </c>
      <c r="AS107" t="b">
        <v>0</v>
      </c>
      <c r="AV107" t="s">
        <v>646</v>
      </c>
      <c r="AX107" t="s">
        <v>649</v>
      </c>
      <c r="BD107" t="s">
        <v>2765</v>
      </c>
      <c r="BF107" t="s">
        <v>1906</v>
      </c>
      <c r="BG107" t="s">
        <v>2074</v>
      </c>
      <c r="BI107" t="s">
        <v>646</v>
      </c>
      <c r="BL107" t="s">
        <v>2766</v>
      </c>
      <c r="BM107" t="s">
        <v>647</v>
      </c>
      <c r="BN107" t="s">
        <v>647</v>
      </c>
      <c r="BO107" t="s">
        <v>647</v>
      </c>
      <c r="BP107" t="s">
        <v>2767</v>
      </c>
      <c r="BQ107" t="s">
        <v>2762</v>
      </c>
      <c r="BR107">
        <v>1</v>
      </c>
      <c r="BS107">
        <v>4</v>
      </c>
      <c r="BU107" t="s">
        <v>1908</v>
      </c>
      <c r="BV107">
        <v>0</v>
      </c>
      <c r="BW107" t="s">
        <v>1909</v>
      </c>
      <c r="BX107" t="s">
        <v>1949</v>
      </c>
      <c r="BY107" t="s">
        <v>1911</v>
      </c>
      <c r="BZ107" t="s">
        <v>1995</v>
      </c>
      <c r="CB107" t="s">
        <v>2768</v>
      </c>
      <c r="CC107" t="s">
        <v>1913</v>
      </c>
      <c r="CD107" t="s">
        <v>1914</v>
      </c>
      <c r="CE107">
        <v>88.2</v>
      </c>
      <c r="CF107">
        <v>69.5</v>
      </c>
      <c r="CG107">
        <v>93.6</v>
      </c>
      <c r="CH107">
        <v>1010</v>
      </c>
      <c r="CI107">
        <v>54</v>
      </c>
      <c r="CJ107">
        <v>73.599999999999994</v>
      </c>
      <c r="CK107">
        <v>90</v>
      </c>
      <c r="CL107">
        <v>93.6</v>
      </c>
      <c r="CM107">
        <v>88.2</v>
      </c>
      <c r="CN107">
        <v>31680</v>
      </c>
      <c r="CO107">
        <v>11.9</v>
      </c>
      <c r="CP107">
        <v>294</v>
      </c>
      <c r="CQ107">
        <v>81</v>
      </c>
      <c r="CR107">
        <v>0.01</v>
      </c>
      <c r="CS107">
        <v>0</v>
      </c>
      <c r="CT107" t="s">
        <v>1915</v>
      </c>
      <c r="CU107">
        <v>123</v>
      </c>
      <c r="CV107">
        <v>112</v>
      </c>
      <c r="CW107">
        <v>0.6</v>
      </c>
      <c r="CX107">
        <v>0.5</v>
      </c>
      <c r="CY107">
        <v>3.6</v>
      </c>
      <c r="CZ107">
        <v>4</v>
      </c>
      <c r="DA107">
        <v>1</v>
      </c>
      <c r="DB107">
        <v>1</v>
      </c>
      <c r="DC107">
        <v>0</v>
      </c>
      <c r="DD107">
        <v>0</v>
      </c>
      <c r="DE107">
        <v>0</v>
      </c>
      <c r="DF107">
        <v>0</v>
      </c>
      <c r="DG107">
        <v>126.51</v>
      </c>
      <c r="DH107">
        <v>61.37</v>
      </c>
      <c r="DI107">
        <v>0</v>
      </c>
      <c r="DJ107" t="s">
        <v>2769</v>
      </c>
      <c r="DK107" t="s">
        <v>2770</v>
      </c>
      <c r="DL107" t="s">
        <v>2607</v>
      </c>
      <c r="DM107">
        <v>1.93</v>
      </c>
      <c r="DN107">
        <v>3857</v>
      </c>
      <c r="EL107">
        <v>0</v>
      </c>
      <c r="EM107" t="s">
        <v>648</v>
      </c>
    </row>
    <row r="108" spans="1:143" x14ac:dyDescent="0.35">
      <c r="A108" t="s">
        <v>38</v>
      </c>
      <c r="B108" t="s">
        <v>650</v>
      </c>
      <c r="C108" t="s">
        <v>116</v>
      </c>
      <c r="D108" t="s">
        <v>120</v>
      </c>
      <c r="E108">
        <v>1</v>
      </c>
      <c r="G108" t="s">
        <v>2771</v>
      </c>
      <c r="L108" t="s">
        <v>1896</v>
      </c>
      <c r="M108" t="s">
        <v>2772</v>
      </c>
      <c r="N108" t="s">
        <v>1898</v>
      </c>
      <c r="R108" t="s">
        <v>119</v>
      </c>
      <c r="S108" t="s">
        <v>651</v>
      </c>
      <c r="T108" t="s">
        <v>117</v>
      </c>
      <c r="Z108" t="s">
        <v>2728</v>
      </c>
      <c r="AA108" t="s">
        <v>2729</v>
      </c>
      <c r="AB108">
        <v>1</v>
      </c>
      <c r="AC108">
        <v>4</v>
      </c>
      <c r="AE108">
        <v>1890</v>
      </c>
      <c r="AF108" t="s">
        <v>2683</v>
      </c>
      <c r="AG108" t="s">
        <v>2773</v>
      </c>
      <c r="AH108" t="s">
        <v>1903</v>
      </c>
      <c r="AI108">
        <v>103700</v>
      </c>
      <c r="AJ108">
        <v>0</v>
      </c>
      <c r="AL108">
        <v>0</v>
      </c>
      <c r="AS108" t="b">
        <v>0</v>
      </c>
      <c r="AV108" t="s">
        <v>651</v>
      </c>
      <c r="AX108" t="s">
        <v>654</v>
      </c>
      <c r="BD108" t="s">
        <v>2774</v>
      </c>
      <c r="BF108" t="s">
        <v>1906</v>
      </c>
      <c r="BG108" t="s">
        <v>1907</v>
      </c>
      <c r="BI108" t="s">
        <v>651</v>
      </c>
      <c r="BL108" t="s">
        <v>2775</v>
      </c>
      <c r="BM108" t="s">
        <v>652</v>
      </c>
      <c r="BN108" t="s">
        <v>652</v>
      </c>
      <c r="BO108" t="s">
        <v>652</v>
      </c>
      <c r="BP108" t="s">
        <v>2776</v>
      </c>
      <c r="BQ108" t="s">
        <v>2728</v>
      </c>
      <c r="BR108">
        <v>1</v>
      </c>
      <c r="BS108">
        <v>4</v>
      </c>
      <c r="BU108" t="s">
        <v>1908</v>
      </c>
      <c r="BV108">
        <v>0</v>
      </c>
      <c r="BW108" t="s">
        <v>1909</v>
      </c>
      <c r="BX108" t="s">
        <v>1949</v>
      </c>
      <c r="BY108" t="s">
        <v>1911</v>
      </c>
      <c r="BZ108" t="s">
        <v>1910</v>
      </c>
      <c r="CB108" t="s">
        <v>2777</v>
      </c>
      <c r="CC108" t="s">
        <v>1961</v>
      </c>
      <c r="CD108" t="s">
        <v>1962</v>
      </c>
      <c r="CE108">
        <v>86.7</v>
      </c>
      <c r="CF108">
        <v>61.9</v>
      </c>
      <c r="CG108">
        <v>88</v>
      </c>
      <c r="CH108">
        <v>1011</v>
      </c>
      <c r="CI108">
        <v>44</v>
      </c>
      <c r="CJ108">
        <v>71.099999999999994</v>
      </c>
      <c r="CK108">
        <v>91.3</v>
      </c>
      <c r="CL108">
        <v>88</v>
      </c>
      <c r="CM108">
        <v>86.7</v>
      </c>
      <c r="CN108">
        <v>31680</v>
      </c>
      <c r="CO108">
        <v>12.3</v>
      </c>
      <c r="CP108">
        <v>295</v>
      </c>
      <c r="CQ108">
        <v>32</v>
      </c>
      <c r="CR108">
        <v>0</v>
      </c>
      <c r="CS108">
        <v>0</v>
      </c>
      <c r="CT108" t="s">
        <v>1915</v>
      </c>
      <c r="CU108">
        <v>125</v>
      </c>
      <c r="CV108">
        <v>106</v>
      </c>
      <c r="CW108">
        <v>0.8</v>
      </c>
      <c r="CX108">
        <v>0.7</v>
      </c>
      <c r="CY108">
        <v>6.6</v>
      </c>
      <c r="CZ108">
        <v>7.4</v>
      </c>
      <c r="DA108">
        <v>1</v>
      </c>
      <c r="DB108">
        <v>1</v>
      </c>
      <c r="DC108">
        <v>0</v>
      </c>
      <c r="DD108">
        <v>0</v>
      </c>
      <c r="DE108">
        <v>0</v>
      </c>
      <c r="DF108">
        <v>0</v>
      </c>
      <c r="DG108">
        <v>134.03</v>
      </c>
      <c r="DH108">
        <v>57.75</v>
      </c>
      <c r="DI108">
        <v>0</v>
      </c>
      <c r="DJ108" t="s">
        <v>2735</v>
      </c>
      <c r="DK108" t="s">
        <v>2736</v>
      </c>
      <c r="DL108" t="s">
        <v>2607</v>
      </c>
      <c r="DM108">
        <v>0.77</v>
      </c>
      <c r="DN108">
        <v>6783.1</v>
      </c>
      <c r="EL108">
        <v>0</v>
      </c>
      <c r="EM108" t="s">
        <v>653</v>
      </c>
    </row>
    <row r="109" spans="1:143" x14ac:dyDescent="0.35">
      <c r="A109" t="s">
        <v>38</v>
      </c>
      <c r="B109" t="s">
        <v>655</v>
      </c>
      <c r="C109" t="s">
        <v>116</v>
      </c>
      <c r="D109" t="s">
        <v>120</v>
      </c>
      <c r="G109" t="s">
        <v>2778</v>
      </c>
      <c r="L109" t="s">
        <v>1896</v>
      </c>
      <c r="M109" t="s">
        <v>2629</v>
      </c>
      <c r="R109" t="s">
        <v>119</v>
      </c>
      <c r="S109" t="s">
        <v>656</v>
      </c>
      <c r="T109" t="s">
        <v>117</v>
      </c>
      <c r="Z109" t="s">
        <v>2779</v>
      </c>
      <c r="AA109" t="s">
        <v>2780</v>
      </c>
      <c r="AB109">
        <v>2</v>
      </c>
      <c r="AC109">
        <v>5</v>
      </c>
      <c r="AJ109">
        <v>0</v>
      </c>
      <c r="AL109">
        <v>0</v>
      </c>
      <c r="AS109" t="b">
        <v>0</v>
      </c>
      <c r="AV109" t="s">
        <v>656</v>
      </c>
      <c r="AX109" t="s">
        <v>659</v>
      </c>
      <c r="BD109" t="s">
        <v>2781</v>
      </c>
      <c r="BF109" t="s">
        <v>1906</v>
      </c>
      <c r="BG109" t="s">
        <v>1907</v>
      </c>
      <c r="BI109" t="s">
        <v>656</v>
      </c>
      <c r="BL109" t="s">
        <v>2782</v>
      </c>
      <c r="BM109" t="s">
        <v>657</v>
      </c>
      <c r="BN109" t="s">
        <v>657</v>
      </c>
      <c r="BO109" t="s">
        <v>657</v>
      </c>
      <c r="BP109" t="s">
        <v>2783</v>
      </c>
      <c r="BQ109" t="s">
        <v>2779</v>
      </c>
      <c r="BR109">
        <v>2</v>
      </c>
      <c r="BS109">
        <v>5</v>
      </c>
      <c r="BU109" t="s">
        <v>1908</v>
      </c>
      <c r="BV109">
        <v>0</v>
      </c>
      <c r="BW109" t="s">
        <v>1934</v>
      </c>
      <c r="BX109" t="s">
        <v>1949</v>
      </c>
      <c r="BY109" t="s">
        <v>2033</v>
      </c>
      <c r="BZ109" t="s">
        <v>2722</v>
      </c>
      <c r="CB109" t="s">
        <v>2784</v>
      </c>
      <c r="CC109" t="s">
        <v>1996</v>
      </c>
      <c r="CD109" t="s">
        <v>1997</v>
      </c>
      <c r="CE109">
        <v>95.4</v>
      </c>
      <c r="CF109">
        <v>60.9</v>
      </c>
      <c r="CG109">
        <v>97.1</v>
      </c>
      <c r="CH109">
        <v>1011</v>
      </c>
      <c r="CI109">
        <v>32</v>
      </c>
      <c r="CJ109">
        <v>76.3</v>
      </c>
      <c r="CK109">
        <v>96.1</v>
      </c>
      <c r="CL109">
        <v>97.1</v>
      </c>
      <c r="CM109">
        <v>95.4</v>
      </c>
      <c r="CN109">
        <v>31680</v>
      </c>
      <c r="CO109">
        <v>11.4</v>
      </c>
      <c r="CP109">
        <v>297</v>
      </c>
      <c r="CQ109">
        <v>12</v>
      </c>
      <c r="CR109">
        <v>0</v>
      </c>
      <c r="CS109">
        <v>0</v>
      </c>
      <c r="CT109" t="s">
        <v>1915</v>
      </c>
      <c r="CU109">
        <v>118</v>
      </c>
      <c r="CV109">
        <v>125</v>
      </c>
      <c r="CW109">
        <v>0.9</v>
      </c>
      <c r="CX109">
        <v>1</v>
      </c>
      <c r="CY109">
        <v>7.2</v>
      </c>
      <c r="CZ109">
        <v>8.1</v>
      </c>
      <c r="DA109">
        <v>1</v>
      </c>
      <c r="DB109">
        <v>1</v>
      </c>
      <c r="DC109">
        <v>0</v>
      </c>
      <c r="DD109">
        <v>0</v>
      </c>
      <c r="DE109">
        <v>0</v>
      </c>
      <c r="DF109">
        <v>0</v>
      </c>
      <c r="DG109">
        <v>256.45</v>
      </c>
      <c r="DH109">
        <v>108.84</v>
      </c>
      <c r="DI109">
        <v>0</v>
      </c>
      <c r="DJ109" t="s">
        <v>2785</v>
      </c>
      <c r="DK109" t="s">
        <v>2786</v>
      </c>
      <c r="DL109" t="s">
        <v>2787</v>
      </c>
      <c r="DM109">
        <v>0.65</v>
      </c>
      <c r="DN109">
        <v>6573.8</v>
      </c>
      <c r="EL109">
        <v>0</v>
      </c>
      <c r="EM109" t="s">
        <v>658</v>
      </c>
    </row>
    <row r="110" spans="1:143" x14ac:dyDescent="0.35">
      <c r="A110" t="s">
        <v>38</v>
      </c>
      <c r="B110" t="s">
        <v>660</v>
      </c>
      <c r="C110" t="s">
        <v>116</v>
      </c>
      <c r="D110" t="s">
        <v>120</v>
      </c>
      <c r="E110">
        <v>418</v>
      </c>
      <c r="G110" t="s">
        <v>2577</v>
      </c>
      <c r="L110" t="s">
        <v>1896</v>
      </c>
      <c r="M110" t="s">
        <v>2578</v>
      </c>
      <c r="N110" t="s">
        <v>1898</v>
      </c>
      <c r="R110" t="s">
        <v>119</v>
      </c>
      <c r="S110" t="s">
        <v>661</v>
      </c>
      <c r="T110" t="s">
        <v>117</v>
      </c>
      <c r="Z110" t="s">
        <v>2367</v>
      </c>
      <c r="AA110" t="s">
        <v>2579</v>
      </c>
      <c r="AB110">
        <v>1</v>
      </c>
      <c r="AC110">
        <v>4</v>
      </c>
      <c r="AE110">
        <v>1960</v>
      </c>
      <c r="AF110" t="s">
        <v>2580</v>
      </c>
      <c r="AG110" t="s">
        <v>2369</v>
      </c>
      <c r="AH110" t="s">
        <v>1903</v>
      </c>
      <c r="AI110">
        <v>672900</v>
      </c>
      <c r="AJ110">
        <v>0</v>
      </c>
      <c r="AL110">
        <v>0</v>
      </c>
      <c r="AS110" t="b">
        <v>0</v>
      </c>
      <c r="AV110" t="s">
        <v>661</v>
      </c>
      <c r="AX110" t="s">
        <v>664</v>
      </c>
      <c r="BD110" t="s">
        <v>2788</v>
      </c>
      <c r="BF110" t="s">
        <v>1906</v>
      </c>
      <c r="BG110" t="s">
        <v>1907</v>
      </c>
      <c r="BI110" t="s">
        <v>661</v>
      </c>
      <c r="BL110" t="s">
        <v>2789</v>
      </c>
      <c r="BM110" t="s">
        <v>662</v>
      </c>
      <c r="BN110" t="s">
        <v>662</v>
      </c>
      <c r="BO110" t="s">
        <v>662</v>
      </c>
      <c r="BP110" t="s">
        <v>2790</v>
      </c>
      <c r="BQ110" t="s">
        <v>2367</v>
      </c>
      <c r="BR110">
        <v>1</v>
      </c>
      <c r="BS110">
        <v>4</v>
      </c>
      <c r="BU110" t="s">
        <v>1908</v>
      </c>
      <c r="BV110">
        <v>0</v>
      </c>
      <c r="BW110" t="s">
        <v>1934</v>
      </c>
      <c r="BX110" t="s">
        <v>2530</v>
      </c>
      <c r="BY110" t="s">
        <v>1911</v>
      </c>
      <c r="BZ110" t="s">
        <v>1910</v>
      </c>
      <c r="CB110" t="s">
        <v>2791</v>
      </c>
      <c r="CC110" t="s">
        <v>1996</v>
      </c>
      <c r="CD110" t="s">
        <v>1997</v>
      </c>
      <c r="CE110">
        <v>76.8</v>
      </c>
      <c r="CF110">
        <v>67.2</v>
      </c>
      <c r="CG110">
        <v>79.900000000000006</v>
      </c>
      <c r="CH110">
        <v>1013</v>
      </c>
      <c r="CI110">
        <v>72</v>
      </c>
      <c r="CJ110">
        <v>76.3</v>
      </c>
      <c r="CK110">
        <v>96.1</v>
      </c>
      <c r="CL110">
        <v>79.900000000000006</v>
      </c>
      <c r="CM110">
        <v>76.8</v>
      </c>
      <c r="CN110">
        <v>31680</v>
      </c>
      <c r="CO110">
        <v>6.3</v>
      </c>
      <c r="CP110">
        <v>276</v>
      </c>
      <c r="CQ110">
        <v>0</v>
      </c>
      <c r="CR110">
        <v>0</v>
      </c>
      <c r="CS110">
        <v>0</v>
      </c>
      <c r="CT110" t="s">
        <v>1915</v>
      </c>
      <c r="CU110">
        <v>134</v>
      </c>
      <c r="CV110">
        <v>111</v>
      </c>
      <c r="CW110">
        <v>3.1</v>
      </c>
      <c r="CX110">
        <v>1.5</v>
      </c>
      <c r="CY110">
        <v>8.6999999999999993</v>
      </c>
      <c r="CZ110">
        <v>9.6</v>
      </c>
      <c r="DA110">
        <v>1</v>
      </c>
      <c r="DB110">
        <v>1</v>
      </c>
      <c r="DC110">
        <v>0</v>
      </c>
      <c r="DD110">
        <v>0</v>
      </c>
      <c r="DE110">
        <v>0</v>
      </c>
      <c r="DF110">
        <v>0</v>
      </c>
      <c r="DG110">
        <v>65.150000000000006</v>
      </c>
      <c r="DH110">
        <v>29.13</v>
      </c>
      <c r="DI110">
        <v>0</v>
      </c>
      <c r="DJ110" t="s">
        <v>2585</v>
      </c>
      <c r="DK110" t="s">
        <v>2586</v>
      </c>
      <c r="DL110" t="s">
        <v>1996</v>
      </c>
      <c r="DM110">
        <v>0.54</v>
      </c>
      <c r="DN110">
        <v>8383.2999999999993</v>
      </c>
      <c r="EL110">
        <v>0</v>
      </c>
      <c r="EM110" t="s">
        <v>663</v>
      </c>
    </row>
    <row r="111" spans="1:143" x14ac:dyDescent="0.35">
      <c r="A111" t="s">
        <v>38</v>
      </c>
      <c r="B111" t="s">
        <v>665</v>
      </c>
      <c r="C111" t="s">
        <v>116</v>
      </c>
      <c r="D111" t="s">
        <v>120</v>
      </c>
      <c r="G111" t="s">
        <v>2792</v>
      </c>
      <c r="L111" t="s">
        <v>1896</v>
      </c>
      <c r="M111" t="s">
        <v>2557</v>
      </c>
      <c r="R111" t="s">
        <v>119</v>
      </c>
      <c r="S111" t="s">
        <v>666</v>
      </c>
      <c r="T111" t="s">
        <v>117</v>
      </c>
      <c r="Z111" t="s">
        <v>2793</v>
      </c>
      <c r="AA111" t="s">
        <v>2794</v>
      </c>
      <c r="AB111">
        <v>1</v>
      </c>
      <c r="AC111">
        <v>4</v>
      </c>
      <c r="AJ111">
        <v>0</v>
      </c>
      <c r="AL111">
        <v>0</v>
      </c>
      <c r="AS111" t="b">
        <v>0</v>
      </c>
      <c r="AV111" t="s">
        <v>666</v>
      </c>
      <c r="AX111" t="s">
        <v>669</v>
      </c>
      <c r="BD111" t="s">
        <v>2795</v>
      </c>
      <c r="BF111" t="s">
        <v>1906</v>
      </c>
      <c r="BG111" t="s">
        <v>1907</v>
      </c>
      <c r="BI111" t="s">
        <v>666</v>
      </c>
      <c r="BL111" t="s">
        <v>2796</v>
      </c>
      <c r="BM111" t="s">
        <v>667</v>
      </c>
      <c r="BN111" t="s">
        <v>667</v>
      </c>
      <c r="BO111" t="s">
        <v>667</v>
      </c>
      <c r="BP111" t="s">
        <v>2797</v>
      </c>
      <c r="BQ111" t="s">
        <v>2793</v>
      </c>
      <c r="BR111">
        <v>1</v>
      </c>
      <c r="BS111">
        <v>4</v>
      </c>
      <c r="BU111" t="s">
        <v>1908</v>
      </c>
      <c r="BV111">
        <v>0</v>
      </c>
      <c r="BW111" t="s">
        <v>1909</v>
      </c>
      <c r="BX111" t="s">
        <v>1949</v>
      </c>
      <c r="BY111" t="s">
        <v>1911</v>
      </c>
      <c r="BZ111" t="s">
        <v>1910</v>
      </c>
      <c r="CB111" t="s">
        <v>2798</v>
      </c>
      <c r="CC111" t="s">
        <v>1996</v>
      </c>
      <c r="CD111" t="s">
        <v>1997</v>
      </c>
      <c r="CE111">
        <v>96.9</v>
      </c>
      <c r="CF111">
        <v>64.8</v>
      </c>
      <c r="CG111">
        <v>101.3</v>
      </c>
      <c r="CH111">
        <v>1012</v>
      </c>
      <c r="CI111">
        <v>35</v>
      </c>
      <c r="CJ111">
        <v>76.599999999999994</v>
      </c>
      <c r="CK111">
        <v>98.7</v>
      </c>
      <c r="CL111">
        <v>101.3</v>
      </c>
      <c r="CM111">
        <v>96.9</v>
      </c>
      <c r="CN111">
        <v>31680</v>
      </c>
      <c r="CO111">
        <v>8.5</v>
      </c>
      <c r="CP111">
        <v>277</v>
      </c>
      <c r="CQ111">
        <v>15</v>
      </c>
      <c r="CR111">
        <v>0</v>
      </c>
      <c r="CS111">
        <v>0</v>
      </c>
      <c r="CT111" t="s">
        <v>1915</v>
      </c>
      <c r="CU111">
        <v>147</v>
      </c>
      <c r="CV111">
        <v>122</v>
      </c>
      <c r="CW111">
        <v>0.9</v>
      </c>
      <c r="CX111">
        <v>1.1000000000000001</v>
      </c>
      <c r="CY111">
        <v>17.100000000000001</v>
      </c>
      <c r="CZ111">
        <v>21.2</v>
      </c>
      <c r="DA111">
        <v>2</v>
      </c>
      <c r="DB111">
        <v>2</v>
      </c>
      <c r="DC111">
        <v>0</v>
      </c>
      <c r="DD111">
        <v>0</v>
      </c>
      <c r="DE111">
        <v>0</v>
      </c>
      <c r="DF111">
        <v>0</v>
      </c>
      <c r="DG111">
        <v>256.41000000000003</v>
      </c>
      <c r="DH111">
        <v>108.51</v>
      </c>
      <c r="DI111">
        <v>0</v>
      </c>
      <c r="DJ111" t="s">
        <v>2605</v>
      </c>
      <c r="DK111" t="s">
        <v>2606</v>
      </c>
      <c r="DL111" t="s">
        <v>2799</v>
      </c>
      <c r="DM111">
        <v>0.49</v>
      </c>
      <c r="DN111">
        <v>8283.7000000000007</v>
      </c>
      <c r="EL111">
        <v>0</v>
      </c>
      <c r="EM111" t="s">
        <v>668</v>
      </c>
    </row>
    <row r="112" spans="1:143" x14ac:dyDescent="0.35">
      <c r="A112" t="s">
        <v>38</v>
      </c>
      <c r="B112" t="s">
        <v>670</v>
      </c>
      <c r="C112" t="s">
        <v>116</v>
      </c>
      <c r="D112" t="s">
        <v>120</v>
      </c>
      <c r="E112">
        <v>14</v>
      </c>
      <c r="F112" t="s">
        <v>2226</v>
      </c>
      <c r="G112" t="s">
        <v>2727</v>
      </c>
      <c r="L112" t="s">
        <v>1896</v>
      </c>
      <c r="M112" t="s">
        <v>2680</v>
      </c>
      <c r="N112" t="s">
        <v>1898</v>
      </c>
      <c r="R112" t="s">
        <v>119</v>
      </c>
      <c r="S112" t="s">
        <v>671</v>
      </c>
      <c r="T112" t="s">
        <v>117</v>
      </c>
      <c r="Z112" t="s">
        <v>2663</v>
      </c>
      <c r="AA112" t="s">
        <v>2664</v>
      </c>
      <c r="AB112">
        <v>1</v>
      </c>
      <c r="AC112">
        <v>4</v>
      </c>
      <c r="AE112">
        <v>2004</v>
      </c>
      <c r="AF112" t="s">
        <v>2764</v>
      </c>
      <c r="AG112" t="s">
        <v>2631</v>
      </c>
      <c r="AH112" t="s">
        <v>1903</v>
      </c>
      <c r="AI112">
        <v>3304500</v>
      </c>
      <c r="AJ112">
        <v>0</v>
      </c>
      <c r="AL112">
        <v>0</v>
      </c>
      <c r="AS112" t="b">
        <v>0</v>
      </c>
      <c r="AV112" t="s">
        <v>671</v>
      </c>
      <c r="AX112" t="s">
        <v>674</v>
      </c>
      <c r="BD112" t="s">
        <v>2800</v>
      </c>
      <c r="BF112" t="s">
        <v>1906</v>
      </c>
      <c r="BG112" t="s">
        <v>2801</v>
      </c>
      <c r="BI112" t="s">
        <v>671</v>
      </c>
      <c r="BL112" t="s">
        <v>2802</v>
      </c>
      <c r="BM112" t="s">
        <v>672</v>
      </c>
      <c r="BN112" t="s">
        <v>672</v>
      </c>
      <c r="BO112" t="s">
        <v>672</v>
      </c>
      <c r="BP112" t="s">
        <v>2803</v>
      </c>
      <c r="BQ112" t="s">
        <v>2663</v>
      </c>
      <c r="BR112">
        <v>1</v>
      </c>
      <c r="BS112">
        <v>4</v>
      </c>
      <c r="BU112" t="s">
        <v>1908</v>
      </c>
      <c r="BV112">
        <v>0</v>
      </c>
      <c r="BW112" t="s">
        <v>1909</v>
      </c>
      <c r="BX112" t="s">
        <v>1949</v>
      </c>
      <c r="BY112" t="s">
        <v>1911</v>
      </c>
      <c r="BZ112" t="s">
        <v>1910</v>
      </c>
      <c r="CB112" t="s">
        <v>2804</v>
      </c>
      <c r="CC112" t="s">
        <v>1996</v>
      </c>
      <c r="CD112" t="s">
        <v>2414</v>
      </c>
      <c r="CE112">
        <v>83.4</v>
      </c>
      <c r="CF112">
        <v>67.8</v>
      </c>
      <c r="CG112">
        <v>86.9</v>
      </c>
      <c r="CH112">
        <v>1013</v>
      </c>
      <c r="CI112">
        <v>59</v>
      </c>
      <c r="CJ112">
        <v>76.599999999999994</v>
      </c>
      <c r="CK112">
        <v>98.7</v>
      </c>
      <c r="CL112">
        <v>86.9</v>
      </c>
      <c r="CM112">
        <v>83.4</v>
      </c>
      <c r="CN112">
        <v>31680</v>
      </c>
      <c r="CO112">
        <v>9.1999999999999993</v>
      </c>
      <c r="CP112">
        <v>292</v>
      </c>
      <c r="CQ112">
        <v>0</v>
      </c>
      <c r="CR112">
        <v>0</v>
      </c>
      <c r="CS112">
        <v>0</v>
      </c>
      <c r="CT112" t="s">
        <v>2415</v>
      </c>
      <c r="CU112">
        <v>188</v>
      </c>
      <c r="CV112">
        <v>81</v>
      </c>
      <c r="CW112">
        <v>7.4</v>
      </c>
      <c r="CX112">
        <v>0.8</v>
      </c>
      <c r="CY112">
        <v>14.3</v>
      </c>
      <c r="CZ112">
        <v>16.2</v>
      </c>
      <c r="DA112">
        <v>1</v>
      </c>
      <c r="DB112">
        <v>2</v>
      </c>
      <c r="DC112">
        <v>0</v>
      </c>
      <c r="DD112">
        <v>0</v>
      </c>
      <c r="DE112">
        <v>0</v>
      </c>
      <c r="DF112">
        <v>0</v>
      </c>
      <c r="DG112">
        <v>199.21</v>
      </c>
      <c r="DH112">
        <v>82.92</v>
      </c>
      <c r="DI112">
        <v>0</v>
      </c>
      <c r="DJ112" t="s">
        <v>2805</v>
      </c>
      <c r="DK112" t="s">
        <v>2806</v>
      </c>
      <c r="DL112" t="s">
        <v>2807</v>
      </c>
      <c r="DM112">
        <v>1.37</v>
      </c>
      <c r="DN112">
        <v>3040.9</v>
      </c>
      <c r="EK112" t="s">
        <v>2808</v>
      </c>
      <c r="EL112">
        <v>0</v>
      </c>
      <c r="EM112" t="s">
        <v>673</v>
      </c>
    </row>
    <row r="113" spans="1:143" x14ac:dyDescent="0.35">
      <c r="A113" t="s">
        <v>38</v>
      </c>
      <c r="B113" t="s">
        <v>675</v>
      </c>
      <c r="C113" t="s">
        <v>116</v>
      </c>
      <c r="D113" t="s">
        <v>120</v>
      </c>
      <c r="G113" t="s">
        <v>2809</v>
      </c>
      <c r="L113" t="s">
        <v>1896</v>
      </c>
      <c r="M113" t="s">
        <v>2567</v>
      </c>
      <c r="R113" t="s">
        <v>119</v>
      </c>
      <c r="S113" t="s">
        <v>676</v>
      </c>
      <c r="T113" t="s">
        <v>117</v>
      </c>
      <c r="Z113" t="s">
        <v>2810</v>
      </c>
      <c r="AA113" t="s">
        <v>2811</v>
      </c>
      <c r="AB113">
        <v>2</v>
      </c>
      <c r="AC113">
        <v>8</v>
      </c>
      <c r="AJ113">
        <v>0</v>
      </c>
      <c r="AL113">
        <v>0</v>
      </c>
      <c r="AS113" t="b">
        <v>0</v>
      </c>
      <c r="AV113" t="s">
        <v>676</v>
      </c>
      <c r="AX113" t="s">
        <v>679</v>
      </c>
      <c r="BD113" t="s">
        <v>2812</v>
      </c>
      <c r="BF113" t="s">
        <v>1906</v>
      </c>
      <c r="BG113" t="s">
        <v>1989</v>
      </c>
      <c r="BI113" t="s">
        <v>676</v>
      </c>
      <c r="BL113" t="s">
        <v>2813</v>
      </c>
      <c r="BM113" t="s">
        <v>677</v>
      </c>
      <c r="BN113" t="s">
        <v>677</v>
      </c>
      <c r="BO113" t="s">
        <v>677</v>
      </c>
      <c r="BP113" t="s">
        <v>2814</v>
      </c>
      <c r="BQ113" t="s">
        <v>2810</v>
      </c>
      <c r="BR113">
        <v>2</v>
      </c>
      <c r="BS113">
        <v>8</v>
      </c>
      <c r="BU113" t="s">
        <v>1908</v>
      </c>
      <c r="BV113">
        <v>0</v>
      </c>
      <c r="BW113" t="s">
        <v>1934</v>
      </c>
      <c r="BX113" t="s">
        <v>1910</v>
      </c>
      <c r="BY113" t="s">
        <v>1911</v>
      </c>
      <c r="BZ113" t="s">
        <v>1910</v>
      </c>
      <c r="CB113" t="s">
        <v>2815</v>
      </c>
      <c r="CC113" t="s">
        <v>1996</v>
      </c>
      <c r="CD113" t="s">
        <v>2414</v>
      </c>
      <c r="CE113">
        <v>61.1</v>
      </c>
      <c r="CF113">
        <v>49.1</v>
      </c>
      <c r="CG113">
        <v>61.1</v>
      </c>
      <c r="CH113">
        <v>1015</v>
      </c>
      <c r="CI113">
        <v>65</v>
      </c>
      <c r="CJ113">
        <v>56.8</v>
      </c>
      <c r="CK113">
        <v>70.099999999999994</v>
      </c>
      <c r="CL113">
        <v>61.1</v>
      </c>
      <c r="CM113">
        <v>61.1</v>
      </c>
      <c r="CN113">
        <v>31680</v>
      </c>
      <c r="CO113">
        <v>3.8</v>
      </c>
      <c r="CP113">
        <v>266</v>
      </c>
      <c r="CQ113">
        <v>0</v>
      </c>
      <c r="CR113">
        <v>0</v>
      </c>
      <c r="CS113">
        <v>0</v>
      </c>
      <c r="CT113" t="s">
        <v>2415</v>
      </c>
      <c r="CU113">
        <v>169</v>
      </c>
      <c r="CV113">
        <v>31</v>
      </c>
      <c r="CW113">
        <v>20.399999999999999</v>
      </c>
      <c r="CX113">
        <v>0.3</v>
      </c>
      <c r="CY113">
        <v>6.2</v>
      </c>
      <c r="CZ113">
        <v>6.2</v>
      </c>
      <c r="DA113">
        <v>1</v>
      </c>
      <c r="DB113">
        <v>1</v>
      </c>
      <c r="DC113">
        <v>0</v>
      </c>
      <c r="DD113">
        <v>0</v>
      </c>
      <c r="DE113">
        <v>0</v>
      </c>
      <c r="DF113">
        <v>0</v>
      </c>
      <c r="DG113">
        <v>3.56</v>
      </c>
      <c r="DH113">
        <v>0.98</v>
      </c>
      <c r="DI113">
        <v>0</v>
      </c>
      <c r="DJ113" t="s">
        <v>2605</v>
      </c>
      <c r="DM113">
        <v>0.49</v>
      </c>
      <c r="DN113">
        <v>8283.7000000000007</v>
      </c>
      <c r="EL113">
        <v>0</v>
      </c>
      <c r="EM113" t="s">
        <v>678</v>
      </c>
    </row>
    <row r="114" spans="1:143" x14ac:dyDescent="0.35">
      <c r="A114" t="s">
        <v>38</v>
      </c>
      <c r="B114" t="s">
        <v>680</v>
      </c>
      <c r="C114" t="s">
        <v>116</v>
      </c>
      <c r="D114" t="s">
        <v>120</v>
      </c>
      <c r="E114">
        <v>172</v>
      </c>
      <c r="G114" t="s">
        <v>2816</v>
      </c>
      <c r="L114" t="s">
        <v>1896</v>
      </c>
      <c r="M114" t="s">
        <v>2817</v>
      </c>
      <c r="N114" t="s">
        <v>1898</v>
      </c>
      <c r="R114" t="s">
        <v>119</v>
      </c>
      <c r="S114" t="s">
        <v>681</v>
      </c>
      <c r="T114" t="s">
        <v>117</v>
      </c>
      <c r="Z114" t="s">
        <v>2728</v>
      </c>
      <c r="AA114" t="s">
        <v>2729</v>
      </c>
      <c r="AB114">
        <v>1</v>
      </c>
      <c r="AC114">
        <v>4</v>
      </c>
      <c r="AE114">
        <v>1988</v>
      </c>
      <c r="AF114" t="s">
        <v>2641</v>
      </c>
      <c r="AG114" t="s">
        <v>1928</v>
      </c>
      <c r="AH114" t="s">
        <v>1929</v>
      </c>
      <c r="AI114">
        <v>117900</v>
      </c>
      <c r="AJ114">
        <v>0</v>
      </c>
      <c r="AL114">
        <v>0</v>
      </c>
      <c r="AS114" t="b">
        <v>0</v>
      </c>
      <c r="AV114" t="s">
        <v>681</v>
      </c>
      <c r="AX114" t="s">
        <v>684</v>
      </c>
      <c r="BD114" t="s">
        <v>2818</v>
      </c>
      <c r="BF114" t="s">
        <v>1906</v>
      </c>
      <c r="BG114" t="s">
        <v>1907</v>
      </c>
      <c r="BI114" t="s">
        <v>681</v>
      </c>
      <c r="BL114" t="s">
        <v>2819</v>
      </c>
      <c r="BM114" t="s">
        <v>682</v>
      </c>
      <c r="BN114" t="s">
        <v>682</v>
      </c>
      <c r="BO114" t="s">
        <v>682</v>
      </c>
      <c r="BP114" t="s">
        <v>2820</v>
      </c>
      <c r="BQ114" t="s">
        <v>2728</v>
      </c>
      <c r="BR114">
        <v>1</v>
      </c>
      <c r="BS114">
        <v>4</v>
      </c>
      <c r="BU114" t="s">
        <v>1908</v>
      </c>
      <c r="BV114">
        <v>0</v>
      </c>
      <c r="BW114" t="s">
        <v>2128</v>
      </c>
      <c r="BX114" t="s">
        <v>1949</v>
      </c>
      <c r="BY114" t="s">
        <v>1970</v>
      </c>
      <c r="BZ114" t="s">
        <v>1910</v>
      </c>
      <c r="CB114" t="s">
        <v>2821</v>
      </c>
      <c r="CC114" t="s">
        <v>1996</v>
      </c>
      <c r="CD114" t="s">
        <v>1997</v>
      </c>
      <c r="CE114">
        <v>78.900000000000006</v>
      </c>
      <c r="CF114">
        <v>52.2</v>
      </c>
      <c r="CG114">
        <v>78.599999999999994</v>
      </c>
      <c r="CH114">
        <v>1009</v>
      </c>
      <c r="CI114">
        <v>37</v>
      </c>
      <c r="CJ114">
        <v>58.6</v>
      </c>
      <c r="CK114">
        <v>79.7</v>
      </c>
      <c r="CL114">
        <v>78.599999999999994</v>
      </c>
      <c r="CM114">
        <v>78.900000000000006</v>
      </c>
      <c r="CN114">
        <v>26400</v>
      </c>
      <c r="CO114">
        <v>8.3000000000000007</v>
      </c>
      <c r="CP114">
        <v>303</v>
      </c>
      <c r="CQ114">
        <v>3</v>
      </c>
      <c r="CR114">
        <v>0</v>
      </c>
      <c r="CS114">
        <v>0</v>
      </c>
      <c r="CT114" t="s">
        <v>1915</v>
      </c>
      <c r="CU114">
        <v>104</v>
      </c>
      <c r="CV114">
        <v>91</v>
      </c>
      <c r="CW114">
        <v>0.5</v>
      </c>
      <c r="CX114">
        <v>0.2</v>
      </c>
      <c r="CY114">
        <v>1.2</v>
      </c>
      <c r="CZ114">
        <v>1.2</v>
      </c>
      <c r="DA114">
        <v>1</v>
      </c>
      <c r="DB114">
        <v>1</v>
      </c>
      <c r="DC114">
        <v>0</v>
      </c>
      <c r="DD114">
        <v>0</v>
      </c>
      <c r="DE114">
        <v>0</v>
      </c>
      <c r="DF114">
        <v>0</v>
      </c>
      <c r="DG114">
        <v>228.35</v>
      </c>
      <c r="DH114">
        <v>58.85</v>
      </c>
      <c r="DI114">
        <v>0</v>
      </c>
      <c r="DJ114" t="s">
        <v>2822</v>
      </c>
      <c r="DK114" t="s">
        <v>2823</v>
      </c>
      <c r="DL114" t="s">
        <v>2824</v>
      </c>
      <c r="DM114">
        <v>2.1800000000000002</v>
      </c>
      <c r="DN114">
        <v>2983.5</v>
      </c>
      <c r="EL114">
        <v>0</v>
      </c>
      <c r="EM114" t="s">
        <v>683</v>
      </c>
    </row>
    <row r="115" spans="1:143" x14ac:dyDescent="0.35">
      <c r="A115" t="s">
        <v>38</v>
      </c>
      <c r="B115" t="s">
        <v>685</v>
      </c>
      <c r="C115" t="s">
        <v>116</v>
      </c>
      <c r="D115" t="s">
        <v>120</v>
      </c>
      <c r="E115">
        <v>11</v>
      </c>
      <c r="G115" t="s">
        <v>2825</v>
      </c>
      <c r="L115" t="s">
        <v>1896</v>
      </c>
      <c r="M115" t="s">
        <v>2578</v>
      </c>
      <c r="N115" t="s">
        <v>1898</v>
      </c>
      <c r="R115" t="s">
        <v>119</v>
      </c>
      <c r="S115" t="s">
        <v>686</v>
      </c>
      <c r="T115" t="s">
        <v>117</v>
      </c>
      <c r="U115" t="s">
        <v>174</v>
      </c>
      <c r="Z115" t="s">
        <v>2826</v>
      </c>
      <c r="AA115" t="s">
        <v>2827</v>
      </c>
      <c r="AB115">
        <v>2</v>
      </c>
      <c r="AC115">
        <v>5</v>
      </c>
      <c r="AE115">
        <v>1890</v>
      </c>
      <c r="AF115" t="s">
        <v>2739</v>
      </c>
      <c r="AG115" t="s">
        <v>1928</v>
      </c>
      <c r="AH115" t="s">
        <v>1929</v>
      </c>
      <c r="AI115">
        <v>65200</v>
      </c>
      <c r="AJ115">
        <v>0</v>
      </c>
      <c r="AL115">
        <v>0</v>
      </c>
      <c r="AS115" t="b">
        <v>0</v>
      </c>
      <c r="AV115" t="s">
        <v>686</v>
      </c>
      <c r="AX115" t="s">
        <v>689</v>
      </c>
      <c r="BD115" t="s">
        <v>2828</v>
      </c>
      <c r="BF115" t="s">
        <v>1906</v>
      </c>
      <c r="BG115" t="s">
        <v>2090</v>
      </c>
      <c r="BI115" t="s">
        <v>686</v>
      </c>
      <c r="BL115" t="s">
        <v>2829</v>
      </c>
      <c r="BM115" t="s">
        <v>687</v>
      </c>
      <c r="BN115" t="s">
        <v>687</v>
      </c>
      <c r="BO115" t="s">
        <v>687</v>
      </c>
      <c r="BP115" t="s">
        <v>2830</v>
      </c>
      <c r="BQ115" t="s">
        <v>2826</v>
      </c>
      <c r="BR115">
        <v>2</v>
      </c>
      <c r="BS115">
        <v>5</v>
      </c>
      <c r="BU115" t="s">
        <v>1908</v>
      </c>
      <c r="BV115">
        <v>0</v>
      </c>
      <c r="BW115" t="s">
        <v>1934</v>
      </c>
      <c r="BX115" t="s">
        <v>2094</v>
      </c>
      <c r="BY115" t="s">
        <v>2033</v>
      </c>
      <c r="BZ115" t="s">
        <v>2722</v>
      </c>
      <c r="CA115" t="s">
        <v>2147</v>
      </c>
      <c r="CB115" t="s">
        <v>2821</v>
      </c>
      <c r="CC115" t="s">
        <v>1996</v>
      </c>
      <c r="CD115" t="s">
        <v>1997</v>
      </c>
      <c r="CE115">
        <v>78.900000000000006</v>
      </c>
      <c r="CF115">
        <v>52.2</v>
      </c>
      <c r="CG115">
        <v>78.7</v>
      </c>
      <c r="CH115">
        <v>1009</v>
      </c>
      <c r="CI115">
        <v>37</v>
      </c>
      <c r="CJ115">
        <v>58.3</v>
      </c>
      <c r="CK115">
        <v>81</v>
      </c>
      <c r="CL115">
        <v>78.7</v>
      </c>
      <c r="CM115">
        <v>78.900000000000006</v>
      </c>
      <c r="CN115">
        <v>26400</v>
      </c>
      <c r="CO115">
        <v>8.3000000000000007</v>
      </c>
      <c r="CP115">
        <v>303</v>
      </c>
      <c r="CQ115">
        <v>3</v>
      </c>
      <c r="CR115">
        <v>0</v>
      </c>
      <c r="CS115">
        <v>0</v>
      </c>
      <c r="CT115" t="s">
        <v>1915</v>
      </c>
      <c r="CU115">
        <v>104</v>
      </c>
      <c r="CV115">
        <v>91</v>
      </c>
      <c r="CW115">
        <v>0.5</v>
      </c>
      <c r="CX115">
        <v>0.2</v>
      </c>
      <c r="CY115">
        <v>1.2</v>
      </c>
      <c r="CZ115">
        <v>1.2</v>
      </c>
      <c r="DA115">
        <v>1</v>
      </c>
      <c r="DB115">
        <v>1</v>
      </c>
      <c r="DC115">
        <v>0</v>
      </c>
      <c r="DD115">
        <v>0</v>
      </c>
      <c r="DE115">
        <v>0</v>
      </c>
      <c r="DF115">
        <v>0</v>
      </c>
      <c r="DG115">
        <v>300.39999999999998</v>
      </c>
      <c r="DH115">
        <v>75.83</v>
      </c>
      <c r="DI115">
        <v>0</v>
      </c>
      <c r="DJ115" t="s">
        <v>2785</v>
      </c>
      <c r="DM115">
        <v>0.65</v>
      </c>
      <c r="DN115">
        <v>6573.8</v>
      </c>
      <c r="EL115">
        <v>0</v>
      </c>
      <c r="EM115" t="s">
        <v>688</v>
      </c>
    </row>
    <row r="116" spans="1:143" x14ac:dyDescent="0.35">
      <c r="A116" t="s">
        <v>38</v>
      </c>
      <c r="B116" t="s">
        <v>690</v>
      </c>
      <c r="C116" t="s">
        <v>116</v>
      </c>
      <c r="D116" t="s">
        <v>120</v>
      </c>
      <c r="E116">
        <v>45</v>
      </c>
      <c r="G116" t="s">
        <v>2831</v>
      </c>
      <c r="L116" t="s">
        <v>1896</v>
      </c>
      <c r="M116" t="s">
        <v>2832</v>
      </c>
      <c r="N116" t="s">
        <v>1898</v>
      </c>
      <c r="R116" t="s">
        <v>119</v>
      </c>
      <c r="S116" t="s">
        <v>691</v>
      </c>
      <c r="T116" t="s">
        <v>117</v>
      </c>
      <c r="Z116" t="s">
        <v>2651</v>
      </c>
      <c r="AA116" t="s">
        <v>2652</v>
      </c>
      <c r="AB116">
        <v>1</v>
      </c>
      <c r="AC116">
        <v>4</v>
      </c>
      <c r="AE116">
        <v>1895</v>
      </c>
      <c r="AF116" t="s">
        <v>2590</v>
      </c>
      <c r="AG116" t="s">
        <v>2717</v>
      </c>
      <c r="AH116" t="s">
        <v>1903</v>
      </c>
      <c r="AI116">
        <v>3327900</v>
      </c>
      <c r="AJ116">
        <v>0</v>
      </c>
      <c r="AL116">
        <v>0</v>
      </c>
      <c r="AS116" t="b">
        <v>0</v>
      </c>
      <c r="AV116" t="s">
        <v>691</v>
      </c>
      <c r="AX116" t="s">
        <v>694</v>
      </c>
      <c r="BD116" t="s">
        <v>2833</v>
      </c>
      <c r="BF116" t="s">
        <v>1906</v>
      </c>
      <c r="BG116" t="s">
        <v>1907</v>
      </c>
      <c r="BI116" t="s">
        <v>691</v>
      </c>
      <c r="BL116" t="s">
        <v>2834</v>
      </c>
      <c r="BM116" t="s">
        <v>692</v>
      </c>
      <c r="BN116" t="s">
        <v>692</v>
      </c>
      <c r="BO116" t="s">
        <v>692</v>
      </c>
      <c r="BP116" t="s">
        <v>2835</v>
      </c>
      <c r="BQ116" t="s">
        <v>2651</v>
      </c>
      <c r="BR116">
        <v>1</v>
      </c>
      <c r="BS116">
        <v>4</v>
      </c>
      <c r="BU116" t="s">
        <v>1908</v>
      </c>
      <c r="BV116">
        <v>0</v>
      </c>
      <c r="BW116" t="s">
        <v>1934</v>
      </c>
      <c r="BX116" t="s">
        <v>1910</v>
      </c>
      <c r="BY116" t="s">
        <v>1911</v>
      </c>
      <c r="BZ116" t="s">
        <v>1910</v>
      </c>
      <c r="CB116" t="s">
        <v>2203</v>
      </c>
      <c r="CC116" t="s">
        <v>2141</v>
      </c>
      <c r="CD116" t="s">
        <v>2142</v>
      </c>
      <c r="CE116">
        <v>76.7</v>
      </c>
      <c r="CF116">
        <v>46.5</v>
      </c>
      <c r="CG116">
        <v>76.7</v>
      </c>
      <c r="CH116">
        <v>1009</v>
      </c>
      <c r="CI116">
        <v>34</v>
      </c>
      <c r="CJ116">
        <v>55.7</v>
      </c>
      <c r="CK116">
        <v>78.8</v>
      </c>
      <c r="CL116">
        <v>76.7</v>
      </c>
      <c r="CM116">
        <v>76.7</v>
      </c>
      <c r="CN116">
        <v>26400</v>
      </c>
      <c r="CO116">
        <v>9.4</v>
      </c>
      <c r="CP116">
        <v>289</v>
      </c>
      <c r="CQ116">
        <v>27</v>
      </c>
      <c r="CR116">
        <v>0</v>
      </c>
      <c r="CS116">
        <v>0</v>
      </c>
      <c r="CT116" t="s">
        <v>1915</v>
      </c>
      <c r="CU116">
        <v>107</v>
      </c>
      <c r="CV116">
        <v>85</v>
      </c>
      <c r="CW116">
        <v>0.5</v>
      </c>
      <c r="CX116">
        <v>0.4</v>
      </c>
      <c r="CY116">
        <v>2.4</v>
      </c>
      <c r="CZ116">
        <v>2.5</v>
      </c>
      <c r="DA116">
        <v>1</v>
      </c>
      <c r="DB116">
        <v>1</v>
      </c>
      <c r="DC116">
        <v>0</v>
      </c>
      <c r="DD116">
        <v>0</v>
      </c>
      <c r="DE116">
        <v>0</v>
      </c>
      <c r="DF116">
        <v>0</v>
      </c>
      <c r="DG116">
        <v>210.49</v>
      </c>
      <c r="DH116">
        <v>55.39</v>
      </c>
      <c r="DI116">
        <v>0</v>
      </c>
      <c r="DJ116" t="s">
        <v>2745</v>
      </c>
      <c r="DM116">
        <v>0.28999999999999998</v>
      </c>
      <c r="DN116">
        <v>15251.7</v>
      </c>
      <c r="EL116">
        <v>0</v>
      </c>
      <c r="EM116" t="s">
        <v>693</v>
      </c>
    </row>
    <row r="117" spans="1:143" x14ac:dyDescent="0.35">
      <c r="A117" t="s">
        <v>38</v>
      </c>
      <c r="B117" t="s">
        <v>695</v>
      </c>
      <c r="C117" t="s">
        <v>116</v>
      </c>
      <c r="D117" t="s">
        <v>120</v>
      </c>
      <c r="E117">
        <v>45</v>
      </c>
      <c r="G117" t="s">
        <v>2831</v>
      </c>
      <c r="L117" t="s">
        <v>1896</v>
      </c>
      <c r="M117" t="s">
        <v>2832</v>
      </c>
      <c r="N117" t="s">
        <v>1898</v>
      </c>
      <c r="R117" t="s">
        <v>119</v>
      </c>
      <c r="S117" t="s">
        <v>696</v>
      </c>
      <c r="T117" t="s">
        <v>117</v>
      </c>
      <c r="Z117" t="s">
        <v>2836</v>
      </c>
      <c r="AA117" t="s">
        <v>2837</v>
      </c>
      <c r="AB117">
        <v>2</v>
      </c>
      <c r="AC117">
        <v>8</v>
      </c>
      <c r="AE117">
        <v>1895</v>
      </c>
      <c r="AF117" t="s">
        <v>2590</v>
      </c>
      <c r="AG117" t="s">
        <v>2717</v>
      </c>
      <c r="AH117" t="s">
        <v>1903</v>
      </c>
      <c r="AI117">
        <v>3327900</v>
      </c>
      <c r="AJ117">
        <v>0</v>
      </c>
      <c r="AL117">
        <v>0</v>
      </c>
      <c r="AS117" t="b">
        <v>0</v>
      </c>
      <c r="AV117" t="s">
        <v>696</v>
      </c>
      <c r="AX117" t="s">
        <v>699</v>
      </c>
      <c r="BD117" t="s">
        <v>2838</v>
      </c>
      <c r="BF117" t="s">
        <v>1906</v>
      </c>
      <c r="BG117" t="s">
        <v>1907</v>
      </c>
      <c r="BI117" t="s">
        <v>696</v>
      </c>
      <c r="BL117" t="s">
        <v>2839</v>
      </c>
      <c r="BM117" t="s">
        <v>697</v>
      </c>
      <c r="BN117" t="s">
        <v>697</v>
      </c>
      <c r="BO117" t="s">
        <v>697</v>
      </c>
      <c r="BP117" t="s">
        <v>2840</v>
      </c>
      <c r="BQ117" t="s">
        <v>2836</v>
      </c>
      <c r="BR117">
        <v>2</v>
      </c>
      <c r="BS117">
        <v>8</v>
      </c>
      <c r="BU117" t="s">
        <v>1908</v>
      </c>
      <c r="BV117">
        <v>0</v>
      </c>
      <c r="BW117" t="s">
        <v>1934</v>
      </c>
      <c r="BX117" t="s">
        <v>1949</v>
      </c>
      <c r="BY117" t="s">
        <v>1911</v>
      </c>
      <c r="BZ117" t="s">
        <v>1995</v>
      </c>
      <c r="CB117" t="s">
        <v>2203</v>
      </c>
      <c r="CC117" t="s">
        <v>2141</v>
      </c>
      <c r="CD117" t="s">
        <v>2142</v>
      </c>
      <c r="CE117">
        <v>76.7</v>
      </c>
      <c r="CF117">
        <v>46.5</v>
      </c>
      <c r="CG117">
        <v>76.7</v>
      </c>
      <c r="CH117">
        <v>1009</v>
      </c>
      <c r="CI117">
        <v>34</v>
      </c>
      <c r="CJ117">
        <v>55.7</v>
      </c>
      <c r="CK117">
        <v>78.8</v>
      </c>
      <c r="CL117">
        <v>76.7</v>
      </c>
      <c r="CM117">
        <v>76.7</v>
      </c>
      <c r="CN117">
        <v>26400</v>
      </c>
      <c r="CO117">
        <v>9.4</v>
      </c>
      <c r="CP117">
        <v>289</v>
      </c>
      <c r="CQ117">
        <v>27</v>
      </c>
      <c r="CR117">
        <v>0</v>
      </c>
      <c r="CS117">
        <v>0</v>
      </c>
      <c r="CT117" t="s">
        <v>1915</v>
      </c>
      <c r="CU117">
        <v>107</v>
      </c>
      <c r="CV117">
        <v>85</v>
      </c>
      <c r="CW117">
        <v>0.5</v>
      </c>
      <c r="CX117">
        <v>0.4</v>
      </c>
      <c r="CY117">
        <v>2.4</v>
      </c>
      <c r="CZ117">
        <v>2.5</v>
      </c>
      <c r="DA117">
        <v>1</v>
      </c>
      <c r="DB117">
        <v>1</v>
      </c>
      <c r="DC117">
        <v>0</v>
      </c>
      <c r="DD117">
        <v>0</v>
      </c>
      <c r="DE117">
        <v>0</v>
      </c>
      <c r="DF117">
        <v>0</v>
      </c>
      <c r="DG117">
        <v>189.82</v>
      </c>
      <c r="DH117">
        <v>62.97</v>
      </c>
      <c r="DI117">
        <v>0</v>
      </c>
      <c r="DJ117" t="s">
        <v>2745</v>
      </c>
      <c r="DM117">
        <v>0.28999999999999998</v>
      </c>
      <c r="DN117">
        <v>15251.7</v>
      </c>
      <c r="EL117">
        <v>0</v>
      </c>
      <c r="EM117" t="s">
        <v>698</v>
      </c>
    </row>
    <row r="118" spans="1:143" x14ac:dyDescent="0.35">
      <c r="A118" t="s">
        <v>38</v>
      </c>
      <c r="B118" t="s">
        <v>700</v>
      </c>
      <c r="C118" t="s">
        <v>116</v>
      </c>
      <c r="D118" t="s">
        <v>120</v>
      </c>
      <c r="E118">
        <v>102</v>
      </c>
      <c r="G118" t="s">
        <v>2841</v>
      </c>
      <c r="L118" t="s">
        <v>1896</v>
      </c>
      <c r="M118" t="s">
        <v>2662</v>
      </c>
      <c r="N118" t="s">
        <v>1898</v>
      </c>
      <c r="R118" t="s">
        <v>119</v>
      </c>
      <c r="S118" t="s">
        <v>701</v>
      </c>
      <c r="T118" t="s">
        <v>117</v>
      </c>
      <c r="Z118" t="s">
        <v>2367</v>
      </c>
      <c r="AA118" t="s">
        <v>2579</v>
      </c>
      <c r="AB118">
        <v>1</v>
      </c>
      <c r="AC118">
        <v>4</v>
      </c>
      <c r="AE118">
        <v>1950</v>
      </c>
      <c r="AF118" t="s">
        <v>2547</v>
      </c>
      <c r="AG118" t="s">
        <v>2842</v>
      </c>
      <c r="AH118" t="s">
        <v>1903</v>
      </c>
      <c r="AI118">
        <v>1675700</v>
      </c>
      <c r="AJ118">
        <v>0</v>
      </c>
      <c r="AL118">
        <v>0</v>
      </c>
      <c r="AS118" t="b">
        <v>0</v>
      </c>
      <c r="AV118" t="s">
        <v>701</v>
      </c>
      <c r="AX118" t="s">
        <v>704</v>
      </c>
      <c r="BD118" t="s">
        <v>2843</v>
      </c>
      <c r="BF118" t="s">
        <v>1906</v>
      </c>
      <c r="BG118" t="s">
        <v>1907</v>
      </c>
      <c r="BI118" t="s">
        <v>701</v>
      </c>
      <c r="BL118" t="s">
        <v>2844</v>
      </c>
      <c r="BM118" t="s">
        <v>702</v>
      </c>
      <c r="BN118" t="s">
        <v>702</v>
      </c>
      <c r="BO118" t="s">
        <v>702</v>
      </c>
      <c r="BP118" t="s">
        <v>2845</v>
      </c>
      <c r="BQ118" t="s">
        <v>2367</v>
      </c>
      <c r="BR118">
        <v>1</v>
      </c>
      <c r="BS118">
        <v>4</v>
      </c>
      <c r="BU118" t="s">
        <v>1908</v>
      </c>
      <c r="BW118" t="s">
        <v>2128</v>
      </c>
      <c r="BX118" t="s">
        <v>1949</v>
      </c>
      <c r="BY118" t="s">
        <v>1911</v>
      </c>
      <c r="BZ118" t="s">
        <v>1995</v>
      </c>
      <c r="CB118" t="s">
        <v>2846</v>
      </c>
      <c r="CC118" t="s">
        <v>1913</v>
      </c>
      <c r="CD118" t="s">
        <v>1914</v>
      </c>
      <c r="CE118">
        <v>76.5</v>
      </c>
      <c r="CF118">
        <v>68.2</v>
      </c>
      <c r="CG118">
        <v>78.5</v>
      </c>
      <c r="CH118">
        <v>999</v>
      </c>
      <c r="CI118">
        <v>83</v>
      </c>
      <c r="CJ118">
        <v>60.3</v>
      </c>
      <c r="CK118">
        <v>81.599999999999994</v>
      </c>
      <c r="CL118">
        <v>78.5</v>
      </c>
      <c r="CM118">
        <v>76.5</v>
      </c>
      <c r="CN118">
        <v>26400</v>
      </c>
      <c r="CO118">
        <v>11.6</v>
      </c>
      <c r="CP118">
        <v>239</v>
      </c>
      <c r="CQ118">
        <v>75</v>
      </c>
      <c r="CR118">
        <v>0.01</v>
      </c>
      <c r="CS118">
        <v>0</v>
      </c>
      <c r="CT118" t="s">
        <v>1915</v>
      </c>
      <c r="CU118">
        <v>129</v>
      </c>
      <c r="CV118">
        <v>117</v>
      </c>
      <c r="CW118">
        <v>1.1000000000000001</v>
      </c>
      <c r="CX118">
        <v>0.5</v>
      </c>
      <c r="CY118">
        <v>6.5</v>
      </c>
      <c r="CZ118">
        <v>8.1999999999999993</v>
      </c>
      <c r="DA118">
        <v>1</v>
      </c>
      <c r="DB118">
        <v>1</v>
      </c>
      <c r="DC118">
        <v>0</v>
      </c>
      <c r="DD118">
        <v>0</v>
      </c>
      <c r="DE118">
        <v>0</v>
      </c>
      <c r="DF118">
        <v>0</v>
      </c>
      <c r="DG118">
        <v>158.19</v>
      </c>
      <c r="DH118">
        <v>40.61</v>
      </c>
      <c r="DI118">
        <v>0</v>
      </c>
      <c r="EL118">
        <v>0</v>
      </c>
      <c r="EM118" t="s">
        <v>703</v>
      </c>
    </row>
    <row r="119" spans="1:143" x14ac:dyDescent="0.35">
      <c r="A119" t="s">
        <v>38</v>
      </c>
      <c r="B119" t="s">
        <v>705</v>
      </c>
      <c r="C119" t="s">
        <v>116</v>
      </c>
      <c r="D119" t="s">
        <v>120</v>
      </c>
      <c r="E119">
        <v>44</v>
      </c>
      <c r="G119" t="s">
        <v>2847</v>
      </c>
      <c r="L119" t="s">
        <v>1896</v>
      </c>
      <c r="M119" t="s">
        <v>2629</v>
      </c>
      <c r="N119" t="s">
        <v>1898</v>
      </c>
      <c r="R119" t="s">
        <v>119</v>
      </c>
      <c r="S119" t="s">
        <v>706</v>
      </c>
      <c r="T119" t="s">
        <v>117</v>
      </c>
      <c r="Z119" t="s">
        <v>2367</v>
      </c>
      <c r="AA119" t="s">
        <v>2579</v>
      </c>
      <c r="AB119">
        <v>1</v>
      </c>
      <c r="AC119">
        <v>4</v>
      </c>
      <c r="AE119">
        <v>1960</v>
      </c>
      <c r="AF119" t="s">
        <v>2641</v>
      </c>
      <c r="AG119" t="s">
        <v>2848</v>
      </c>
      <c r="AH119" t="s">
        <v>1903</v>
      </c>
      <c r="AI119">
        <v>1418000</v>
      </c>
      <c r="AJ119">
        <v>0</v>
      </c>
      <c r="AL119">
        <v>0</v>
      </c>
      <c r="AS119" t="b">
        <v>0</v>
      </c>
      <c r="AV119" t="s">
        <v>706</v>
      </c>
      <c r="AX119" t="s">
        <v>709</v>
      </c>
      <c r="BD119" t="s">
        <v>2849</v>
      </c>
      <c r="BF119" t="s">
        <v>1906</v>
      </c>
      <c r="BG119" t="s">
        <v>1907</v>
      </c>
      <c r="BI119" t="s">
        <v>706</v>
      </c>
      <c r="BL119" t="s">
        <v>2850</v>
      </c>
      <c r="BM119" t="s">
        <v>707</v>
      </c>
      <c r="BN119" t="s">
        <v>707</v>
      </c>
      <c r="BO119" t="s">
        <v>707</v>
      </c>
      <c r="BP119" t="s">
        <v>2851</v>
      </c>
      <c r="BQ119" t="s">
        <v>2367</v>
      </c>
      <c r="BR119">
        <v>1</v>
      </c>
      <c r="BS119">
        <v>4</v>
      </c>
      <c r="BU119" t="s">
        <v>1908</v>
      </c>
      <c r="BW119" t="s">
        <v>1934</v>
      </c>
      <c r="BX119" t="s">
        <v>1949</v>
      </c>
      <c r="BY119" t="s">
        <v>2157</v>
      </c>
      <c r="BZ119" t="s">
        <v>1910</v>
      </c>
      <c r="CB119" t="s">
        <v>2852</v>
      </c>
      <c r="CC119" t="s">
        <v>1996</v>
      </c>
      <c r="CD119" t="s">
        <v>1997</v>
      </c>
      <c r="CE119">
        <v>75.2</v>
      </c>
      <c r="CF119">
        <v>44.1</v>
      </c>
      <c r="CG119">
        <v>75.5</v>
      </c>
      <c r="CH119">
        <v>1010</v>
      </c>
      <c r="CI119">
        <v>32</v>
      </c>
      <c r="CJ119">
        <v>58.1</v>
      </c>
      <c r="CK119">
        <v>79</v>
      </c>
      <c r="CL119">
        <v>75.5</v>
      </c>
      <c r="CM119">
        <v>75.2</v>
      </c>
      <c r="CN119">
        <v>31680</v>
      </c>
      <c r="CO119">
        <v>7.2</v>
      </c>
      <c r="CP119">
        <v>187</v>
      </c>
      <c r="CQ119">
        <v>15</v>
      </c>
      <c r="CR119">
        <v>0</v>
      </c>
      <c r="CS119">
        <v>0</v>
      </c>
      <c r="CT119" t="s">
        <v>1915</v>
      </c>
      <c r="CU119">
        <v>120</v>
      </c>
      <c r="CV119">
        <v>123</v>
      </c>
      <c r="CW119">
        <v>0.6</v>
      </c>
      <c r="CX119">
        <v>1</v>
      </c>
      <c r="CY119">
        <v>4.8</v>
      </c>
      <c r="CZ119">
        <v>5.4</v>
      </c>
      <c r="DA119">
        <v>1</v>
      </c>
      <c r="DB119">
        <v>1</v>
      </c>
      <c r="DC119">
        <v>0</v>
      </c>
      <c r="DD119">
        <v>0</v>
      </c>
      <c r="DE119">
        <v>0</v>
      </c>
      <c r="DF119">
        <v>0</v>
      </c>
      <c r="DG119">
        <v>142.91999999999999</v>
      </c>
      <c r="DH119">
        <v>33.229999999999997</v>
      </c>
      <c r="DI119">
        <v>0</v>
      </c>
      <c r="DJ119" t="s">
        <v>2585</v>
      </c>
      <c r="DM119">
        <v>0.54</v>
      </c>
      <c r="DN119">
        <v>8383.2999999999993</v>
      </c>
      <c r="EL119">
        <v>0</v>
      </c>
      <c r="EM119" t="s">
        <v>708</v>
      </c>
    </row>
    <row r="120" spans="1:143" x14ac:dyDescent="0.35">
      <c r="A120" t="s">
        <v>38</v>
      </c>
      <c r="B120" t="s">
        <v>710</v>
      </c>
      <c r="C120" t="s">
        <v>116</v>
      </c>
      <c r="D120" t="s">
        <v>120</v>
      </c>
      <c r="E120">
        <v>140</v>
      </c>
      <c r="G120" t="s">
        <v>2831</v>
      </c>
      <c r="L120" t="s">
        <v>1896</v>
      </c>
      <c r="M120" t="s">
        <v>2629</v>
      </c>
      <c r="N120" t="s">
        <v>1898</v>
      </c>
      <c r="R120" t="s">
        <v>119</v>
      </c>
      <c r="S120" t="s">
        <v>711</v>
      </c>
      <c r="T120" t="s">
        <v>117</v>
      </c>
      <c r="Z120" t="s">
        <v>2853</v>
      </c>
      <c r="AA120" t="s">
        <v>2854</v>
      </c>
      <c r="AB120">
        <v>2</v>
      </c>
      <c r="AC120">
        <v>7</v>
      </c>
      <c r="AE120">
        <v>2011</v>
      </c>
      <c r="AF120" t="s">
        <v>2683</v>
      </c>
      <c r="AG120" t="s">
        <v>2717</v>
      </c>
      <c r="AH120" t="s">
        <v>1929</v>
      </c>
      <c r="AI120">
        <v>587500</v>
      </c>
      <c r="AJ120">
        <v>0</v>
      </c>
      <c r="AL120">
        <v>0</v>
      </c>
      <c r="AS120" t="b">
        <v>0</v>
      </c>
      <c r="AV120" t="s">
        <v>711</v>
      </c>
      <c r="AX120" t="s">
        <v>714</v>
      </c>
      <c r="BD120" t="s">
        <v>2855</v>
      </c>
      <c r="BF120" t="s">
        <v>1906</v>
      </c>
      <c r="BG120" t="s">
        <v>1907</v>
      </c>
      <c r="BI120" t="s">
        <v>711</v>
      </c>
      <c r="BL120" t="s">
        <v>2856</v>
      </c>
      <c r="BM120" t="s">
        <v>712</v>
      </c>
      <c r="BN120" t="s">
        <v>712</v>
      </c>
      <c r="BO120" t="s">
        <v>712</v>
      </c>
      <c r="BP120" t="s">
        <v>2857</v>
      </c>
      <c r="BQ120" t="s">
        <v>2853</v>
      </c>
      <c r="BR120">
        <v>2</v>
      </c>
      <c r="BS120">
        <v>7</v>
      </c>
      <c r="BU120" t="s">
        <v>1908</v>
      </c>
      <c r="BW120" t="s">
        <v>1934</v>
      </c>
      <c r="BX120" t="s">
        <v>1949</v>
      </c>
      <c r="BY120" t="s">
        <v>1911</v>
      </c>
      <c r="BZ120" t="s">
        <v>1910</v>
      </c>
      <c r="CB120" t="s">
        <v>2858</v>
      </c>
      <c r="CC120" t="s">
        <v>1961</v>
      </c>
      <c r="CD120" t="s">
        <v>1962</v>
      </c>
      <c r="CE120">
        <v>70.599999999999994</v>
      </c>
      <c r="CF120">
        <v>47.1</v>
      </c>
      <c r="CG120">
        <v>70.599999999999994</v>
      </c>
      <c r="CH120">
        <v>1010</v>
      </c>
      <c r="CI120">
        <v>43</v>
      </c>
      <c r="CJ120">
        <v>58.1</v>
      </c>
      <c r="CK120">
        <v>79</v>
      </c>
      <c r="CL120">
        <v>72.7</v>
      </c>
      <c r="CM120">
        <v>70.599999999999994</v>
      </c>
      <c r="CN120">
        <v>31680</v>
      </c>
      <c r="CO120">
        <v>5.8</v>
      </c>
      <c r="CP120">
        <v>187</v>
      </c>
      <c r="CQ120">
        <v>27</v>
      </c>
      <c r="CR120">
        <v>0</v>
      </c>
      <c r="CS120">
        <v>0</v>
      </c>
      <c r="CT120" t="s">
        <v>1915</v>
      </c>
      <c r="CU120">
        <v>136</v>
      </c>
      <c r="CV120">
        <v>108</v>
      </c>
      <c r="CW120">
        <v>3</v>
      </c>
      <c r="CX120">
        <v>1.2</v>
      </c>
      <c r="CY120">
        <v>6.3</v>
      </c>
      <c r="CZ120">
        <v>7.5</v>
      </c>
      <c r="DA120">
        <v>1</v>
      </c>
      <c r="DB120">
        <v>1</v>
      </c>
      <c r="DC120">
        <v>0</v>
      </c>
      <c r="DD120">
        <v>0</v>
      </c>
      <c r="DE120">
        <v>0</v>
      </c>
      <c r="DF120">
        <v>0</v>
      </c>
      <c r="DG120">
        <v>101.79</v>
      </c>
      <c r="DH120">
        <v>24.66</v>
      </c>
      <c r="DI120">
        <v>0</v>
      </c>
      <c r="DJ120" t="s">
        <v>2785</v>
      </c>
      <c r="DM120">
        <v>0.65</v>
      </c>
      <c r="DN120">
        <v>6573.8</v>
      </c>
      <c r="EL120">
        <v>0</v>
      </c>
      <c r="EM120" t="s">
        <v>713</v>
      </c>
    </row>
    <row r="121" spans="1:143" x14ac:dyDescent="0.35">
      <c r="A121" t="s">
        <v>38</v>
      </c>
      <c r="B121" t="s">
        <v>715</v>
      </c>
      <c r="C121" t="s">
        <v>116</v>
      </c>
      <c r="D121" t="s">
        <v>120</v>
      </c>
      <c r="E121">
        <v>51</v>
      </c>
      <c r="G121" t="s">
        <v>2859</v>
      </c>
      <c r="L121" t="s">
        <v>1896</v>
      </c>
      <c r="M121" t="s">
        <v>2557</v>
      </c>
      <c r="N121" t="s">
        <v>1898</v>
      </c>
      <c r="R121" t="s">
        <v>119</v>
      </c>
      <c r="S121" t="s">
        <v>716</v>
      </c>
      <c r="T121" t="s">
        <v>117</v>
      </c>
      <c r="Z121" t="s">
        <v>2860</v>
      </c>
      <c r="AA121" t="s">
        <v>2861</v>
      </c>
      <c r="AB121">
        <v>2</v>
      </c>
      <c r="AC121">
        <v>8</v>
      </c>
      <c r="AJ121">
        <v>0</v>
      </c>
      <c r="AL121">
        <v>0</v>
      </c>
      <c r="AS121" t="b">
        <v>0</v>
      </c>
      <c r="AV121" t="s">
        <v>716</v>
      </c>
      <c r="AX121" t="s">
        <v>719</v>
      </c>
      <c r="BD121" t="s">
        <v>2862</v>
      </c>
      <c r="BF121" t="s">
        <v>1906</v>
      </c>
      <c r="BG121" t="s">
        <v>1907</v>
      </c>
      <c r="BI121" t="s">
        <v>716</v>
      </c>
      <c r="BL121" t="s">
        <v>2863</v>
      </c>
      <c r="BM121" t="s">
        <v>717</v>
      </c>
      <c r="BN121" t="s">
        <v>717</v>
      </c>
      <c r="BO121" t="s">
        <v>717</v>
      </c>
      <c r="BP121" t="s">
        <v>2864</v>
      </c>
      <c r="BQ121" t="s">
        <v>2860</v>
      </c>
      <c r="BR121">
        <v>2</v>
      </c>
      <c r="BS121">
        <v>8</v>
      </c>
      <c r="BU121" t="s">
        <v>1908</v>
      </c>
      <c r="BW121" t="s">
        <v>1909</v>
      </c>
      <c r="BX121" t="s">
        <v>1910</v>
      </c>
      <c r="BY121" t="s">
        <v>1911</v>
      </c>
      <c r="BZ121" t="s">
        <v>1910</v>
      </c>
      <c r="CB121" t="s">
        <v>2865</v>
      </c>
      <c r="CC121" t="s">
        <v>1996</v>
      </c>
      <c r="CD121" t="s">
        <v>1997</v>
      </c>
      <c r="CE121">
        <v>74.400000000000006</v>
      </c>
      <c r="CF121">
        <v>40</v>
      </c>
      <c r="CG121">
        <v>75.3</v>
      </c>
      <c r="CH121">
        <v>1008</v>
      </c>
      <c r="CI121">
        <v>30</v>
      </c>
      <c r="CJ121">
        <v>54.1</v>
      </c>
      <c r="CK121">
        <v>78.599999999999994</v>
      </c>
      <c r="CL121">
        <v>75.3</v>
      </c>
      <c r="CM121">
        <v>74.400000000000006</v>
      </c>
      <c r="CN121">
        <v>31680</v>
      </c>
      <c r="CO121">
        <v>6.3</v>
      </c>
      <c r="CP121">
        <v>280</v>
      </c>
      <c r="CQ121">
        <v>4</v>
      </c>
      <c r="CR121">
        <v>0</v>
      </c>
      <c r="CS121">
        <v>0</v>
      </c>
      <c r="CT121" t="s">
        <v>1915</v>
      </c>
      <c r="CU121">
        <v>117</v>
      </c>
      <c r="CV121">
        <v>90</v>
      </c>
      <c r="CW121">
        <v>1.9</v>
      </c>
      <c r="CX121">
        <v>0.6</v>
      </c>
      <c r="CY121">
        <v>2.7</v>
      </c>
      <c r="CZ121">
        <v>3.1</v>
      </c>
      <c r="DA121">
        <v>1</v>
      </c>
      <c r="DB121">
        <v>1</v>
      </c>
      <c r="DC121">
        <v>0</v>
      </c>
      <c r="DD121">
        <v>0</v>
      </c>
      <c r="DE121">
        <v>0</v>
      </c>
      <c r="DF121">
        <v>0</v>
      </c>
      <c r="DG121">
        <v>250.23</v>
      </c>
      <c r="DH121">
        <v>46.93</v>
      </c>
      <c r="DI121">
        <v>0</v>
      </c>
      <c r="DJ121" t="s">
        <v>2605</v>
      </c>
      <c r="DM121">
        <v>0.49</v>
      </c>
      <c r="DN121">
        <v>8283.7000000000007</v>
      </c>
      <c r="EL121">
        <v>0</v>
      </c>
      <c r="EM121" t="s">
        <v>718</v>
      </c>
    </row>
    <row r="122" spans="1:143" x14ac:dyDescent="0.35">
      <c r="A122" t="s">
        <v>38</v>
      </c>
      <c r="B122" t="s">
        <v>720</v>
      </c>
      <c r="C122" t="s">
        <v>116</v>
      </c>
      <c r="D122" t="s">
        <v>120</v>
      </c>
      <c r="E122">
        <v>560</v>
      </c>
      <c r="G122" t="s">
        <v>2691</v>
      </c>
      <c r="L122" t="s">
        <v>1896</v>
      </c>
      <c r="M122" t="s">
        <v>2680</v>
      </c>
      <c r="N122" t="s">
        <v>1898</v>
      </c>
      <c r="R122" t="s">
        <v>119</v>
      </c>
      <c r="S122" t="s">
        <v>721</v>
      </c>
      <c r="T122" t="s">
        <v>117</v>
      </c>
      <c r="Z122" t="s">
        <v>2728</v>
      </c>
      <c r="AA122" t="s">
        <v>2729</v>
      </c>
      <c r="AB122">
        <v>1</v>
      </c>
      <c r="AC122">
        <v>4</v>
      </c>
      <c r="AE122">
        <v>1970</v>
      </c>
      <c r="AF122" t="s">
        <v>2580</v>
      </c>
      <c r="AG122" t="s">
        <v>2866</v>
      </c>
      <c r="AH122" t="s">
        <v>1903</v>
      </c>
      <c r="AI122">
        <v>926400</v>
      </c>
      <c r="AJ122">
        <v>0</v>
      </c>
      <c r="AL122">
        <v>0</v>
      </c>
      <c r="AS122" t="b">
        <v>0</v>
      </c>
      <c r="AV122" t="s">
        <v>721</v>
      </c>
      <c r="AX122" t="s">
        <v>724</v>
      </c>
      <c r="BD122" t="s">
        <v>2867</v>
      </c>
      <c r="BF122" t="s">
        <v>1906</v>
      </c>
      <c r="BG122" t="s">
        <v>1907</v>
      </c>
      <c r="BI122" t="s">
        <v>721</v>
      </c>
      <c r="BL122" t="s">
        <v>2868</v>
      </c>
      <c r="BM122" t="s">
        <v>722</v>
      </c>
      <c r="BN122" t="s">
        <v>722</v>
      </c>
      <c r="BO122" t="s">
        <v>722</v>
      </c>
      <c r="BP122" t="s">
        <v>2869</v>
      </c>
      <c r="BQ122" t="s">
        <v>2728</v>
      </c>
      <c r="BR122">
        <v>1</v>
      </c>
      <c r="BS122">
        <v>4</v>
      </c>
      <c r="BU122" t="s">
        <v>1908</v>
      </c>
      <c r="BW122" t="s">
        <v>2128</v>
      </c>
      <c r="BX122" t="s">
        <v>1910</v>
      </c>
      <c r="BY122" t="s">
        <v>1911</v>
      </c>
      <c r="BZ122" t="s">
        <v>1910</v>
      </c>
      <c r="CB122" t="s">
        <v>2870</v>
      </c>
      <c r="CC122" t="s">
        <v>1996</v>
      </c>
      <c r="CD122" t="s">
        <v>1997</v>
      </c>
      <c r="CE122">
        <v>74</v>
      </c>
      <c r="CF122">
        <v>46.1</v>
      </c>
      <c r="CG122">
        <v>75.7</v>
      </c>
      <c r="CH122">
        <v>1008</v>
      </c>
      <c r="CI122">
        <v>35</v>
      </c>
      <c r="CJ122">
        <v>54.9</v>
      </c>
      <c r="CK122">
        <v>77.2</v>
      </c>
      <c r="CL122">
        <v>75.7</v>
      </c>
      <c r="CM122">
        <v>74</v>
      </c>
      <c r="CN122">
        <v>31680</v>
      </c>
      <c r="CO122">
        <v>6.9</v>
      </c>
      <c r="CP122">
        <v>279</v>
      </c>
      <c r="CQ122">
        <v>2</v>
      </c>
      <c r="CR122">
        <v>0</v>
      </c>
      <c r="CS122">
        <v>0</v>
      </c>
      <c r="CT122" t="s">
        <v>1915</v>
      </c>
      <c r="CU122">
        <v>112</v>
      </c>
      <c r="CV122">
        <v>89</v>
      </c>
      <c r="CW122">
        <v>0.6</v>
      </c>
      <c r="CX122">
        <v>0.4</v>
      </c>
      <c r="CY122">
        <v>1.4</v>
      </c>
      <c r="CZ122">
        <v>1.8</v>
      </c>
      <c r="DA122">
        <v>1</v>
      </c>
      <c r="DB122">
        <v>1</v>
      </c>
      <c r="DC122">
        <v>0</v>
      </c>
      <c r="DD122">
        <v>0</v>
      </c>
      <c r="DE122">
        <v>0</v>
      </c>
      <c r="DF122">
        <v>0</v>
      </c>
      <c r="DG122">
        <v>177.95</v>
      </c>
      <c r="DH122">
        <v>41.47</v>
      </c>
      <c r="DI122">
        <v>0</v>
      </c>
      <c r="DJ122" t="s">
        <v>2871</v>
      </c>
      <c r="DM122">
        <v>1.05</v>
      </c>
      <c r="DN122">
        <v>5706.7</v>
      </c>
      <c r="EL122">
        <v>0</v>
      </c>
      <c r="EM122" t="s">
        <v>723</v>
      </c>
    </row>
    <row r="123" spans="1:143" x14ac:dyDescent="0.35">
      <c r="A123" t="s">
        <v>38</v>
      </c>
      <c r="B123" t="s">
        <v>725</v>
      </c>
      <c r="C123" t="s">
        <v>116</v>
      </c>
      <c r="D123" t="s">
        <v>120</v>
      </c>
      <c r="G123" t="s">
        <v>2872</v>
      </c>
      <c r="L123" t="s">
        <v>1896</v>
      </c>
      <c r="M123" t="s">
        <v>2680</v>
      </c>
      <c r="R123" t="s">
        <v>119</v>
      </c>
      <c r="S123" t="s">
        <v>726</v>
      </c>
      <c r="T123" t="s">
        <v>117</v>
      </c>
      <c r="AB123">
        <v>0</v>
      </c>
      <c r="AC123">
        <v>0</v>
      </c>
      <c r="AE123">
        <v>1971</v>
      </c>
      <c r="AF123" t="s">
        <v>2683</v>
      </c>
      <c r="AG123" t="s">
        <v>2426</v>
      </c>
      <c r="AH123" t="s">
        <v>1903</v>
      </c>
      <c r="AI123">
        <v>22519200</v>
      </c>
      <c r="AJ123">
        <v>0</v>
      </c>
      <c r="AL123">
        <v>0</v>
      </c>
      <c r="AS123" t="b">
        <v>0</v>
      </c>
      <c r="AV123" t="s">
        <v>726</v>
      </c>
      <c r="AX123" t="s">
        <v>729</v>
      </c>
      <c r="BD123" t="s">
        <v>2873</v>
      </c>
      <c r="BF123" t="s">
        <v>1906</v>
      </c>
      <c r="BG123" t="s">
        <v>2702</v>
      </c>
      <c r="BI123" t="s">
        <v>726</v>
      </c>
      <c r="BM123" t="s">
        <v>727</v>
      </c>
      <c r="BN123" t="s">
        <v>727</v>
      </c>
      <c r="BO123" t="s">
        <v>727</v>
      </c>
      <c r="BP123" t="s">
        <v>2874</v>
      </c>
      <c r="BR123">
        <v>0</v>
      </c>
      <c r="BS123">
        <v>0</v>
      </c>
      <c r="BU123" t="s">
        <v>1908</v>
      </c>
      <c r="BW123" t="s">
        <v>1909</v>
      </c>
      <c r="BX123" t="s">
        <v>1949</v>
      </c>
      <c r="BY123" t="s">
        <v>1911</v>
      </c>
      <c r="BZ123" t="s">
        <v>1910</v>
      </c>
      <c r="CB123" t="s">
        <v>2875</v>
      </c>
      <c r="CC123" t="s">
        <v>1996</v>
      </c>
      <c r="CD123" t="s">
        <v>1997</v>
      </c>
      <c r="CE123">
        <v>70.5</v>
      </c>
      <c r="CF123">
        <v>41.2</v>
      </c>
      <c r="CG123">
        <v>70.400000000000006</v>
      </c>
      <c r="CH123">
        <v>1009</v>
      </c>
      <c r="CI123">
        <v>34</v>
      </c>
      <c r="CJ123">
        <v>54.3</v>
      </c>
      <c r="CK123">
        <v>75.400000000000006</v>
      </c>
      <c r="CL123">
        <v>72.2</v>
      </c>
      <c r="CM123">
        <v>70.400000000000006</v>
      </c>
      <c r="CN123">
        <v>31680</v>
      </c>
      <c r="CO123">
        <v>6.7</v>
      </c>
      <c r="CP123">
        <v>294</v>
      </c>
      <c r="CQ123">
        <v>9</v>
      </c>
      <c r="CR123">
        <v>0</v>
      </c>
      <c r="CS123">
        <v>0</v>
      </c>
      <c r="CT123" t="s">
        <v>1915</v>
      </c>
      <c r="CU123">
        <v>111</v>
      </c>
      <c r="CV123">
        <v>73</v>
      </c>
      <c r="CW123">
        <v>0.6</v>
      </c>
      <c r="CX123">
        <v>0.2</v>
      </c>
      <c r="CY123">
        <v>1.2</v>
      </c>
      <c r="CZ123">
        <v>1.3</v>
      </c>
      <c r="DA123">
        <v>1</v>
      </c>
      <c r="DB123">
        <v>1</v>
      </c>
      <c r="DC123">
        <v>0</v>
      </c>
      <c r="DD123">
        <v>0</v>
      </c>
      <c r="DE123">
        <v>0</v>
      </c>
      <c r="DF123">
        <v>0</v>
      </c>
      <c r="DG123">
        <v>151.94999999999999</v>
      </c>
      <c r="DH123">
        <v>31.71</v>
      </c>
      <c r="DI123">
        <v>0</v>
      </c>
      <c r="DJ123" t="s">
        <v>2688</v>
      </c>
      <c r="DM123">
        <v>2.44</v>
      </c>
      <c r="DN123">
        <v>1782</v>
      </c>
      <c r="EL123">
        <v>0</v>
      </c>
      <c r="EM123" t="s">
        <v>728</v>
      </c>
    </row>
    <row r="124" spans="1:143" x14ac:dyDescent="0.35">
      <c r="A124" t="s">
        <v>38</v>
      </c>
      <c r="B124" t="s">
        <v>730</v>
      </c>
      <c r="C124" t="s">
        <v>116</v>
      </c>
      <c r="D124" t="s">
        <v>120</v>
      </c>
      <c r="G124" t="s">
        <v>2876</v>
      </c>
      <c r="L124" t="s">
        <v>1896</v>
      </c>
      <c r="M124" t="s">
        <v>2680</v>
      </c>
      <c r="R124" t="s">
        <v>119</v>
      </c>
      <c r="S124" t="s">
        <v>731</v>
      </c>
      <c r="T124" t="s">
        <v>117</v>
      </c>
      <c r="Z124" t="s">
        <v>2681</v>
      </c>
      <c r="AA124" t="s">
        <v>2682</v>
      </c>
      <c r="AB124">
        <v>1</v>
      </c>
      <c r="AC124">
        <v>4</v>
      </c>
      <c r="AJ124">
        <v>0</v>
      </c>
      <c r="AL124">
        <v>0</v>
      </c>
      <c r="AS124" t="b">
        <v>0</v>
      </c>
      <c r="AV124" t="s">
        <v>731</v>
      </c>
      <c r="AX124" t="s">
        <v>734</v>
      </c>
      <c r="BD124" t="s">
        <v>2877</v>
      </c>
      <c r="BF124" t="s">
        <v>1906</v>
      </c>
      <c r="BG124" t="s">
        <v>2878</v>
      </c>
      <c r="BI124" t="s">
        <v>731</v>
      </c>
      <c r="BL124" t="s">
        <v>2879</v>
      </c>
      <c r="BM124" t="s">
        <v>732</v>
      </c>
      <c r="BN124" t="s">
        <v>732</v>
      </c>
      <c r="BO124" t="s">
        <v>732</v>
      </c>
      <c r="BP124" t="s">
        <v>2880</v>
      </c>
      <c r="BQ124" t="s">
        <v>2681</v>
      </c>
      <c r="BR124">
        <v>1</v>
      </c>
      <c r="BS124">
        <v>4</v>
      </c>
      <c r="BU124" t="s">
        <v>1908</v>
      </c>
      <c r="BW124" t="s">
        <v>1934</v>
      </c>
      <c r="BX124" t="s">
        <v>1949</v>
      </c>
      <c r="BY124" t="s">
        <v>1911</v>
      </c>
      <c r="BZ124" t="s">
        <v>1910</v>
      </c>
      <c r="CB124" t="s">
        <v>2875</v>
      </c>
      <c r="CC124" t="s">
        <v>1996</v>
      </c>
      <c r="CD124" t="s">
        <v>1997</v>
      </c>
      <c r="CE124">
        <v>70.5</v>
      </c>
      <c r="CF124">
        <v>41.2</v>
      </c>
      <c r="CG124">
        <v>70.400000000000006</v>
      </c>
      <c r="CH124">
        <v>1009</v>
      </c>
      <c r="CI124">
        <v>34</v>
      </c>
      <c r="CJ124">
        <v>54.3</v>
      </c>
      <c r="CK124">
        <v>75.400000000000006</v>
      </c>
      <c r="CL124">
        <v>72.2</v>
      </c>
      <c r="CM124">
        <v>70.400000000000006</v>
      </c>
      <c r="CN124">
        <v>31680</v>
      </c>
      <c r="CO124">
        <v>6.7</v>
      </c>
      <c r="CP124">
        <v>294</v>
      </c>
      <c r="CQ124">
        <v>9</v>
      </c>
      <c r="CR124">
        <v>0</v>
      </c>
      <c r="CS124">
        <v>0</v>
      </c>
      <c r="CT124" t="s">
        <v>1915</v>
      </c>
      <c r="CU124">
        <v>111</v>
      </c>
      <c r="CV124">
        <v>73</v>
      </c>
      <c r="CW124">
        <v>0.6</v>
      </c>
      <c r="CX124">
        <v>0.2</v>
      </c>
      <c r="CY124">
        <v>1.2</v>
      </c>
      <c r="CZ124">
        <v>1.3</v>
      </c>
      <c r="DA124">
        <v>1</v>
      </c>
      <c r="DB124">
        <v>1</v>
      </c>
      <c r="DC124">
        <v>0</v>
      </c>
      <c r="DD124">
        <v>0</v>
      </c>
      <c r="DE124">
        <v>0</v>
      </c>
      <c r="DF124">
        <v>0</v>
      </c>
      <c r="DG124">
        <v>145.61000000000001</v>
      </c>
      <c r="DH124">
        <v>32.92</v>
      </c>
      <c r="DI124">
        <v>0</v>
      </c>
      <c r="DJ124" t="s">
        <v>2688</v>
      </c>
      <c r="DM124">
        <v>2.44</v>
      </c>
      <c r="DN124">
        <v>1782</v>
      </c>
      <c r="EL124">
        <v>0</v>
      </c>
      <c r="EM124" t="s">
        <v>733</v>
      </c>
    </row>
    <row r="125" spans="1:143" x14ac:dyDescent="0.35">
      <c r="A125" t="s">
        <v>38</v>
      </c>
      <c r="B125" t="s">
        <v>735</v>
      </c>
      <c r="C125" t="s">
        <v>116</v>
      </c>
      <c r="D125" t="s">
        <v>120</v>
      </c>
      <c r="G125" t="s">
        <v>2881</v>
      </c>
      <c r="L125" t="s">
        <v>1896</v>
      </c>
      <c r="M125" t="s">
        <v>2578</v>
      </c>
      <c r="R125" t="s">
        <v>119</v>
      </c>
      <c r="S125" t="s">
        <v>736</v>
      </c>
      <c r="T125" t="s">
        <v>117</v>
      </c>
      <c r="Z125" t="s">
        <v>2588</v>
      </c>
      <c r="AA125" t="s">
        <v>2589</v>
      </c>
      <c r="AB125">
        <v>1</v>
      </c>
      <c r="AC125">
        <v>4</v>
      </c>
      <c r="AJ125">
        <v>0</v>
      </c>
      <c r="AL125">
        <v>0</v>
      </c>
      <c r="AS125" t="b">
        <v>0</v>
      </c>
      <c r="AV125" t="s">
        <v>736</v>
      </c>
      <c r="AX125" t="s">
        <v>739</v>
      </c>
      <c r="BD125" t="s">
        <v>2882</v>
      </c>
      <c r="BF125" t="s">
        <v>1906</v>
      </c>
      <c r="BG125" t="s">
        <v>1907</v>
      </c>
      <c r="BI125" t="s">
        <v>736</v>
      </c>
      <c r="BL125" t="s">
        <v>2883</v>
      </c>
      <c r="BM125" t="s">
        <v>737</v>
      </c>
      <c r="BN125" t="s">
        <v>737</v>
      </c>
      <c r="BO125" t="s">
        <v>737</v>
      </c>
      <c r="BP125" t="s">
        <v>2884</v>
      </c>
      <c r="BQ125" t="s">
        <v>2588</v>
      </c>
      <c r="BR125">
        <v>1</v>
      </c>
      <c r="BS125">
        <v>4</v>
      </c>
      <c r="BU125" t="s">
        <v>1908</v>
      </c>
      <c r="BW125" t="s">
        <v>1909</v>
      </c>
      <c r="BX125" t="s">
        <v>1949</v>
      </c>
      <c r="BY125" t="s">
        <v>1911</v>
      </c>
      <c r="BZ125" t="s">
        <v>1910</v>
      </c>
      <c r="CB125" t="s">
        <v>2885</v>
      </c>
      <c r="CC125" t="s">
        <v>1996</v>
      </c>
      <c r="CD125" t="s">
        <v>2414</v>
      </c>
      <c r="CE125">
        <v>58.9</v>
      </c>
      <c r="CF125">
        <v>46.5</v>
      </c>
      <c r="CG125">
        <v>58.4</v>
      </c>
      <c r="CH125">
        <v>1008</v>
      </c>
      <c r="CI125">
        <v>63</v>
      </c>
      <c r="CJ125">
        <v>58.9</v>
      </c>
      <c r="CK125">
        <v>78.900000000000006</v>
      </c>
      <c r="CL125">
        <v>58.9</v>
      </c>
      <c r="CM125">
        <v>58.4</v>
      </c>
      <c r="CN125">
        <v>31680</v>
      </c>
      <c r="CO125">
        <v>6.5</v>
      </c>
      <c r="CP125">
        <v>303</v>
      </c>
      <c r="CQ125">
        <v>16</v>
      </c>
      <c r="CR125">
        <v>0</v>
      </c>
      <c r="CS125">
        <v>0</v>
      </c>
      <c r="CT125" t="s">
        <v>2415</v>
      </c>
      <c r="CU125">
        <v>115</v>
      </c>
      <c r="CV125">
        <v>50</v>
      </c>
      <c r="CW125">
        <v>3.2</v>
      </c>
      <c r="CX125">
        <v>0.2</v>
      </c>
      <c r="CY125">
        <v>1</v>
      </c>
      <c r="CZ125">
        <v>1</v>
      </c>
      <c r="DA125">
        <v>1</v>
      </c>
      <c r="DB125">
        <v>1</v>
      </c>
      <c r="DC125">
        <v>0</v>
      </c>
      <c r="DD125">
        <v>0</v>
      </c>
      <c r="DE125">
        <v>0</v>
      </c>
      <c r="DF125">
        <v>0</v>
      </c>
      <c r="DG125">
        <v>20.76</v>
      </c>
      <c r="DH125">
        <v>4.43</v>
      </c>
      <c r="DI125">
        <v>0</v>
      </c>
      <c r="DJ125" t="s">
        <v>2595</v>
      </c>
      <c r="DM125">
        <v>0.31</v>
      </c>
      <c r="DN125">
        <v>8032.3</v>
      </c>
      <c r="EL125">
        <v>0</v>
      </c>
      <c r="EM125" t="s">
        <v>738</v>
      </c>
    </row>
    <row r="126" spans="1:143" x14ac:dyDescent="0.35">
      <c r="A126" t="s">
        <v>38</v>
      </c>
      <c r="B126" t="s">
        <v>740</v>
      </c>
      <c r="C126" t="s">
        <v>116</v>
      </c>
      <c r="D126" t="s">
        <v>120</v>
      </c>
      <c r="E126">
        <v>50</v>
      </c>
      <c r="G126" t="s">
        <v>2628</v>
      </c>
      <c r="L126" t="s">
        <v>1896</v>
      </c>
      <c r="M126" t="s">
        <v>2629</v>
      </c>
      <c r="N126" t="s">
        <v>1898</v>
      </c>
      <c r="R126" t="s">
        <v>119</v>
      </c>
      <c r="S126" t="s">
        <v>741</v>
      </c>
      <c r="T126" t="s">
        <v>117</v>
      </c>
      <c r="Z126" t="s">
        <v>2886</v>
      </c>
      <c r="AA126" t="s">
        <v>2887</v>
      </c>
      <c r="AB126">
        <v>2</v>
      </c>
      <c r="AC126">
        <v>8</v>
      </c>
      <c r="AE126">
        <v>2003</v>
      </c>
      <c r="AF126" t="s">
        <v>2630</v>
      </c>
      <c r="AG126" t="s">
        <v>2631</v>
      </c>
      <c r="AH126" t="s">
        <v>1903</v>
      </c>
      <c r="AI126">
        <v>4787400</v>
      </c>
      <c r="AJ126">
        <v>0</v>
      </c>
      <c r="AL126">
        <v>0</v>
      </c>
      <c r="AS126" t="b">
        <v>0</v>
      </c>
      <c r="AV126" t="s">
        <v>741</v>
      </c>
      <c r="AX126" t="s">
        <v>744</v>
      </c>
      <c r="BD126" t="s">
        <v>2888</v>
      </c>
      <c r="BF126" t="s">
        <v>1906</v>
      </c>
      <c r="BG126" t="s">
        <v>1907</v>
      </c>
      <c r="BI126" t="s">
        <v>741</v>
      </c>
      <c r="BL126" t="s">
        <v>2889</v>
      </c>
      <c r="BM126" t="s">
        <v>742</v>
      </c>
      <c r="BN126" t="s">
        <v>742</v>
      </c>
      <c r="BO126" t="s">
        <v>742</v>
      </c>
      <c r="BP126" t="s">
        <v>2890</v>
      </c>
      <c r="BQ126" t="s">
        <v>2886</v>
      </c>
      <c r="BR126">
        <v>2</v>
      </c>
      <c r="BS126">
        <v>8</v>
      </c>
      <c r="BU126" t="s">
        <v>1908</v>
      </c>
      <c r="BW126" t="s">
        <v>1934</v>
      </c>
      <c r="BX126" t="s">
        <v>1949</v>
      </c>
      <c r="BY126" t="s">
        <v>1911</v>
      </c>
      <c r="BZ126" t="s">
        <v>1910</v>
      </c>
      <c r="CB126" t="s">
        <v>2891</v>
      </c>
      <c r="CC126" t="s">
        <v>1996</v>
      </c>
      <c r="CD126" t="s">
        <v>1997</v>
      </c>
      <c r="CE126">
        <v>79.2</v>
      </c>
      <c r="CF126">
        <v>54.9</v>
      </c>
      <c r="CG126">
        <v>79.2</v>
      </c>
      <c r="CH126">
        <v>1010</v>
      </c>
      <c r="CI126">
        <v>43</v>
      </c>
      <c r="CJ126">
        <v>63.2</v>
      </c>
      <c r="CK126">
        <v>87.1</v>
      </c>
      <c r="CL126">
        <v>79.2</v>
      </c>
      <c r="CM126">
        <v>79.2</v>
      </c>
      <c r="CN126">
        <v>31680</v>
      </c>
      <c r="CO126">
        <v>8.9</v>
      </c>
      <c r="CP126">
        <v>212</v>
      </c>
      <c r="CQ126">
        <v>17</v>
      </c>
      <c r="CR126">
        <v>0</v>
      </c>
      <c r="CS126">
        <v>0</v>
      </c>
      <c r="CT126" t="s">
        <v>1915</v>
      </c>
      <c r="CU126">
        <v>127</v>
      </c>
      <c r="CV126">
        <v>106</v>
      </c>
      <c r="CW126">
        <v>1.5</v>
      </c>
      <c r="CX126">
        <v>0.5</v>
      </c>
      <c r="CY126">
        <v>6.4</v>
      </c>
      <c r="CZ126">
        <v>7.2</v>
      </c>
      <c r="DA126">
        <v>1</v>
      </c>
      <c r="DB126">
        <v>1</v>
      </c>
      <c r="DC126">
        <v>0</v>
      </c>
      <c r="DD126">
        <v>0</v>
      </c>
      <c r="DE126">
        <v>0</v>
      </c>
      <c r="DF126">
        <v>0</v>
      </c>
      <c r="DG126">
        <v>29.96</v>
      </c>
      <c r="DH126">
        <v>6.62</v>
      </c>
      <c r="DI126">
        <v>0</v>
      </c>
      <c r="DJ126" t="s">
        <v>2636</v>
      </c>
      <c r="DM126">
        <v>0.16</v>
      </c>
      <c r="DN126">
        <v>15818.8</v>
      </c>
      <c r="EL126">
        <v>0</v>
      </c>
      <c r="EM126" t="s">
        <v>743</v>
      </c>
    </row>
    <row r="127" spans="1:143" x14ac:dyDescent="0.35">
      <c r="A127" t="s">
        <v>38</v>
      </c>
      <c r="B127" t="s">
        <v>745</v>
      </c>
      <c r="C127" t="s">
        <v>116</v>
      </c>
      <c r="D127" t="s">
        <v>120</v>
      </c>
      <c r="G127" t="s">
        <v>2614</v>
      </c>
      <c r="L127" t="s">
        <v>1896</v>
      </c>
      <c r="M127" t="s">
        <v>2557</v>
      </c>
      <c r="R127" t="s">
        <v>119</v>
      </c>
      <c r="S127" t="s">
        <v>746</v>
      </c>
      <c r="T127" t="s">
        <v>117</v>
      </c>
      <c r="Z127" t="s">
        <v>2558</v>
      </c>
      <c r="AA127" t="s">
        <v>2559</v>
      </c>
      <c r="AB127">
        <v>1</v>
      </c>
      <c r="AC127">
        <v>4</v>
      </c>
      <c r="AJ127">
        <v>0</v>
      </c>
      <c r="AL127">
        <v>0</v>
      </c>
      <c r="AS127" t="b">
        <v>0</v>
      </c>
      <c r="AV127" t="s">
        <v>746</v>
      </c>
      <c r="AX127" t="s">
        <v>749</v>
      </c>
      <c r="BD127" t="s">
        <v>2892</v>
      </c>
      <c r="BF127" t="s">
        <v>1906</v>
      </c>
      <c r="BG127" t="s">
        <v>1989</v>
      </c>
      <c r="BI127" t="s">
        <v>746</v>
      </c>
      <c r="BL127" t="s">
        <v>2893</v>
      </c>
      <c r="BM127" t="s">
        <v>747</v>
      </c>
      <c r="BN127" t="s">
        <v>747</v>
      </c>
      <c r="BO127" t="s">
        <v>747</v>
      </c>
      <c r="BP127" t="s">
        <v>2894</v>
      </c>
      <c r="BQ127" t="s">
        <v>2558</v>
      </c>
      <c r="BR127">
        <v>1</v>
      </c>
      <c r="BS127">
        <v>4</v>
      </c>
      <c r="BU127" t="s">
        <v>1908</v>
      </c>
      <c r="BW127" t="s">
        <v>1934</v>
      </c>
      <c r="BX127" t="s">
        <v>1949</v>
      </c>
      <c r="BY127" t="s">
        <v>1911</v>
      </c>
      <c r="BZ127" t="s">
        <v>1910</v>
      </c>
      <c r="CB127" t="s">
        <v>2895</v>
      </c>
      <c r="CC127" t="s">
        <v>1996</v>
      </c>
      <c r="CD127" t="s">
        <v>1997</v>
      </c>
      <c r="CE127">
        <v>83.9</v>
      </c>
      <c r="CF127">
        <v>48</v>
      </c>
      <c r="CG127">
        <v>81.900000000000006</v>
      </c>
      <c r="CH127">
        <v>1009</v>
      </c>
      <c r="CI127">
        <v>28</v>
      </c>
      <c r="CJ127">
        <v>64.900000000000006</v>
      </c>
      <c r="CK127">
        <v>84.8</v>
      </c>
      <c r="CL127">
        <v>81.900000000000006</v>
      </c>
      <c r="CM127">
        <v>83.9</v>
      </c>
      <c r="CN127">
        <v>31680</v>
      </c>
      <c r="CO127">
        <v>9.1999999999999993</v>
      </c>
      <c r="CP127">
        <v>302</v>
      </c>
      <c r="CQ127">
        <v>6</v>
      </c>
      <c r="CR127">
        <v>0</v>
      </c>
      <c r="CS127">
        <v>0</v>
      </c>
      <c r="CT127" t="s">
        <v>1915</v>
      </c>
      <c r="CU127">
        <v>112</v>
      </c>
      <c r="CV127">
        <v>97</v>
      </c>
      <c r="CW127">
        <v>0.5</v>
      </c>
      <c r="CX127">
        <v>0.3</v>
      </c>
      <c r="CY127">
        <v>2.8</v>
      </c>
      <c r="CZ127">
        <v>3.6</v>
      </c>
      <c r="DA127">
        <v>1</v>
      </c>
      <c r="DB127">
        <v>1</v>
      </c>
      <c r="DC127">
        <v>0</v>
      </c>
      <c r="DD127">
        <v>0</v>
      </c>
      <c r="DE127">
        <v>0</v>
      </c>
      <c r="DF127">
        <v>0</v>
      </c>
      <c r="DG127">
        <v>209.2</v>
      </c>
      <c r="DH127">
        <v>37.700000000000003</v>
      </c>
      <c r="DI127">
        <v>0</v>
      </c>
      <c r="DJ127" t="s">
        <v>2562</v>
      </c>
      <c r="DM127">
        <v>0.21</v>
      </c>
      <c r="DN127">
        <v>19609.5</v>
      </c>
      <c r="EL127">
        <v>0</v>
      </c>
      <c r="EM127" t="s">
        <v>748</v>
      </c>
    </row>
    <row r="128" spans="1:143" x14ac:dyDescent="0.35">
      <c r="A128" t="s">
        <v>38</v>
      </c>
      <c r="B128" t="s">
        <v>750</v>
      </c>
      <c r="C128" t="s">
        <v>116</v>
      </c>
      <c r="D128" t="s">
        <v>120</v>
      </c>
      <c r="E128">
        <v>78</v>
      </c>
      <c r="G128" t="s">
        <v>2896</v>
      </c>
      <c r="L128" t="s">
        <v>1896</v>
      </c>
      <c r="M128" t="s">
        <v>2680</v>
      </c>
      <c r="N128" t="s">
        <v>1898</v>
      </c>
      <c r="R128" t="s">
        <v>119</v>
      </c>
      <c r="S128" t="s">
        <v>751</v>
      </c>
      <c r="T128" t="s">
        <v>117</v>
      </c>
      <c r="AB128">
        <v>0</v>
      </c>
      <c r="AC128">
        <v>0</v>
      </c>
      <c r="AE128">
        <v>1890</v>
      </c>
      <c r="AF128" t="s">
        <v>2641</v>
      </c>
      <c r="AG128" t="s">
        <v>2897</v>
      </c>
      <c r="AH128" t="s">
        <v>1903</v>
      </c>
      <c r="AI128">
        <v>282900</v>
      </c>
      <c r="AJ128">
        <v>0</v>
      </c>
      <c r="AL128">
        <v>0</v>
      </c>
      <c r="AS128" t="b">
        <v>0</v>
      </c>
      <c r="AV128" t="s">
        <v>751</v>
      </c>
      <c r="AX128" t="s">
        <v>754</v>
      </c>
      <c r="BD128" t="s">
        <v>2898</v>
      </c>
      <c r="BF128" t="s">
        <v>1906</v>
      </c>
      <c r="BG128" t="s">
        <v>2702</v>
      </c>
      <c r="BI128" t="s">
        <v>751</v>
      </c>
      <c r="BM128" t="s">
        <v>752</v>
      </c>
      <c r="BN128" t="s">
        <v>752</v>
      </c>
      <c r="BO128" t="s">
        <v>752</v>
      </c>
      <c r="BP128" t="s">
        <v>2899</v>
      </c>
      <c r="BR128">
        <v>0</v>
      </c>
      <c r="BS128">
        <v>0</v>
      </c>
      <c r="BU128" t="s">
        <v>1908</v>
      </c>
      <c r="BW128" t="s">
        <v>1934</v>
      </c>
      <c r="BX128" t="s">
        <v>2084</v>
      </c>
      <c r="BY128" t="s">
        <v>1911</v>
      </c>
      <c r="BZ128" t="s">
        <v>1910</v>
      </c>
      <c r="CB128" t="s">
        <v>2900</v>
      </c>
      <c r="CC128" t="s">
        <v>1996</v>
      </c>
      <c r="CD128" t="s">
        <v>1997</v>
      </c>
      <c r="CE128">
        <v>87.1</v>
      </c>
      <c r="CF128">
        <v>61.8</v>
      </c>
      <c r="CG128">
        <v>88.9</v>
      </c>
      <c r="CH128">
        <v>1005</v>
      </c>
      <c r="CI128">
        <v>43</v>
      </c>
      <c r="CJ128">
        <v>68.099999999999994</v>
      </c>
      <c r="CK128">
        <v>89.6</v>
      </c>
      <c r="CL128">
        <v>88.9</v>
      </c>
      <c r="CM128">
        <v>87.1</v>
      </c>
      <c r="CN128">
        <v>31680</v>
      </c>
      <c r="CO128">
        <v>9.6</v>
      </c>
      <c r="CP128">
        <v>299</v>
      </c>
      <c r="CQ128">
        <v>6</v>
      </c>
      <c r="CR128">
        <v>0</v>
      </c>
      <c r="CS128">
        <v>0</v>
      </c>
      <c r="CT128" t="s">
        <v>1915</v>
      </c>
      <c r="CU128">
        <v>131</v>
      </c>
      <c r="CV128">
        <v>100</v>
      </c>
      <c r="CW128">
        <v>0.7</v>
      </c>
      <c r="CX128">
        <v>0.6</v>
      </c>
      <c r="CY128">
        <v>4</v>
      </c>
      <c r="CZ128">
        <v>4.4000000000000004</v>
      </c>
      <c r="DA128">
        <v>1</v>
      </c>
      <c r="DB128">
        <v>1</v>
      </c>
      <c r="DC128">
        <v>0</v>
      </c>
      <c r="DD128">
        <v>0</v>
      </c>
      <c r="DE128">
        <v>0</v>
      </c>
      <c r="DF128">
        <v>1.68</v>
      </c>
      <c r="DG128">
        <v>162.47999999999999</v>
      </c>
      <c r="DH128">
        <v>26.41</v>
      </c>
      <c r="DI128">
        <v>0</v>
      </c>
      <c r="DJ128" t="s">
        <v>2871</v>
      </c>
      <c r="DM128">
        <v>1.05</v>
      </c>
      <c r="DN128">
        <v>5706.7</v>
      </c>
      <c r="EL128">
        <v>0</v>
      </c>
      <c r="EM128" t="s">
        <v>753</v>
      </c>
    </row>
    <row r="129" spans="1:143" x14ac:dyDescent="0.35">
      <c r="A129" t="s">
        <v>38</v>
      </c>
      <c r="B129" t="s">
        <v>755</v>
      </c>
      <c r="C129" t="s">
        <v>116</v>
      </c>
      <c r="D129" t="s">
        <v>120</v>
      </c>
      <c r="E129">
        <v>14</v>
      </c>
      <c r="G129" t="s">
        <v>2901</v>
      </c>
      <c r="L129" t="s">
        <v>1896</v>
      </c>
      <c r="M129" t="s">
        <v>2567</v>
      </c>
      <c r="N129" t="s">
        <v>1898</v>
      </c>
      <c r="R129" t="s">
        <v>119</v>
      </c>
      <c r="S129" t="s">
        <v>756</v>
      </c>
      <c r="T129" t="s">
        <v>117</v>
      </c>
      <c r="Z129" t="s">
        <v>2545</v>
      </c>
      <c r="AA129" t="s">
        <v>2546</v>
      </c>
      <c r="AB129">
        <v>1</v>
      </c>
      <c r="AC129">
        <v>3</v>
      </c>
      <c r="AE129">
        <v>2007</v>
      </c>
      <c r="AF129" t="s">
        <v>2641</v>
      </c>
      <c r="AG129" t="s">
        <v>1928</v>
      </c>
      <c r="AH129" t="s">
        <v>1903</v>
      </c>
      <c r="AI129">
        <v>119600</v>
      </c>
      <c r="AJ129">
        <v>0</v>
      </c>
      <c r="AL129">
        <v>0</v>
      </c>
      <c r="AS129" t="b">
        <v>0</v>
      </c>
      <c r="AV129" t="s">
        <v>756</v>
      </c>
      <c r="AX129" t="s">
        <v>759</v>
      </c>
      <c r="BD129" t="s">
        <v>2902</v>
      </c>
      <c r="BF129" t="s">
        <v>1906</v>
      </c>
      <c r="BG129" t="s">
        <v>2235</v>
      </c>
      <c r="BI129" t="s">
        <v>756</v>
      </c>
      <c r="BL129" t="s">
        <v>2903</v>
      </c>
      <c r="BM129" t="s">
        <v>757</v>
      </c>
      <c r="BN129" t="s">
        <v>757</v>
      </c>
      <c r="BO129" t="s">
        <v>757</v>
      </c>
      <c r="BP129" t="s">
        <v>2904</v>
      </c>
      <c r="BQ129" t="s">
        <v>2545</v>
      </c>
      <c r="BR129">
        <v>1</v>
      </c>
      <c r="BS129">
        <v>3</v>
      </c>
      <c r="BU129" t="s">
        <v>1908</v>
      </c>
      <c r="BW129" t="s">
        <v>1934</v>
      </c>
      <c r="BX129" t="s">
        <v>1910</v>
      </c>
      <c r="BY129" t="s">
        <v>1911</v>
      </c>
      <c r="BZ129" t="s">
        <v>1910</v>
      </c>
      <c r="CB129" t="s">
        <v>2905</v>
      </c>
      <c r="CC129" t="s">
        <v>2906</v>
      </c>
      <c r="CD129" t="s">
        <v>2907</v>
      </c>
      <c r="CE129">
        <v>71.3</v>
      </c>
      <c r="CF129">
        <v>68.099999999999994</v>
      </c>
      <c r="CG129">
        <v>71.3</v>
      </c>
      <c r="CH129">
        <v>1007</v>
      </c>
      <c r="CI129">
        <v>95</v>
      </c>
      <c r="CJ129">
        <v>68.099999999999994</v>
      </c>
      <c r="CK129">
        <v>89.6</v>
      </c>
      <c r="CL129">
        <v>73.2</v>
      </c>
      <c r="CM129">
        <v>71.3</v>
      </c>
      <c r="CN129">
        <v>5280</v>
      </c>
      <c r="CO129">
        <v>6.9</v>
      </c>
      <c r="CP129">
        <v>269</v>
      </c>
      <c r="CQ129">
        <v>53</v>
      </c>
      <c r="CR129">
        <v>0</v>
      </c>
      <c r="CS129">
        <v>0</v>
      </c>
      <c r="CT129" t="s">
        <v>1915</v>
      </c>
      <c r="CU129">
        <v>169</v>
      </c>
      <c r="CV129">
        <v>91</v>
      </c>
      <c r="CW129">
        <v>4.0999999999999996</v>
      </c>
      <c r="CX129">
        <v>0.8</v>
      </c>
      <c r="CY129">
        <v>9.5</v>
      </c>
      <c r="CZ129">
        <v>9.9</v>
      </c>
      <c r="DA129">
        <v>1</v>
      </c>
      <c r="DB129">
        <v>1</v>
      </c>
      <c r="DC129">
        <v>0</v>
      </c>
      <c r="DD129">
        <v>0</v>
      </c>
      <c r="DE129">
        <v>0</v>
      </c>
      <c r="DF129">
        <v>0.34</v>
      </c>
      <c r="DG129">
        <v>42.49</v>
      </c>
      <c r="DH129">
        <v>7.82</v>
      </c>
      <c r="DI129">
        <v>0</v>
      </c>
      <c r="DJ129" t="s">
        <v>2572</v>
      </c>
      <c r="DM129">
        <v>1.4</v>
      </c>
      <c r="DN129">
        <v>3838.6</v>
      </c>
      <c r="EL129">
        <v>0</v>
      </c>
      <c r="EM129" t="s">
        <v>758</v>
      </c>
    </row>
    <row r="130" spans="1:143" x14ac:dyDescent="0.35">
      <c r="A130" t="s">
        <v>38</v>
      </c>
      <c r="B130" t="s">
        <v>760</v>
      </c>
      <c r="C130" t="s">
        <v>116</v>
      </c>
      <c r="D130" t="s">
        <v>120</v>
      </c>
      <c r="G130" t="s">
        <v>2619</v>
      </c>
      <c r="L130" t="s">
        <v>1896</v>
      </c>
      <c r="M130" t="s">
        <v>2557</v>
      </c>
      <c r="R130" t="s">
        <v>119</v>
      </c>
      <c r="S130" t="s">
        <v>761</v>
      </c>
      <c r="T130" t="s">
        <v>117</v>
      </c>
      <c r="Z130" t="s">
        <v>2588</v>
      </c>
      <c r="AA130" t="s">
        <v>2589</v>
      </c>
      <c r="AB130">
        <v>1</v>
      </c>
      <c r="AC130">
        <v>4</v>
      </c>
      <c r="AJ130">
        <v>0</v>
      </c>
      <c r="AL130">
        <v>0</v>
      </c>
      <c r="AS130" t="b">
        <v>0</v>
      </c>
      <c r="AV130" t="s">
        <v>761</v>
      </c>
      <c r="AX130" t="s">
        <v>764</v>
      </c>
      <c r="BD130" t="s">
        <v>2908</v>
      </c>
      <c r="BF130" t="s">
        <v>1906</v>
      </c>
      <c r="BG130" t="s">
        <v>1907</v>
      </c>
      <c r="BI130" t="s">
        <v>761</v>
      </c>
      <c r="BL130" t="s">
        <v>2909</v>
      </c>
      <c r="BM130" t="s">
        <v>762</v>
      </c>
      <c r="BN130" t="s">
        <v>762</v>
      </c>
      <c r="BO130" t="s">
        <v>762</v>
      </c>
      <c r="BP130" t="s">
        <v>2910</v>
      </c>
      <c r="BQ130" t="s">
        <v>2588</v>
      </c>
      <c r="BR130">
        <v>1</v>
      </c>
      <c r="BS130">
        <v>4</v>
      </c>
      <c r="BU130" t="s">
        <v>1908</v>
      </c>
      <c r="BW130" t="s">
        <v>1934</v>
      </c>
      <c r="BX130" t="s">
        <v>1949</v>
      </c>
      <c r="BY130" t="s">
        <v>1911</v>
      </c>
      <c r="BZ130" t="s">
        <v>1910</v>
      </c>
      <c r="CB130" t="s">
        <v>2911</v>
      </c>
      <c r="CC130" t="s">
        <v>1996</v>
      </c>
      <c r="CD130" t="s">
        <v>1997</v>
      </c>
      <c r="CE130">
        <v>81.400000000000006</v>
      </c>
      <c r="CF130">
        <v>61.9</v>
      </c>
      <c r="CG130">
        <v>82.8</v>
      </c>
      <c r="CH130">
        <v>1011</v>
      </c>
      <c r="CI130">
        <v>51</v>
      </c>
      <c r="CJ130">
        <v>64.400000000000006</v>
      </c>
      <c r="CK130">
        <v>84.2</v>
      </c>
      <c r="CL130">
        <v>82.8</v>
      </c>
      <c r="CM130">
        <v>81.400000000000006</v>
      </c>
      <c r="CN130">
        <v>31680</v>
      </c>
      <c r="CO130">
        <v>10.7</v>
      </c>
      <c r="CP130">
        <v>226</v>
      </c>
      <c r="CQ130">
        <v>12</v>
      </c>
      <c r="CR130">
        <v>0</v>
      </c>
      <c r="CS130">
        <v>0</v>
      </c>
      <c r="CT130" t="s">
        <v>1915</v>
      </c>
      <c r="CU130">
        <v>145</v>
      </c>
      <c r="CV130">
        <v>143</v>
      </c>
      <c r="CW130">
        <v>1.5</v>
      </c>
      <c r="CX130">
        <v>1.4</v>
      </c>
      <c r="CY130">
        <v>13.7</v>
      </c>
      <c r="CZ130">
        <v>16.8</v>
      </c>
      <c r="DA130">
        <v>1</v>
      </c>
      <c r="DB130">
        <v>2</v>
      </c>
      <c r="DC130">
        <v>0</v>
      </c>
      <c r="DD130">
        <v>0</v>
      </c>
      <c r="DE130">
        <v>0</v>
      </c>
      <c r="DF130">
        <v>1.61</v>
      </c>
      <c r="DG130">
        <v>39.75</v>
      </c>
      <c r="DH130">
        <v>5.32</v>
      </c>
      <c r="DI130">
        <v>0</v>
      </c>
      <c r="DJ130" t="s">
        <v>2605</v>
      </c>
      <c r="DM130">
        <v>0.49</v>
      </c>
      <c r="DN130">
        <v>8283.7000000000007</v>
      </c>
      <c r="EL130">
        <v>0</v>
      </c>
      <c r="EM130" t="s">
        <v>763</v>
      </c>
    </row>
    <row r="131" spans="1:143" x14ac:dyDescent="0.35">
      <c r="A131" t="s">
        <v>38</v>
      </c>
      <c r="B131" t="s">
        <v>765</v>
      </c>
      <c r="C131" t="s">
        <v>116</v>
      </c>
      <c r="D131" t="s">
        <v>120</v>
      </c>
      <c r="G131" t="s">
        <v>2912</v>
      </c>
      <c r="L131" t="s">
        <v>1896</v>
      </c>
      <c r="M131" t="s">
        <v>2629</v>
      </c>
      <c r="R131" t="s">
        <v>119</v>
      </c>
      <c r="S131" t="s">
        <v>766</v>
      </c>
      <c r="T131" t="s">
        <v>117</v>
      </c>
      <c r="Z131" t="s">
        <v>2651</v>
      </c>
      <c r="AA131" t="s">
        <v>2652</v>
      </c>
      <c r="AB131">
        <v>1</v>
      </c>
      <c r="AC131">
        <v>4</v>
      </c>
      <c r="AE131">
        <v>1950</v>
      </c>
      <c r="AF131" t="s">
        <v>2739</v>
      </c>
      <c r="AG131" t="s">
        <v>2913</v>
      </c>
      <c r="AH131" t="s">
        <v>1903</v>
      </c>
      <c r="AI131">
        <v>147200</v>
      </c>
      <c r="AJ131">
        <v>0</v>
      </c>
      <c r="AL131">
        <v>0</v>
      </c>
      <c r="AS131" t="b">
        <v>0</v>
      </c>
      <c r="AV131" t="s">
        <v>766</v>
      </c>
      <c r="AX131" t="s">
        <v>769</v>
      </c>
      <c r="BD131" t="s">
        <v>2914</v>
      </c>
      <c r="BF131" t="s">
        <v>1906</v>
      </c>
      <c r="BG131" t="s">
        <v>1907</v>
      </c>
      <c r="BI131" t="s">
        <v>766</v>
      </c>
      <c r="BL131" t="s">
        <v>2915</v>
      </c>
      <c r="BM131" t="s">
        <v>767</v>
      </c>
      <c r="BN131" t="s">
        <v>767</v>
      </c>
      <c r="BO131" t="s">
        <v>767</v>
      </c>
      <c r="BP131" t="s">
        <v>2916</v>
      </c>
      <c r="BQ131" t="s">
        <v>2651</v>
      </c>
      <c r="BR131">
        <v>1</v>
      </c>
      <c r="BS131">
        <v>4</v>
      </c>
      <c r="BU131" t="s">
        <v>1908</v>
      </c>
      <c r="BW131" t="s">
        <v>1909</v>
      </c>
      <c r="BX131" t="s">
        <v>1949</v>
      </c>
      <c r="BY131" t="s">
        <v>1911</v>
      </c>
      <c r="BZ131" t="s">
        <v>1910</v>
      </c>
      <c r="CB131" t="s">
        <v>2917</v>
      </c>
      <c r="CC131" t="s">
        <v>1996</v>
      </c>
      <c r="CD131" t="s">
        <v>1997</v>
      </c>
      <c r="CE131">
        <v>74.5</v>
      </c>
      <c r="CF131">
        <v>51.8</v>
      </c>
      <c r="CG131">
        <v>75.900000000000006</v>
      </c>
      <c r="CH131">
        <v>1020</v>
      </c>
      <c r="CI131">
        <v>45</v>
      </c>
      <c r="CJ131">
        <v>57.7</v>
      </c>
      <c r="CK131">
        <v>83.2</v>
      </c>
      <c r="CL131">
        <v>75.900000000000006</v>
      </c>
      <c r="CM131">
        <v>74.400000000000006</v>
      </c>
      <c r="CN131">
        <v>31680</v>
      </c>
      <c r="CO131">
        <v>8.9</v>
      </c>
      <c r="CP131">
        <v>255</v>
      </c>
      <c r="CQ131">
        <v>14</v>
      </c>
      <c r="CR131">
        <v>0</v>
      </c>
      <c r="CS131">
        <v>0</v>
      </c>
      <c r="CT131" t="s">
        <v>1915</v>
      </c>
      <c r="CU131">
        <v>130</v>
      </c>
      <c r="CV131">
        <v>118</v>
      </c>
      <c r="CW131">
        <v>1.4</v>
      </c>
      <c r="CX131">
        <v>0.9</v>
      </c>
      <c r="CY131">
        <v>5</v>
      </c>
      <c r="CZ131">
        <v>5.4</v>
      </c>
      <c r="DA131">
        <v>1</v>
      </c>
      <c r="DB131">
        <v>1</v>
      </c>
      <c r="DC131">
        <v>0</v>
      </c>
      <c r="DD131">
        <v>0</v>
      </c>
      <c r="DE131">
        <v>0</v>
      </c>
      <c r="DF131">
        <v>7.62</v>
      </c>
      <c r="DG131">
        <v>86.77</v>
      </c>
      <c r="DH131">
        <v>10.48</v>
      </c>
      <c r="DI131">
        <v>0</v>
      </c>
      <c r="DJ131" t="s">
        <v>2636</v>
      </c>
      <c r="DM131">
        <v>0.16</v>
      </c>
      <c r="DN131">
        <v>15818.8</v>
      </c>
      <c r="EL131">
        <v>0</v>
      </c>
      <c r="EM131" t="s">
        <v>768</v>
      </c>
    </row>
    <row r="132" spans="1:143" x14ac:dyDescent="0.35">
      <c r="A132" t="s">
        <v>38</v>
      </c>
      <c r="B132" t="s">
        <v>770</v>
      </c>
      <c r="C132" t="s">
        <v>116</v>
      </c>
      <c r="D132" t="s">
        <v>120</v>
      </c>
      <c r="G132" t="s">
        <v>2918</v>
      </c>
      <c r="L132" t="s">
        <v>1896</v>
      </c>
      <c r="M132" t="s">
        <v>2578</v>
      </c>
      <c r="R132" t="s">
        <v>119</v>
      </c>
      <c r="S132" t="s">
        <v>771</v>
      </c>
      <c r="T132" t="s">
        <v>117</v>
      </c>
      <c r="Z132" t="s">
        <v>2367</v>
      </c>
      <c r="AA132" t="s">
        <v>2579</v>
      </c>
      <c r="AB132">
        <v>1</v>
      </c>
      <c r="AC132">
        <v>4</v>
      </c>
      <c r="AJ132">
        <v>0</v>
      </c>
      <c r="AL132">
        <v>0</v>
      </c>
      <c r="AS132" t="b">
        <v>0</v>
      </c>
      <c r="AV132" t="s">
        <v>771</v>
      </c>
      <c r="AX132" t="s">
        <v>774</v>
      </c>
      <c r="BD132" t="s">
        <v>2919</v>
      </c>
      <c r="BF132" t="s">
        <v>1906</v>
      </c>
      <c r="BG132" t="s">
        <v>1907</v>
      </c>
      <c r="BI132" t="s">
        <v>771</v>
      </c>
      <c r="BL132" t="s">
        <v>2920</v>
      </c>
      <c r="BM132" t="s">
        <v>772</v>
      </c>
      <c r="BN132" t="s">
        <v>772</v>
      </c>
      <c r="BO132" t="s">
        <v>772</v>
      </c>
      <c r="BP132" t="s">
        <v>2921</v>
      </c>
      <c r="BQ132" t="s">
        <v>2367</v>
      </c>
      <c r="BR132">
        <v>1</v>
      </c>
      <c r="BS132">
        <v>4</v>
      </c>
      <c r="BU132" t="s">
        <v>1908</v>
      </c>
      <c r="BW132" t="s">
        <v>2128</v>
      </c>
      <c r="BX132" t="s">
        <v>1949</v>
      </c>
      <c r="BY132" t="s">
        <v>1911</v>
      </c>
      <c r="BZ132" t="s">
        <v>1995</v>
      </c>
      <c r="CB132" t="s">
        <v>2922</v>
      </c>
      <c r="CC132" t="s">
        <v>1961</v>
      </c>
      <c r="CD132" t="s">
        <v>1962</v>
      </c>
      <c r="CE132">
        <v>72.400000000000006</v>
      </c>
      <c r="CF132">
        <v>55</v>
      </c>
      <c r="CG132">
        <v>74.400000000000006</v>
      </c>
      <c r="CH132">
        <v>1006</v>
      </c>
      <c r="CI132">
        <v>54</v>
      </c>
      <c r="CJ132">
        <v>55.8</v>
      </c>
      <c r="CK132">
        <v>76.900000000000006</v>
      </c>
      <c r="CL132">
        <v>74.400000000000006</v>
      </c>
      <c r="CM132">
        <v>72.400000000000006</v>
      </c>
      <c r="CN132">
        <v>31680</v>
      </c>
      <c r="CO132">
        <v>12.8</v>
      </c>
      <c r="CP132">
        <v>283</v>
      </c>
      <c r="CQ132">
        <v>54</v>
      </c>
      <c r="CR132">
        <v>0</v>
      </c>
      <c r="CS132">
        <v>0</v>
      </c>
      <c r="CT132" t="s">
        <v>1915</v>
      </c>
      <c r="CU132">
        <v>130</v>
      </c>
      <c r="CV132">
        <v>90</v>
      </c>
      <c r="CW132">
        <v>1</v>
      </c>
      <c r="CX132">
        <v>0.3</v>
      </c>
      <c r="CY132">
        <v>1.8</v>
      </c>
      <c r="CZ132">
        <v>1.9</v>
      </c>
      <c r="DA132">
        <v>1</v>
      </c>
      <c r="DB132">
        <v>1</v>
      </c>
      <c r="DC132">
        <v>0</v>
      </c>
      <c r="DD132">
        <v>0</v>
      </c>
      <c r="DE132">
        <v>0</v>
      </c>
      <c r="DF132">
        <v>9.91</v>
      </c>
      <c r="DG132">
        <v>42.28</v>
      </c>
      <c r="DH132">
        <v>4.83</v>
      </c>
      <c r="DI132">
        <v>0</v>
      </c>
      <c r="DJ132" t="s">
        <v>2923</v>
      </c>
      <c r="DM132">
        <v>0.24</v>
      </c>
      <c r="DN132">
        <v>22679.200000000001</v>
      </c>
      <c r="EL132">
        <v>0</v>
      </c>
      <c r="EM132" t="s">
        <v>773</v>
      </c>
    </row>
    <row r="133" spans="1:143" x14ac:dyDescent="0.35">
      <c r="A133" t="s">
        <v>38</v>
      </c>
      <c r="B133" t="s">
        <v>775</v>
      </c>
      <c r="C133" t="s">
        <v>116</v>
      </c>
      <c r="D133" t="s">
        <v>120</v>
      </c>
      <c r="E133">
        <v>260</v>
      </c>
      <c r="G133" t="s">
        <v>2628</v>
      </c>
      <c r="L133" t="s">
        <v>1896</v>
      </c>
      <c r="M133" t="s">
        <v>2629</v>
      </c>
      <c r="N133" t="s">
        <v>1898</v>
      </c>
      <c r="R133" t="s">
        <v>119</v>
      </c>
      <c r="S133" t="s">
        <v>776</v>
      </c>
      <c r="T133" t="s">
        <v>117</v>
      </c>
      <c r="Z133" t="s">
        <v>2924</v>
      </c>
      <c r="AA133" t="s">
        <v>2925</v>
      </c>
      <c r="AB133">
        <v>2</v>
      </c>
      <c r="AC133">
        <v>8</v>
      </c>
      <c r="AE133">
        <v>1960</v>
      </c>
      <c r="AF133" t="s">
        <v>2590</v>
      </c>
      <c r="AG133" t="s">
        <v>2842</v>
      </c>
      <c r="AH133" t="s">
        <v>1903</v>
      </c>
      <c r="AI133">
        <v>472800</v>
      </c>
      <c r="AJ133">
        <v>0</v>
      </c>
      <c r="AL133">
        <v>0</v>
      </c>
      <c r="AS133" t="b">
        <v>0</v>
      </c>
      <c r="AV133" t="s">
        <v>776</v>
      </c>
      <c r="AX133" t="s">
        <v>779</v>
      </c>
      <c r="BD133" t="s">
        <v>2926</v>
      </c>
      <c r="BF133" t="s">
        <v>1906</v>
      </c>
      <c r="BG133" t="s">
        <v>1907</v>
      </c>
      <c r="BI133" t="s">
        <v>776</v>
      </c>
      <c r="BL133" t="s">
        <v>2927</v>
      </c>
      <c r="BM133" t="s">
        <v>777</v>
      </c>
      <c r="BN133" t="s">
        <v>777</v>
      </c>
      <c r="BO133" t="s">
        <v>777</v>
      </c>
      <c r="BP133" t="s">
        <v>2928</v>
      </c>
      <c r="BQ133" t="s">
        <v>2924</v>
      </c>
      <c r="BR133">
        <v>2</v>
      </c>
      <c r="BS133">
        <v>8</v>
      </c>
      <c r="BU133" t="s">
        <v>1908</v>
      </c>
      <c r="BW133" t="s">
        <v>2404</v>
      </c>
      <c r="BX133" t="s">
        <v>1949</v>
      </c>
      <c r="BY133" t="s">
        <v>1911</v>
      </c>
      <c r="BZ133" t="s">
        <v>1995</v>
      </c>
      <c r="CB133" t="s">
        <v>2929</v>
      </c>
      <c r="CC133" t="s">
        <v>1996</v>
      </c>
      <c r="CD133" t="s">
        <v>1997</v>
      </c>
      <c r="CE133">
        <v>78.8</v>
      </c>
      <c r="CF133">
        <v>51.3</v>
      </c>
      <c r="CG133">
        <v>78.7</v>
      </c>
      <c r="CH133">
        <v>1013</v>
      </c>
      <c r="CI133">
        <v>37</v>
      </c>
      <c r="CJ133">
        <v>61.5</v>
      </c>
      <c r="CK133">
        <v>88.3</v>
      </c>
      <c r="CL133">
        <v>78.7</v>
      </c>
      <c r="CM133">
        <v>78.8</v>
      </c>
      <c r="CN133">
        <v>31680</v>
      </c>
      <c r="CO133">
        <v>3.1</v>
      </c>
      <c r="CP133">
        <v>333</v>
      </c>
      <c r="CQ133">
        <v>0</v>
      </c>
      <c r="CR133">
        <v>0</v>
      </c>
      <c r="CS133">
        <v>0</v>
      </c>
      <c r="CT133" t="s">
        <v>1915</v>
      </c>
      <c r="CU133">
        <v>154</v>
      </c>
      <c r="CV133">
        <v>119</v>
      </c>
      <c r="CW133">
        <v>4.5</v>
      </c>
      <c r="CX133">
        <v>1.2</v>
      </c>
      <c r="CY133">
        <v>5.3</v>
      </c>
      <c r="CZ133">
        <v>7</v>
      </c>
      <c r="DA133">
        <v>1</v>
      </c>
      <c r="DB133">
        <v>1</v>
      </c>
      <c r="DC133">
        <v>0</v>
      </c>
      <c r="DD133">
        <v>0</v>
      </c>
      <c r="DE133">
        <v>0</v>
      </c>
      <c r="DF133">
        <v>0</v>
      </c>
      <c r="DG133">
        <v>143.74</v>
      </c>
      <c r="DH133">
        <v>0</v>
      </c>
      <c r="DI133">
        <v>0</v>
      </c>
      <c r="DJ133" t="s">
        <v>2785</v>
      </c>
      <c r="DM133">
        <v>0.65</v>
      </c>
      <c r="DN133">
        <v>6573.8</v>
      </c>
      <c r="EL133">
        <v>0</v>
      </c>
      <c r="EM133" t="s">
        <v>778</v>
      </c>
    </row>
    <row r="134" spans="1:143" x14ac:dyDescent="0.35">
      <c r="A134" t="s">
        <v>38</v>
      </c>
      <c r="B134" t="s">
        <v>780</v>
      </c>
      <c r="C134" t="s">
        <v>116</v>
      </c>
      <c r="D134" t="s">
        <v>120</v>
      </c>
      <c r="G134" t="s">
        <v>2930</v>
      </c>
      <c r="L134" t="s">
        <v>1896</v>
      </c>
      <c r="M134" t="s">
        <v>2761</v>
      </c>
      <c r="R134" t="s">
        <v>119</v>
      </c>
      <c r="S134" t="s">
        <v>781</v>
      </c>
      <c r="T134" t="s">
        <v>117</v>
      </c>
      <c r="Z134" t="s">
        <v>2762</v>
      </c>
      <c r="AA134" t="s">
        <v>2763</v>
      </c>
      <c r="AB134">
        <v>1</v>
      </c>
      <c r="AC134">
        <v>4</v>
      </c>
      <c r="AE134">
        <v>2009</v>
      </c>
      <c r="AF134" t="s">
        <v>2764</v>
      </c>
      <c r="AG134" t="s">
        <v>2866</v>
      </c>
      <c r="AH134" t="s">
        <v>1903</v>
      </c>
      <c r="AI134">
        <v>8063800</v>
      </c>
      <c r="AJ134">
        <v>0</v>
      </c>
      <c r="AL134">
        <v>0</v>
      </c>
      <c r="AS134" t="b">
        <v>0</v>
      </c>
      <c r="AV134" t="s">
        <v>781</v>
      </c>
      <c r="AX134" t="s">
        <v>784</v>
      </c>
      <c r="BD134" t="s">
        <v>2931</v>
      </c>
      <c r="BF134" t="s">
        <v>1906</v>
      </c>
      <c r="BG134" t="s">
        <v>1907</v>
      </c>
      <c r="BI134" t="s">
        <v>781</v>
      </c>
      <c r="BL134" t="s">
        <v>2932</v>
      </c>
      <c r="BM134" t="s">
        <v>782</v>
      </c>
      <c r="BN134" t="s">
        <v>782</v>
      </c>
      <c r="BO134" t="s">
        <v>782</v>
      </c>
      <c r="BP134" t="s">
        <v>2933</v>
      </c>
      <c r="BQ134" t="s">
        <v>2762</v>
      </c>
      <c r="BR134">
        <v>1</v>
      </c>
      <c r="BS134">
        <v>4</v>
      </c>
      <c r="BU134" t="s">
        <v>1908</v>
      </c>
      <c r="BW134" t="s">
        <v>1934</v>
      </c>
      <c r="BX134" t="s">
        <v>1949</v>
      </c>
      <c r="BY134" t="s">
        <v>1911</v>
      </c>
      <c r="BZ134" t="s">
        <v>1910</v>
      </c>
      <c r="CB134" t="s">
        <v>2934</v>
      </c>
      <c r="CC134" t="s">
        <v>1996</v>
      </c>
      <c r="CD134" t="s">
        <v>1997</v>
      </c>
      <c r="CE134">
        <v>81.599999999999994</v>
      </c>
      <c r="CF134">
        <v>46.1</v>
      </c>
      <c r="CG134">
        <v>79.7</v>
      </c>
      <c r="CH134">
        <v>1013</v>
      </c>
      <c r="CI134">
        <v>28</v>
      </c>
      <c r="CJ134">
        <v>61.9</v>
      </c>
      <c r="CK134">
        <v>82.1</v>
      </c>
      <c r="CL134">
        <v>79.7</v>
      </c>
      <c r="CM134">
        <v>81.599999999999994</v>
      </c>
      <c r="CN134">
        <v>31680</v>
      </c>
      <c r="CO134">
        <v>8.5</v>
      </c>
      <c r="CP134">
        <v>291</v>
      </c>
      <c r="CQ134">
        <v>8</v>
      </c>
      <c r="CR134">
        <v>0</v>
      </c>
      <c r="CS134">
        <v>0</v>
      </c>
      <c r="CT134" t="s">
        <v>1915</v>
      </c>
      <c r="CU134">
        <v>137</v>
      </c>
      <c r="CV134">
        <v>141</v>
      </c>
      <c r="CW134">
        <v>0.5</v>
      </c>
      <c r="CX134">
        <v>1.1000000000000001</v>
      </c>
      <c r="CY134">
        <v>3.2</v>
      </c>
      <c r="CZ134">
        <v>4.5999999999999996</v>
      </c>
      <c r="DA134">
        <v>1</v>
      </c>
      <c r="DB134">
        <v>1</v>
      </c>
      <c r="DC134">
        <v>0</v>
      </c>
      <c r="DD134">
        <v>0</v>
      </c>
      <c r="DE134">
        <v>0</v>
      </c>
      <c r="DF134">
        <v>0</v>
      </c>
      <c r="DG134">
        <v>174.58</v>
      </c>
      <c r="DH134">
        <v>0</v>
      </c>
      <c r="DI134">
        <v>0</v>
      </c>
      <c r="DJ134" t="s">
        <v>2769</v>
      </c>
      <c r="DM134">
        <v>1.93</v>
      </c>
      <c r="DN134">
        <v>3857</v>
      </c>
      <c r="EL134">
        <v>0</v>
      </c>
      <c r="EM134" t="s">
        <v>783</v>
      </c>
    </row>
    <row r="135" spans="1:143" x14ac:dyDescent="0.35">
      <c r="A135" t="s">
        <v>38</v>
      </c>
      <c r="B135" t="s">
        <v>785</v>
      </c>
      <c r="C135" t="s">
        <v>116</v>
      </c>
      <c r="D135" t="s">
        <v>120</v>
      </c>
      <c r="E135">
        <v>59</v>
      </c>
      <c r="G135" t="s">
        <v>2935</v>
      </c>
      <c r="L135" t="s">
        <v>1896</v>
      </c>
      <c r="M135" t="s">
        <v>2936</v>
      </c>
      <c r="N135" t="s">
        <v>1898</v>
      </c>
      <c r="R135" t="s">
        <v>119</v>
      </c>
      <c r="S135" t="s">
        <v>786</v>
      </c>
      <c r="T135" t="s">
        <v>117</v>
      </c>
      <c r="Z135" t="s">
        <v>2728</v>
      </c>
      <c r="AA135" t="s">
        <v>2729</v>
      </c>
      <c r="AB135">
        <v>1</v>
      </c>
      <c r="AC135">
        <v>4</v>
      </c>
      <c r="AE135">
        <v>1954</v>
      </c>
      <c r="AF135" t="s">
        <v>2547</v>
      </c>
      <c r="AG135" t="s">
        <v>1928</v>
      </c>
      <c r="AH135" t="s">
        <v>1929</v>
      </c>
      <c r="AI135">
        <v>117700</v>
      </c>
      <c r="AJ135">
        <v>0</v>
      </c>
      <c r="AL135">
        <v>0</v>
      </c>
      <c r="AS135" t="b">
        <v>0</v>
      </c>
      <c r="AV135" t="s">
        <v>786</v>
      </c>
      <c r="AX135" t="s">
        <v>789</v>
      </c>
      <c r="BD135" t="s">
        <v>2937</v>
      </c>
      <c r="BF135" t="s">
        <v>1906</v>
      </c>
      <c r="BG135" t="s">
        <v>2235</v>
      </c>
      <c r="BI135" t="s">
        <v>786</v>
      </c>
      <c r="BL135" t="s">
        <v>2938</v>
      </c>
      <c r="BM135" t="s">
        <v>787</v>
      </c>
      <c r="BN135" t="s">
        <v>787</v>
      </c>
      <c r="BO135" t="s">
        <v>787</v>
      </c>
      <c r="BP135" t="s">
        <v>2939</v>
      </c>
      <c r="BQ135" t="s">
        <v>2728</v>
      </c>
      <c r="BR135">
        <v>1</v>
      </c>
      <c r="BS135">
        <v>4</v>
      </c>
      <c r="BU135" t="s">
        <v>1908</v>
      </c>
      <c r="BW135" t="s">
        <v>1948</v>
      </c>
      <c r="BX135" t="s">
        <v>1910</v>
      </c>
      <c r="BY135" t="s">
        <v>1911</v>
      </c>
      <c r="BZ135" t="s">
        <v>1910</v>
      </c>
      <c r="CB135" t="s">
        <v>2940</v>
      </c>
      <c r="CC135" t="s">
        <v>1996</v>
      </c>
      <c r="CD135" t="s">
        <v>1997</v>
      </c>
      <c r="CE135">
        <v>80.900000000000006</v>
      </c>
      <c r="CF135">
        <v>44.6</v>
      </c>
      <c r="CG135">
        <v>78.8</v>
      </c>
      <c r="CH135">
        <v>1019</v>
      </c>
      <c r="CI135">
        <v>27</v>
      </c>
      <c r="CJ135">
        <v>54.4</v>
      </c>
      <c r="CK135">
        <v>82.3</v>
      </c>
      <c r="CL135">
        <v>78.8</v>
      </c>
      <c r="CM135">
        <v>80.900000000000006</v>
      </c>
      <c r="CN135">
        <v>31680</v>
      </c>
      <c r="CO135">
        <v>2.9</v>
      </c>
      <c r="CP135">
        <v>25</v>
      </c>
      <c r="CQ135">
        <v>0</v>
      </c>
      <c r="CR135">
        <v>0</v>
      </c>
      <c r="CS135">
        <v>0</v>
      </c>
      <c r="CT135" t="s">
        <v>1915</v>
      </c>
      <c r="CU135">
        <v>121</v>
      </c>
      <c r="CV135">
        <v>95</v>
      </c>
      <c r="CW135">
        <v>0.8</v>
      </c>
      <c r="CX135">
        <v>0.4</v>
      </c>
      <c r="CY135">
        <v>0.6</v>
      </c>
      <c r="CZ135">
        <v>0.6</v>
      </c>
      <c r="DA135">
        <v>1</v>
      </c>
      <c r="DB135">
        <v>1</v>
      </c>
      <c r="DC135">
        <v>0</v>
      </c>
      <c r="DD135">
        <v>0</v>
      </c>
      <c r="DE135">
        <v>0</v>
      </c>
      <c r="DF135">
        <v>0</v>
      </c>
      <c r="DG135">
        <v>140.09</v>
      </c>
      <c r="DH135">
        <v>0</v>
      </c>
      <c r="DI135">
        <v>0</v>
      </c>
      <c r="DJ135" t="s">
        <v>2724</v>
      </c>
      <c r="DM135">
        <v>1.57</v>
      </c>
      <c r="DN135">
        <v>3914.6</v>
      </c>
      <c r="EL135">
        <v>0</v>
      </c>
      <c r="EM135" t="s">
        <v>788</v>
      </c>
    </row>
    <row r="136" spans="1:143" x14ac:dyDescent="0.35">
      <c r="A136" t="s">
        <v>38</v>
      </c>
      <c r="B136" t="s">
        <v>790</v>
      </c>
      <c r="C136" t="s">
        <v>116</v>
      </c>
      <c r="D136" t="s">
        <v>120</v>
      </c>
      <c r="E136">
        <v>53</v>
      </c>
      <c r="G136" t="s">
        <v>2941</v>
      </c>
      <c r="L136" t="s">
        <v>1896</v>
      </c>
      <c r="M136" t="s">
        <v>2567</v>
      </c>
      <c r="N136" t="s">
        <v>1898</v>
      </c>
      <c r="R136" t="s">
        <v>119</v>
      </c>
      <c r="S136" t="s">
        <v>791</v>
      </c>
      <c r="T136" t="s">
        <v>117</v>
      </c>
      <c r="Z136" t="s">
        <v>2942</v>
      </c>
      <c r="AA136" t="s">
        <v>2546</v>
      </c>
      <c r="AB136">
        <v>1</v>
      </c>
      <c r="AC136">
        <v>4</v>
      </c>
      <c r="AE136">
        <v>1994</v>
      </c>
      <c r="AF136" t="s">
        <v>2641</v>
      </c>
      <c r="AG136" t="s">
        <v>1928</v>
      </c>
      <c r="AH136" t="s">
        <v>1903</v>
      </c>
      <c r="AI136">
        <v>123700</v>
      </c>
      <c r="AJ136">
        <v>0</v>
      </c>
      <c r="AL136">
        <v>0</v>
      </c>
      <c r="AS136" t="b">
        <v>0</v>
      </c>
      <c r="AV136" t="s">
        <v>791</v>
      </c>
      <c r="AX136" t="s">
        <v>794</v>
      </c>
      <c r="BD136" t="s">
        <v>2943</v>
      </c>
      <c r="BF136" t="s">
        <v>1906</v>
      </c>
      <c r="BG136" t="s">
        <v>1907</v>
      </c>
      <c r="BI136" t="s">
        <v>791</v>
      </c>
      <c r="BL136" t="s">
        <v>2944</v>
      </c>
      <c r="BM136" t="s">
        <v>792</v>
      </c>
      <c r="BN136" t="s">
        <v>792</v>
      </c>
      <c r="BO136" t="s">
        <v>792</v>
      </c>
      <c r="BP136" t="s">
        <v>2945</v>
      </c>
      <c r="BQ136" t="s">
        <v>2942</v>
      </c>
      <c r="BR136">
        <v>1</v>
      </c>
      <c r="BS136">
        <v>4</v>
      </c>
      <c r="BU136" t="s">
        <v>1908</v>
      </c>
      <c r="BW136" t="s">
        <v>1993</v>
      </c>
      <c r="BX136" t="s">
        <v>1910</v>
      </c>
      <c r="BY136" t="s">
        <v>1970</v>
      </c>
      <c r="BZ136" t="s">
        <v>1910</v>
      </c>
      <c r="CB136" t="s">
        <v>2946</v>
      </c>
      <c r="CC136" t="s">
        <v>2947</v>
      </c>
      <c r="CD136" t="s">
        <v>2948</v>
      </c>
      <c r="CE136">
        <v>50.3</v>
      </c>
      <c r="CF136">
        <v>49.7</v>
      </c>
      <c r="CG136">
        <v>49.6</v>
      </c>
      <c r="CH136">
        <v>1012</v>
      </c>
      <c r="CI136">
        <v>98</v>
      </c>
      <c r="CJ136">
        <v>43.6</v>
      </c>
      <c r="CK136">
        <v>57.8</v>
      </c>
      <c r="CL136">
        <v>50.3</v>
      </c>
      <c r="CM136">
        <v>49.6</v>
      </c>
      <c r="CN136">
        <v>31680</v>
      </c>
      <c r="CO136">
        <v>3.1</v>
      </c>
      <c r="CP136">
        <v>301</v>
      </c>
      <c r="CQ136">
        <v>100</v>
      </c>
      <c r="CR136">
        <v>0.02</v>
      </c>
      <c r="CS136">
        <v>0</v>
      </c>
      <c r="CT136" t="s">
        <v>1915</v>
      </c>
      <c r="CU136">
        <v>137</v>
      </c>
      <c r="CV136">
        <v>60</v>
      </c>
      <c r="CW136">
        <v>3.2</v>
      </c>
      <c r="CX136">
        <v>0.4</v>
      </c>
      <c r="CY136">
        <v>4.3</v>
      </c>
      <c r="CZ136">
        <v>4.5999999999999996</v>
      </c>
      <c r="DA136">
        <v>1</v>
      </c>
      <c r="DB136">
        <v>1</v>
      </c>
      <c r="DC136">
        <v>0</v>
      </c>
      <c r="DD136">
        <v>0</v>
      </c>
      <c r="DE136">
        <v>0</v>
      </c>
      <c r="DF136">
        <v>0</v>
      </c>
      <c r="DG136">
        <v>5.75</v>
      </c>
      <c r="DH136">
        <v>0</v>
      </c>
      <c r="DI136">
        <v>0</v>
      </c>
      <c r="DJ136" t="s">
        <v>2572</v>
      </c>
      <c r="DM136">
        <v>1.4</v>
      </c>
      <c r="DN136">
        <v>3838.6</v>
      </c>
      <c r="EL136">
        <v>0</v>
      </c>
      <c r="EM136" t="s">
        <v>793</v>
      </c>
    </row>
    <row r="137" spans="1:143" x14ac:dyDescent="0.35">
      <c r="A137" t="s">
        <v>38</v>
      </c>
      <c r="B137" t="s">
        <v>795</v>
      </c>
      <c r="C137" t="s">
        <v>116</v>
      </c>
      <c r="D137" t="s">
        <v>120</v>
      </c>
      <c r="E137">
        <v>1</v>
      </c>
      <c r="G137" t="s">
        <v>2949</v>
      </c>
      <c r="L137" t="s">
        <v>1896</v>
      </c>
      <c r="M137" t="s">
        <v>2950</v>
      </c>
      <c r="N137" t="s">
        <v>1898</v>
      </c>
      <c r="R137" t="s">
        <v>119</v>
      </c>
      <c r="S137" t="s">
        <v>796</v>
      </c>
      <c r="T137" t="s">
        <v>117</v>
      </c>
      <c r="Z137" t="s">
        <v>2951</v>
      </c>
      <c r="AA137" t="s">
        <v>2559</v>
      </c>
      <c r="AB137">
        <v>1</v>
      </c>
      <c r="AC137">
        <v>4</v>
      </c>
      <c r="AE137">
        <v>1900</v>
      </c>
      <c r="AF137" t="s">
        <v>2683</v>
      </c>
      <c r="AG137" t="s">
        <v>1986</v>
      </c>
      <c r="AH137" t="s">
        <v>1903</v>
      </c>
      <c r="AI137">
        <v>65700</v>
      </c>
      <c r="AJ137">
        <v>0</v>
      </c>
      <c r="AL137">
        <v>0</v>
      </c>
      <c r="AS137" t="b">
        <v>0</v>
      </c>
      <c r="AV137" t="s">
        <v>796</v>
      </c>
      <c r="AX137" t="s">
        <v>799</v>
      </c>
      <c r="BD137" t="s">
        <v>2952</v>
      </c>
      <c r="BF137" t="s">
        <v>1906</v>
      </c>
      <c r="BG137" t="s">
        <v>1907</v>
      </c>
      <c r="BI137" t="s">
        <v>796</v>
      </c>
      <c r="BL137" t="s">
        <v>2953</v>
      </c>
      <c r="BM137" t="s">
        <v>797</v>
      </c>
      <c r="BN137" t="s">
        <v>797</v>
      </c>
      <c r="BO137" t="s">
        <v>797</v>
      </c>
      <c r="BP137" t="s">
        <v>2954</v>
      </c>
      <c r="BQ137" t="s">
        <v>2951</v>
      </c>
      <c r="BR137">
        <v>1</v>
      </c>
      <c r="BS137">
        <v>4</v>
      </c>
      <c r="BU137" t="s">
        <v>1908</v>
      </c>
      <c r="BW137" t="s">
        <v>2128</v>
      </c>
      <c r="BX137" t="s">
        <v>1949</v>
      </c>
      <c r="BY137" t="s">
        <v>1911</v>
      </c>
      <c r="BZ137" t="s">
        <v>1910</v>
      </c>
      <c r="CB137" t="s">
        <v>2955</v>
      </c>
      <c r="CC137" t="s">
        <v>1961</v>
      </c>
      <c r="CD137" t="s">
        <v>1962</v>
      </c>
      <c r="CE137">
        <v>63.5</v>
      </c>
      <c r="CF137">
        <v>43.3</v>
      </c>
      <c r="CG137">
        <v>63.5</v>
      </c>
      <c r="CH137">
        <v>1010</v>
      </c>
      <c r="CI137">
        <v>46</v>
      </c>
      <c r="CJ137">
        <v>51.3</v>
      </c>
      <c r="CK137">
        <v>64.2</v>
      </c>
      <c r="CL137">
        <v>63.5</v>
      </c>
      <c r="CM137">
        <v>63.5</v>
      </c>
      <c r="CN137">
        <v>31680</v>
      </c>
      <c r="CO137">
        <v>10.7</v>
      </c>
      <c r="CP137">
        <v>330</v>
      </c>
      <c r="CQ137">
        <v>46</v>
      </c>
      <c r="CR137">
        <v>0</v>
      </c>
      <c r="CS137">
        <v>0</v>
      </c>
      <c r="CT137" t="s">
        <v>1915</v>
      </c>
      <c r="CU137">
        <v>124.84999847412109</v>
      </c>
      <c r="CV137">
        <v>71</v>
      </c>
      <c r="CW137">
        <v>2.5499999523162842</v>
      </c>
      <c r="CX137">
        <v>1.25</v>
      </c>
      <c r="CY137">
        <v>2.3499999046325679</v>
      </c>
      <c r="CZ137">
        <v>2.3499999046325679</v>
      </c>
      <c r="DA137">
        <v>1</v>
      </c>
      <c r="DB137">
        <v>1</v>
      </c>
      <c r="DC137">
        <v>0</v>
      </c>
      <c r="DD137">
        <v>0</v>
      </c>
      <c r="DE137">
        <v>0</v>
      </c>
      <c r="DF137">
        <v>0</v>
      </c>
      <c r="DG137">
        <v>38.130000000000003</v>
      </c>
      <c r="DH137">
        <v>0</v>
      </c>
      <c r="DI137">
        <v>0</v>
      </c>
      <c r="DJ137" t="s">
        <v>2956</v>
      </c>
      <c r="DM137">
        <v>0.44</v>
      </c>
      <c r="DN137">
        <v>7300</v>
      </c>
      <c r="EL137">
        <v>0</v>
      </c>
      <c r="EM137" t="s">
        <v>798</v>
      </c>
    </row>
    <row r="138" spans="1:143" x14ac:dyDescent="0.35">
      <c r="A138" t="s">
        <v>38</v>
      </c>
      <c r="B138" t="s">
        <v>800</v>
      </c>
      <c r="C138" t="s">
        <v>116</v>
      </c>
      <c r="D138" t="s">
        <v>120</v>
      </c>
      <c r="G138" t="s">
        <v>2957</v>
      </c>
      <c r="L138" t="s">
        <v>1896</v>
      </c>
      <c r="M138" t="s">
        <v>2557</v>
      </c>
      <c r="R138" t="s">
        <v>119</v>
      </c>
      <c r="S138" t="s">
        <v>801</v>
      </c>
      <c r="T138" t="s">
        <v>117</v>
      </c>
      <c r="Z138" t="s">
        <v>2588</v>
      </c>
      <c r="AA138" t="s">
        <v>2589</v>
      </c>
      <c r="AB138">
        <v>1</v>
      </c>
      <c r="AC138">
        <v>4</v>
      </c>
      <c r="AJ138">
        <v>0</v>
      </c>
      <c r="AL138">
        <v>0</v>
      </c>
      <c r="AS138" t="b">
        <v>0</v>
      </c>
      <c r="AV138" t="s">
        <v>801</v>
      </c>
      <c r="AX138" t="s">
        <v>804</v>
      </c>
      <c r="BD138" t="s">
        <v>2958</v>
      </c>
      <c r="BF138" t="s">
        <v>1906</v>
      </c>
      <c r="BG138" t="s">
        <v>2959</v>
      </c>
      <c r="BI138" t="s">
        <v>801</v>
      </c>
      <c r="BL138" t="s">
        <v>2960</v>
      </c>
      <c r="BM138" t="s">
        <v>802</v>
      </c>
      <c r="BN138" t="s">
        <v>802</v>
      </c>
      <c r="BO138" t="s">
        <v>802</v>
      </c>
      <c r="BP138" t="s">
        <v>2961</v>
      </c>
      <c r="BQ138" t="s">
        <v>2588</v>
      </c>
      <c r="BR138">
        <v>1</v>
      </c>
      <c r="BS138">
        <v>4</v>
      </c>
      <c r="BU138" t="s">
        <v>1908</v>
      </c>
      <c r="BW138" t="s">
        <v>1934</v>
      </c>
      <c r="BX138" t="s">
        <v>1949</v>
      </c>
      <c r="BY138" t="s">
        <v>1911</v>
      </c>
      <c r="BZ138" t="s">
        <v>1910</v>
      </c>
      <c r="CB138" t="s">
        <v>2962</v>
      </c>
      <c r="CC138" t="s">
        <v>1996</v>
      </c>
      <c r="CD138" t="s">
        <v>1997</v>
      </c>
      <c r="CE138">
        <v>80.400000000000006</v>
      </c>
      <c r="CF138">
        <v>53.8</v>
      </c>
      <c r="CG138">
        <v>80.099999999999994</v>
      </c>
      <c r="CH138">
        <v>1010</v>
      </c>
      <c r="CI138">
        <v>39</v>
      </c>
      <c r="CJ138">
        <v>59</v>
      </c>
      <c r="CK138">
        <v>81.3</v>
      </c>
      <c r="CL138">
        <v>80.099999999999994</v>
      </c>
      <c r="CM138">
        <v>80.400000000000006</v>
      </c>
      <c r="CN138">
        <v>31680</v>
      </c>
      <c r="CO138">
        <v>8.1</v>
      </c>
      <c r="CP138">
        <v>266</v>
      </c>
      <c r="CQ138">
        <v>18</v>
      </c>
      <c r="CR138">
        <v>0</v>
      </c>
      <c r="CS138">
        <v>0</v>
      </c>
      <c r="CT138" t="s">
        <v>1915</v>
      </c>
      <c r="CU138">
        <v>152.8500061035156</v>
      </c>
      <c r="CV138">
        <v>115</v>
      </c>
      <c r="CW138">
        <v>1.549999952316284</v>
      </c>
      <c r="CX138">
        <v>1.6499999761581421</v>
      </c>
      <c r="CY138">
        <v>7.8499999046325684</v>
      </c>
      <c r="CZ138">
        <v>8.75</v>
      </c>
      <c r="DA138">
        <v>1</v>
      </c>
      <c r="DB138">
        <v>1</v>
      </c>
      <c r="DC138">
        <v>0</v>
      </c>
      <c r="DD138">
        <v>0</v>
      </c>
      <c r="DE138">
        <v>0</v>
      </c>
      <c r="DF138">
        <v>0</v>
      </c>
      <c r="DG138">
        <v>22.11</v>
      </c>
      <c r="DH138">
        <v>0</v>
      </c>
      <c r="DI138">
        <v>0</v>
      </c>
      <c r="DJ138" t="s">
        <v>2605</v>
      </c>
      <c r="DM138">
        <v>0.49</v>
      </c>
      <c r="DN138">
        <v>8283.7000000000007</v>
      </c>
      <c r="EL138">
        <v>0</v>
      </c>
      <c r="EM138" t="s">
        <v>803</v>
      </c>
    </row>
    <row r="139" spans="1:143" x14ac:dyDescent="0.35">
      <c r="A139" t="s">
        <v>38</v>
      </c>
      <c r="B139" t="s">
        <v>805</v>
      </c>
      <c r="C139" t="s">
        <v>116</v>
      </c>
      <c r="D139" t="s">
        <v>120</v>
      </c>
      <c r="G139" t="s">
        <v>2963</v>
      </c>
      <c r="L139" t="s">
        <v>1896</v>
      </c>
      <c r="M139" t="s">
        <v>2629</v>
      </c>
      <c r="R139" t="s">
        <v>119</v>
      </c>
      <c r="S139" t="s">
        <v>806</v>
      </c>
      <c r="T139" t="s">
        <v>117</v>
      </c>
      <c r="Z139" t="s">
        <v>2964</v>
      </c>
      <c r="AA139" t="s">
        <v>2965</v>
      </c>
      <c r="AB139">
        <v>11</v>
      </c>
      <c r="AC139">
        <v>36</v>
      </c>
      <c r="AJ139">
        <v>0</v>
      </c>
      <c r="AL139">
        <v>0</v>
      </c>
      <c r="AS139" t="b">
        <v>0</v>
      </c>
      <c r="AV139" t="s">
        <v>806</v>
      </c>
      <c r="AX139" t="s">
        <v>809</v>
      </c>
      <c r="BD139" t="s">
        <v>2966</v>
      </c>
      <c r="BF139" t="s">
        <v>1906</v>
      </c>
      <c r="BG139" t="s">
        <v>2235</v>
      </c>
      <c r="BI139" t="s">
        <v>806</v>
      </c>
      <c r="BL139" t="s">
        <v>2967</v>
      </c>
      <c r="BM139" t="s">
        <v>807</v>
      </c>
      <c r="BN139" t="s">
        <v>807</v>
      </c>
      <c r="BO139" t="s">
        <v>807</v>
      </c>
      <c r="BP139" t="s">
        <v>2968</v>
      </c>
      <c r="BQ139" t="s">
        <v>2964</v>
      </c>
      <c r="BR139">
        <v>11</v>
      </c>
      <c r="BS139">
        <v>36</v>
      </c>
      <c r="BU139" t="s">
        <v>1908</v>
      </c>
      <c r="BW139" t="s">
        <v>1948</v>
      </c>
      <c r="BX139" t="s">
        <v>1910</v>
      </c>
      <c r="BY139" t="s">
        <v>1911</v>
      </c>
      <c r="BZ139" t="s">
        <v>1910</v>
      </c>
      <c r="CB139" t="s">
        <v>2969</v>
      </c>
      <c r="CC139" t="s">
        <v>1961</v>
      </c>
      <c r="CD139" t="s">
        <v>1962</v>
      </c>
      <c r="CE139">
        <v>59</v>
      </c>
      <c r="CF139">
        <v>36</v>
      </c>
      <c r="CG139">
        <v>57.8</v>
      </c>
      <c r="CH139">
        <v>1031</v>
      </c>
      <c r="CI139">
        <v>46</v>
      </c>
      <c r="CJ139">
        <v>49.5</v>
      </c>
      <c r="CK139">
        <v>62.8</v>
      </c>
      <c r="CL139">
        <v>59</v>
      </c>
      <c r="CM139">
        <v>57.8</v>
      </c>
      <c r="CN139">
        <v>31680</v>
      </c>
      <c r="CO139">
        <v>7.6</v>
      </c>
      <c r="CP139">
        <v>105</v>
      </c>
      <c r="CQ139">
        <v>46</v>
      </c>
      <c r="CR139">
        <v>0</v>
      </c>
      <c r="CS139">
        <v>0</v>
      </c>
      <c r="CT139" t="s">
        <v>1915</v>
      </c>
      <c r="CU139">
        <v>166.8500061035156</v>
      </c>
      <c r="CV139">
        <v>79</v>
      </c>
      <c r="CW139">
        <v>7.6500000953674316</v>
      </c>
      <c r="CX139">
        <v>1.6499999761581421</v>
      </c>
      <c r="CY139">
        <v>6.6500000953674316</v>
      </c>
      <c r="CZ139">
        <v>7.25</v>
      </c>
      <c r="DA139">
        <v>1</v>
      </c>
      <c r="DB139">
        <v>1</v>
      </c>
      <c r="DC139">
        <v>0</v>
      </c>
      <c r="DD139">
        <v>0</v>
      </c>
      <c r="DE139">
        <v>13.11</v>
      </c>
      <c r="DF139">
        <v>0</v>
      </c>
      <c r="DG139">
        <v>17.100000000000001</v>
      </c>
      <c r="DH139">
        <v>0</v>
      </c>
      <c r="DI139">
        <v>0</v>
      </c>
      <c r="DJ139" t="s">
        <v>2636</v>
      </c>
      <c r="DM139">
        <v>0.16</v>
      </c>
      <c r="DN139">
        <v>15818.8</v>
      </c>
      <c r="EL139">
        <v>0</v>
      </c>
      <c r="EM139" t="s">
        <v>808</v>
      </c>
    </row>
    <row r="140" spans="1:143" x14ac:dyDescent="0.35">
      <c r="A140" t="s">
        <v>38</v>
      </c>
      <c r="B140" t="s">
        <v>810</v>
      </c>
      <c r="C140" t="s">
        <v>116</v>
      </c>
      <c r="D140" t="s">
        <v>120</v>
      </c>
      <c r="E140">
        <v>16</v>
      </c>
      <c r="G140" t="s">
        <v>2970</v>
      </c>
      <c r="L140" t="s">
        <v>1896</v>
      </c>
      <c r="M140" t="s">
        <v>2971</v>
      </c>
      <c r="N140" t="s">
        <v>1898</v>
      </c>
      <c r="R140" t="s">
        <v>119</v>
      </c>
      <c r="S140" t="s">
        <v>811</v>
      </c>
      <c r="T140" t="s">
        <v>117</v>
      </c>
      <c r="Z140" t="s">
        <v>2972</v>
      </c>
      <c r="AA140" t="s">
        <v>2973</v>
      </c>
      <c r="AB140">
        <v>1</v>
      </c>
      <c r="AC140">
        <v>4</v>
      </c>
      <c r="AE140">
        <v>1951</v>
      </c>
      <c r="AF140" t="s">
        <v>2641</v>
      </c>
      <c r="AG140" t="s">
        <v>1928</v>
      </c>
      <c r="AH140" t="s">
        <v>1929</v>
      </c>
      <c r="AI140">
        <v>118000</v>
      </c>
      <c r="AJ140">
        <v>0</v>
      </c>
      <c r="AL140">
        <v>0</v>
      </c>
      <c r="AS140" t="b">
        <v>0</v>
      </c>
      <c r="AV140" t="s">
        <v>811</v>
      </c>
      <c r="AX140" t="s">
        <v>814</v>
      </c>
      <c r="BD140" t="s">
        <v>2974</v>
      </c>
      <c r="BF140" t="s">
        <v>1906</v>
      </c>
      <c r="BG140" t="s">
        <v>2667</v>
      </c>
      <c r="BI140" t="s">
        <v>811</v>
      </c>
      <c r="BL140" t="s">
        <v>2975</v>
      </c>
      <c r="BM140" t="s">
        <v>812</v>
      </c>
      <c r="BN140" t="s">
        <v>812</v>
      </c>
      <c r="BO140" t="s">
        <v>812</v>
      </c>
      <c r="BP140" t="s">
        <v>2976</v>
      </c>
      <c r="BQ140" t="s">
        <v>2972</v>
      </c>
      <c r="BR140">
        <v>1</v>
      </c>
      <c r="BS140">
        <v>4</v>
      </c>
      <c r="BU140" t="s">
        <v>1908</v>
      </c>
      <c r="BW140" t="s">
        <v>1948</v>
      </c>
      <c r="BX140" t="s">
        <v>1910</v>
      </c>
      <c r="BY140" t="s">
        <v>1911</v>
      </c>
      <c r="BZ140" t="s">
        <v>1910</v>
      </c>
      <c r="CB140" t="s">
        <v>2977</v>
      </c>
      <c r="CC140" t="s">
        <v>1961</v>
      </c>
      <c r="CD140" t="s">
        <v>1962</v>
      </c>
      <c r="CE140">
        <v>61.2</v>
      </c>
      <c r="CF140">
        <v>36.9</v>
      </c>
      <c r="CG140">
        <v>61.2</v>
      </c>
      <c r="CH140">
        <v>1030</v>
      </c>
      <c r="CI140">
        <v>40</v>
      </c>
      <c r="CJ140">
        <v>49.3</v>
      </c>
      <c r="CK140">
        <v>62.8</v>
      </c>
      <c r="CL140">
        <v>61.2</v>
      </c>
      <c r="CM140">
        <v>61.2</v>
      </c>
      <c r="CN140">
        <v>31680</v>
      </c>
      <c r="CO140">
        <v>6.9</v>
      </c>
      <c r="CP140">
        <v>99</v>
      </c>
      <c r="CQ140">
        <v>48</v>
      </c>
      <c r="CR140">
        <v>0</v>
      </c>
      <c r="CS140">
        <v>0</v>
      </c>
      <c r="CT140" t="s">
        <v>1915</v>
      </c>
      <c r="CU140">
        <v>149.8500061035156</v>
      </c>
      <c r="CV140">
        <v>90</v>
      </c>
      <c r="CW140">
        <v>4.6500000953674316</v>
      </c>
      <c r="CX140">
        <v>1.6499999761581421</v>
      </c>
      <c r="CY140">
        <v>6.1500000953674316</v>
      </c>
      <c r="CZ140">
        <v>6.75</v>
      </c>
      <c r="DA140">
        <v>1</v>
      </c>
      <c r="DB140">
        <v>1</v>
      </c>
      <c r="DC140">
        <v>0</v>
      </c>
      <c r="DD140">
        <v>0</v>
      </c>
      <c r="DE140">
        <v>15.53</v>
      </c>
      <c r="DF140">
        <v>0</v>
      </c>
      <c r="DG140">
        <v>16.829999999999998</v>
      </c>
      <c r="DH140">
        <v>0</v>
      </c>
      <c r="DI140">
        <v>0</v>
      </c>
      <c r="DJ140" t="s">
        <v>2978</v>
      </c>
      <c r="DM140">
        <v>0.67</v>
      </c>
      <c r="DN140">
        <v>5497</v>
      </c>
      <c r="EL140">
        <v>0</v>
      </c>
      <c r="EM140" t="s">
        <v>813</v>
      </c>
    </row>
    <row r="141" spans="1:143" x14ac:dyDescent="0.35">
      <c r="A141" t="s">
        <v>38</v>
      </c>
      <c r="B141" t="s">
        <v>815</v>
      </c>
      <c r="C141" t="s">
        <v>116</v>
      </c>
      <c r="D141" t="s">
        <v>120</v>
      </c>
      <c r="E141">
        <v>145</v>
      </c>
      <c r="G141" t="s">
        <v>2753</v>
      </c>
      <c r="L141" t="s">
        <v>1896</v>
      </c>
      <c r="M141" t="s">
        <v>2557</v>
      </c>
      <c r="N141" t="s">
        <v>1898</v>
      </c>
      <c r="R141" t="s">
        <v>119</v>
      </c>
      <c r="S141" t="s">
        <v>816</v>
      </c>
      <c r="T141" t="s">
        <v>117</v>
      </c>
      <c r="Z141" t="s">
        <v>2588</v>
      </c>
      <c r="AA141" t="s">
        <v>2589</v>
      </c>
      <c r="AB141">
        <v>1</v>
      </c>
      <c r="AC141">
        <v>4</v>
      </c>
      <c r="AE141">
        <v>2016</v>
      </c>
      <c r="AF141" t="s">
        <v>2674</v>
      </c>
      <c r="AG141" t="s">
        <v>1986</v>
      </c>
      <c r="AH141" t="s">
        <v>1903</v>
      </c>
      <c r="AI141">
        <v>8309500</v>
      </c>
      <c r="AJ141">
        <v>0</v>
      </c>
      <c r="AL141">
        <v>0</v>
      </c>
      <c r="AS141" t="b">
        <v>0</v>
      </c>
      <c r="AV141" t="s">
        <v>816</v>
      </c>
      <c r="AX141" t="s">
        <v>819</v>
      </c>
      <c r="BD141" t="s">
        <v>2979</v>
      </c>
      <c r="BF141" t="s">
        <v>1906</v>
      </c>
      <c r="BG141" t="s">
        <v>2228</v>
      </c>
      <c r="BI141" t="s">
        <v>816</v>
      </c>
      <c r="BL141" t="s">
        <v>2980</v>
      </c>
      <c r="BM141" t="s">
        <v>817</v>
      </c>
      <c r="BN141" t="s">
        <v>817</v>
      </c>
      <c r="BO141" t="s">
        <v>817</v>
      </c>
      <c r="BP141" t="s">
        <v>2981</v>
      </c>
      <c r="BQ141" t="s">
        <v>2588</v>
      </c>
      <c r="BR141">
        <v>1</v>
      </c>
      <c r="BS141">
        <v>4</v>
      </c>
      <c r="BU141" t="s">
        <v>1908</v>
      </c>
      <c r="BW141" t="s">
        <v>1934</v>
      </c>
      <c r="BX141" t="s">
        <v>1949</v>
      </c>
      <c r="BY141" t="s">
        <v>1911</v>
      </c>
      <c r="BZ141" t="s">
        <v>1910</v>
      </c>
      <c r="CB141" t="s">
        <v>2982</v>
      </c>
      <c r="CC141" t="s">
        <v>1961</v>
      </c>
      <c r="CD141" t="s">
        <v>1962</v>
      </c>
      <c r="CE141">
        <v>89.1</v>
      </c>
      <c r="CF141">
        <v>60.1</v>
      </c>
      <c r="CG141">
        <v>90</v>
      </c>
      <c r="CH141">
        <v>1014</v>
      </c>
      <c r="CI141">
        <v>37</v>
      </c>
      <c r="CJ141">
        <v>66.2</v>
      </c>
      <c r="CK141">
        <v>89.4</v>
      </c>
      <c r="CL141">
        <v>90</v>
      </c>
      <c r="CM141">
        <v>89.1</v>
      </c>
      <c r="CN141">
        <v>31680</v>
      </c>
      <c r="CO141">
        <v>11</v>
      </c>
      <c r="CP141">
        <v>260</v>
      </c>
      <c r="CQ141">
        <v>47</v>
      </c>
      <c r="CR141">
        <v>0</v>
      </c>
      <c r="CS141">
        <v>0</v>
      </c>
      <c r="CT141" t="s">
        <v>1915</v>
      </c>
      <c r="CU141">
        <v>188.8500061035156</v>
      </c>
      <c r="CV141">
        <v>133</v>
      </c>
      <c r="CW141">
        <v>2.6500000953674321</v>
      </c>
      <c r="CX141">
        <v>1.75</v>
      </c>
      <c r="CY141">
        <v>10.64999961853027</v>
      </c>
      <c r="CZ141">
        <v>12.85000038146973</v>
      </c>
      <c r="DA141">
        <v>1</v>
      </c>
      <c r="DB141">
        <v>1</v>
      </c>
      <c r="DC141">
        <v>0</v>
      </c>
      <c r="DD141">
        <v>0</v>
      </c>
      <c r="DE141">
        <v>48.17</v>
      </c>
      <c r="DF141">
        <v>11.96</v>
      </c>
      <c r="DG141">
        <v>1.4</v>
      </c>
      <c r="DH141">
        <v>0</v>
      </c>
      <c r="DI141">
        <v>0</v>
      </c>
      <c r="DJ141" t="s">
        <v>2605</v>
      </c>
      <c r="DM141">
        <v>0.49</v>
      </c>
      <c r="DN141">
        <v>8283.7000000000007</v>
      </c>
      <c r="EL141">
        <v>0</v>
      </c>
      <c r="EM141" t="s">
        <v>818</v>
      </c>
    </row>
    <row r="142" spans="1:143" x14ac:dyDescent="0.35">
      <c r="A142" t="s">
        <v>38</v>
      </c>
      <c r="B142" t="s">
        <v>820</v>
      </c>
      <c r="C142" t="s">
        <v>116</v>
      </c>
      <c r="D142" t="s">
        <v>120</v>
      </c>
      <c r="E142">
        <v>30</v>
      </c>
      <c r="G142" t="s">
        <v>2983</v>
      </c>
      <c r="L142" t="s">
        <v>1896</v>
      </c>
      <c r="M142" t="s">
        <v>2557</v>
      </c>
      <c r="N142" t="s">
        <v>1898</v>
      </c>
      <c r="R142" t="s">
        <v>119</v>
      </c>
      <c r="S142" t="s">
        <v>821</v>
      </c>
      <c r="T142" t="s">
        <v>117</v>
      </c>
      <c r="Z142" t="s">
        <v>2972</v>
      </c>
      <c r="AA142" t="s">
        <v>2973</v>
      </c>
      <c r="AB142">
        <v>1</v>
      </c>
      <c r="AC142">
        <v>4</v>
      </c>
      <c r="AE142">
        <v>2000</v>
      </c>
      <c r="AF142" t="s">
        <v>2984</v>
      </c>
      <c r="AG142" t="s">
        <v>2234</v>
      </c>
      <c r="AH142" t="s">
        <v>1903</v>
      </c>
      <c r="AI142">
        <v>752000</v>
      </c>
      <c r="AJ142">
        <v>0</v>
      </c>
      <c r="AL142">
        <v>0</v>
      </c>
      <c r="AS142" t="b">
        <v>0</v>
      </c>
      <c r="AV142" t="s">
        <v>821</v>
      </c>
      <c r="AX142" t="s">
        <v>824</v>
      </c>
      <c r="BD142" t="s">
        <v>2985</v>
      </c>
      <c r="BF142" t="s">
        <v>1906</v>
      </c>
      <c r="BG142" t="s">
        <v>1907</v>
      </c>
      <c r="BI142" t="s">
        <v>821</v>
      </c>
      <c r="BL142" t="s">
        <v>2986</v>
      </c>
      <c r="BM142" t="s">
        <v>822</v>
      </c>
      <c r="BN142" t="s">
        <v>822</v>
      </c>
      <c r="BO142" t="s">
        <v>822</v>
      </c>
      <c r="BP142" t="s">
        <v>2987</v>
      </c>
      <c r="BQ142" t="s">
        <v>2972</v>
      </c>
      <c r="BR142">
        <v>1</v>
      </c>
      <c r="BS142">
        <v>4</v>
      </c>
      <c r="BU142" t="s">
        <v>1908</v>
      </c>
      <c r="BW142" t="s">
        <v>1909</v>
      </c>
      <c r="BX142" t="s">
        <v>1949</v>
      </c>
      <c r="BY142" t="s">
        <v>1911</v>
      </c>
      <c r="BZ142" t="s">
        <v>1910</v>
      </c>
      <c r="CB142" t="s">
        <v>2982</v>
      </c>
      <c r="CC142" t="s">
        <v>1961</v>
      </c>
      <c r="CD142" t="s">
        <v>1962</v>
      </c>
      <c r="CE142">
        <v>89.1</v>
      </c>
      <c r="CF142">
        <v>60.1</v>
      </c>
      <c r="CG142">
        <v>90</v>
      </c>
      <c r="CH142">
        <v>1014</v>
      </c>
      <c r="CI142">
        <v>37</v>
      </c>
      <c r="CJ142">
        <v>66.2</v>
      </c>
      <c r="CK142">
        <v>89.4</v>
      </c>
      <c r="CL142">
        <v>90</v>
      </c>
      <c r="CM142">
        <v>89.1</v>
      </c>
      <c r="CN142">
        <v>31680</v>
      </c>
      <c r="CO142">
        <v>11</v>
      </c>
      <c r="CP142">
        <v>260</v>
      </c>
      <c r="CQ142">
        <v>47</v>
      </c>
      <c r="CR142">
        <v>0</v>
      </c>
      <c r="CS142">
        <v>0</v>
      </c>
      <c r="CT142" t="s">
        <v>1915</v>
      </c>
      <c r="CU142">
        <v>188.8500061035156</v>
      </c>
      <c r="CV142">
        <v>133</v>
      </c>
      <c r="CW142">
        <v>2.6500000953674321</v>
      </c>
      <c r="CX142">
        <v>1.75</v>
      </c>
      <c r="CY142">
        <v>10.64999961853027</v>
      </c>
      <c r="CZ142">
        <v>12.85000038146973</v>
      </c>
      <c r="DA142">
        <v>1</v>
      </c>
      <c r="DB142">
        <v>1</v>
      </c>
      <c r="DC142">
        <v>0</v>
      </c>
      <c r="DD142">
        <v>0</v>
      </c>
      <c r="DE142">
        <v>39.94</v>
      </c>
      <c r="DF142">
        <v>11.94</v>
      </c>
      <c r="DG142">
        <v>1.43</v>
      </c>
      <c r="DH142">
        <v>0</v>
      </c>
      <c r="DI142">
        <v>0</v>
      </c>
      <c r="DJ142" t="s">
        <v>2605</v>
      </c>
      <c r="DM142">
        <v>0.49</v>
      </c>
      <c r="DN142">
        <v>8283.7000000000007</v>
      </c>
      <c r="EL142">
        <v>0</v>
      </c>
      <c r="EM142" t="s">
        <v>823</v>
      </c>
    </row>
    <row r="143" spans="1:143" x14ac:dyDescent="0.35">
      <c r="A143" t="s">
        <v>38</v>
      </c>
      <c r="B143" t="s">
        <v>825</v>
      </c>
      <c r="C143" t="s">
        <v>116</v>
      </c>
      <c r="D143" t="s">
        <v>120</v>
      </c>
      <c r="E143">
        <v>90</v>
      </c>
      <c r="G143" t="s">
        <v>2753</v>
      </c>
      <c r="L143" t="s">
        <v>1896</v>
      </c>
      <c r="M143" t="s">
        <v>2557</v>
      </c>
      <c r="N143" t="s">
        <v>1898</v>
      </c>
      <c r="R143" t="s">
        <v>119</v>
      </c>
      <c r="S143" t="s">
        <v>826</v>
      </c>
      <c r="T143" t="s">
        <v>117</v>
      </c>
      <c r="Z143" t="s">
        <v>2588</v>
      </c>
      <c r="AA143" t="s">
        <v>2589</v>
      </c>
      <c r="AB143">
        <v>1</v>
      </c>
      <c r="AC143">
        <v>4</v>
      </c>
      <c r="AE143">
        <v>1960</v>
      </c>
      <c r="AF143" t="s">
        <v>2674</v>
      </c>
      <c r="AG143" t="s">
        <v>2988</v>
      </c>
      <c r="AH143" t="s">
        <v>1903</v>
      </c>
      <c r="AI143">
        <v>4279000</v>
      </c>
      <c r="AJ143">
        <v>0</v>
      </c>
      <c r="AL143">
        <v>0</v>
      </c>
      <c r="AS143" t="b">
        <v>0</v>
      </c>
      <c r="AV143" t="s">
        <v>826</v>
      </c>
      <c r="AX143" t="s">
        <v>829</v>
      </c>
      <c r="BD143" t="s">
        <v>2989</v>
      </c>
      <c r="BF143" t="s">
        <v>1906</v>
      </c>
      <c r="BG143" t="s">
        <v>2959</v>
      </c>
      <c r="BI143" t="s">
        <v>826</v>
      </c>
      <c r="BL143" t="s">
        <v>2990</v>
      </c>
      <c r="BM143" t="s">
        <v>827</v>
      </c>
      <c r="BN143" t="s">
        <v>827</v>
      </c>
      <c r="BO143" t="s">
        <v>827</v>
      </c>
      <c r="BP143" t="s">
        <v>2991</v>
      </c>
      <c r="BQ143" t="s">
        <v>2588</v>
      </c>
      <c r="BR143">
        <v>1</v>
      </c>
      <c r="BS143">
        <v>4</v>
      </c>
      <c r="BU143" t="s">
        <v>1908</v>
      </c>
      <c r="BW143" t="s">
        <v>1934</v>
      </c>
      <c r="BX143" t="s">
        <v>1949</v>
      </c>
      <c r="BY143" t="s">
        <v>1911</v>
      </c>
      <c r="BZ143" t="s">
        <v>1910</v>
      </c>
      <c r="CB143" t="s">
        <v>2992</v>
      </c>
      <c r="CC143" t="s">
        <v>1961</v>
      </c>
      <c r="CD143" t="s">
        <v>1962</v>
      </c>
      <c r="CE143">
        <v>89.4</v>
      </c>
      <c r="CF143">
        <v>58.3</v>
      </c>
      <c r="CG143">
        <v>89.8</v>
      </c>
      <c r="CH143">
        <v>1015</v>
      </c>
      <c r="CI143">
        <v>34</v>
      </c>
      <c r="CJ143">
        <v>66.2</v>
      </c>
      <c r="CK143">
        <v>89.4</v>
      </c>
      <c r="CL143">
        <v>89.8</v>
      </c>
      <c r="CM143">
        <v>89.4</v>
      </c>
      <c r="CN143">
        <v>31680</v>
      </c>
      <c r="CO143">
        <v>12.8</v>
      </c>
      <c r="CP143">
        <v>254</v>
      </c>
      <c r="CQ143">
        <v>31</v>
      </c>
      <c r="CR143">
        <v>0</v>
      </c>
      <c r="CS143">
        <v>0</v>
      </c>
      <c r="CT143" t="s">
        <v>1915</v>
      </c>
      <c r="CU143">
        <v>175.8500061035156</v>
      </c>
      <c r="CV143">
        <v>137</v>
      </c>
      <c r="CW143">
        <v>2.25</v>
      </c>
      <c r="CX143">
        <v>1.8500000238418579</v>
      </c>
      <c r="CY143">
        <v>11.94999980926514</v>
      </c>
      <c r="CZ143">
        <v>14.44999980926514</v>
      </c>
      <c r="DA143">
        <v>1</v>
      </c>
      <c r="DB143">
        <v>1</v>
      </c>
      <c r="DC143">
        <v>0</v>
      </c>
      <c r="DD143">
        <v>0</v>
      </c>
      <c r="DE143">
        <v>47.99</v>
      </c>
      <c r="DF143">
        <v>12.31</v>
      </c>
      <c r="DG143">
        <v>1.41</v>
      </c>
      <c r="DH143">
        <v>0</v>
      </c>
      <c r="DI143">
        <v>0</v>
      </c>
      <c r="DJ143" t="s">
        <v>2605</v>
      </c>
      <c r="DM143">
        <v>0.49</v>
      </c>
      <c r="DN143">
        <v>8283.7000000000007</v>
      </c>
      <c r="EL143">
        <v>0</v>
      </c>
      <c r="EM143" t="s">
        <v>828</v>
      </c>
    </row>
    <row r="144" spans="1:143" x14ac:dyDescent="0.35">
      <c r="A144" t="s">
        <v>38</v>
      </c>
      <c r="B144" t="s">
        <v>830</v>
      </c>
      <c r="C144" t="s">
        <v>116</v>
      </c>
      <c r="D144" t="s">
        <v>120</v>
      </c>
      <c r="E144">
        <v>418</v>
      </c>
      <c r="G144" t="s">
        <v>2577</v>
      </c>
      <c r="L144" t="s">
        <v>1896</v>
      </c>
      <c r="M144" t="s">
        <v>2578</v>
      </c>
      <c r="N144" t="s">
        <v>1898</v>
      </c>
      <c r="R144" t="s">
        <v>119</v>
      </c>
      <c r="S144" t="s">
        <v>831</v>
      </c>
      <c r="T144" t="s">
        <v>117</v>
      </c>
      <c r="Z144" t="s">
        <v>2993</v>
      </c>
      <c r="AA144" t="s">
        <v>2579</v>
      </c>
      <c r="AB144">
        <v>1</v>
      </c>
      <c r="AC144">
        <v>4</v>
      </c>
      <c r="AE144">
        <v>1960</v>
      </c>
      <c r="AF144" t="s">
        <v>2580</v>
      </c>
      <c r="AG144" t="s">
        <v>2369</v>
      </c>
      <c r="AH144" t="s">
        <v>1903</v>
      </c>
      <c r="AI144">
        <v>672900</v>
      </c>
      <c r="AJ144">
        <v>0</v>
      </c>
      <c r="AL144">
        <v>0</v>
      </c>
      <c r="AS144" t="b">
        <v>0</v>
      </c>
      <c r="AV144" t="s">
        <v>831</v>
      </c>
      <c r="AX144" t="s">
        <v>834</v>
      </c>
      <c r="BD144" t="s">
        <v>2994</v>
      </c>
      <c r="BF144" t="s">
        <v>1906</v>
      </c>
      <c r="BG144" t="s">
        <v>1907</v>
      </c>
      <c r="BI144" t="s">
        <v>831</v>
      </c>
      <c r="BL144" t="s">
        <v>2995</v>
      </c>
      <c r="BM144" t="s">
        <v>832</v>
      </c>
      <c r="BN144" t="s">
        <v>832</v>
      </c>
      <c r="BO144" t="s">
        <v>832</v>
      </c>
      <c r="BP144" t="s">
        <v>2996</v>
      </c>
      <c r="BQ144" t="s">
        <v>2993</v>
      </c>
      <c r="BR144">
        <v>1</v>
      </c>
      <c r="BS144">
        <v>4</v>
      </c>
      <c r="BU144" t="s">
        <v>1908</v>
      </c>
      <c r="BW144" t="s">
        <v>1909</v>
      </c>
      <c r="BX144" t="s">
        <v>1910</v>
      </c>
      <c r="BY144" t="s">
        <v>1970</v>
      </c>
      <c r="BZ144" t="s">
        <v>1995</v>
      </c>
      <c r="CB144" t="s">
        <v>2997</v>
      </c>
      <c r="CC144" t="s">
        <v>1913</v>
      </c>
      <c r="CD144" t="s">
        <v>1914</v>
      </c>
      <c r="CE144">
        <v>91.1</v>
      </c>
      <c r="CF144">
        <v>57.7</v>
      </c>
      <c r="CG144">
        <v>90.9</v>
      </c>
      <c r="CH144">
        <v>1015</v>
      </c>
      <c r="CI144">
        <v>34</v>
      </c>
      <c r="CJ144">
        <v>67.099999999999994</v>
      </c>
      <c r="CK144">
        <v>91.1</v>
      </c>
      <c r="CL144">
        <v>90.9</v>
      </c>
      <c r="CM144">
        <v>91.1</v>
      </c>
      <c r="CN144">
        <v>31680</v>
      </c>
      <c r="CO144">
        <v>14.1</v>
      </c>
      <c r="CP144">
        <v>258</v>
      </c>
      <c r="CQ144">
        <v>79</v>
      </c>
      <c r="CR144">
        <v>0</v>
      </c>
      <c r="CS144">
        <v>0</v>
      </c>
      <c r="CT144" t="s">
        <v>1915</v>
      </c>
      <c r="CU144">
        <v>167.8500061035156</v>
      </c>
      <c r="CV144">
        <v>139</v>
      </c>
      <c r="CW144">
        <v>2.0499999523162842</v>
      </c>
      <c r="CX144">
        <v>1.950000047683716</v>
      </c>
      <c r="CY144">
        <v>12.05000019073486</v>
      </c>
      <c r="CZ144">
        <v>14.44999980926514</v>
      </c>
      <c r="DA144">
        <v>1</v>
      </c>
      <c r="DB144">
        <v>2</v>
      </c>
      <c r="DC144">
        <v>0</v>
      </c>
      <c r="DD144">
        <v>0</v>
      </c>
      <c r="DE144">
        <v>48.09</v>
      </c>
      <c r="DF144">
        <v>11.16</v>
      </c>
      <c r="DG144">
        <v>1.18</v>
      </c>
      <c r="DH144">
        <v>0</v>
      </c>
      <c r="DI144">
        <v>0</v>
      </c>
      <c r="DJ144" t="s">
        <v>2585</v>
      </c>
      <c r="DM144">
        <v>0.54</v>
      </c>
      <c r="DN144">
        <v>8383.2999999999993</v>
      </c>
      <c r="EL144">
        <v>0</v>
      </c>
      <c r="EM144" t="s">
        <v>833</v>
      </c>
    </row>
    <row r="145" spans="1:143" x14ac:dyDescent="0.35">
      <c r="A145" t="s">
        <v>38</v>
      </c>
      <c r="B145" t="s">
        <v>835</v>
      </c>
      <c r="C145" t="s">
        <v>116</v>
      </c>
      <c r="D145" t="s">
        <v>120</v>
      </c>
      <c r="G145" t="s">
        <v>2998</v>
      </c>
      <c r="L145" t="s">
        <v>1896</v>
      </c>
      <c r="M145" t="s">
        <v>2680</v>
      </c>
      <c r="R145" t="s">
        <v>119</v>
      </c>
      <c r="S145" t="s">
        <v>836</v>
      </c>
      <c r="T145" t="s">
        <v>117</v>
      </c>
      <c r="Z145" t="s">
        <v>2999</v>
      </c>
      <c r="AA145" t="s">
        <v>2682</v>
      </c>
      <c r="AB145">
        <v>1</v>
      </c>
      <c r="AC145">
        <v>4</v>
      </c>
      <c r="AJ145">
        <v>0</v>
      </c>
      <c r="AL145">
        <v>0</v>
      </c>
      <c r="AS145" t="b">
        <v>0</v>
      </c>
      <c r="AV145" t="s">
        <v>836</v>
      </c>
      <c r="AX145" t="s">
        <v>839</v>
      </c>
      <c r="BD145" t="s">
        <v>3000</v>
      </c>
      <c r="BF145" t="s">
        <v>1906</v>
      </c>
      <c r="BG145" t="s">
        <v>1907</v>
      </c>
      <c r="BI145" t="s">
        <v>836</v>
      </c>
      <c r="BL145" t="s">
        <v>3001</v>
      </c>
      <c r="BM145" t="s">
        <v>837</v>
      </c>
      <c r="BN145" t="s">
        <v>837</v>
      </c>
      <c r="BO145" t="s">
        <v>837</v>
      </c>
      <c r="BP145" t="s">
        <v>3002</v>
      </c>
      <c r="BQ145" t="s">
        <v>2999</v>
      </c>
      <c r="BR145">
        <v>1</v>
      </c>
      <c r="BS145">
        <v>4</v>
      </c>
      <c r="BU145" t="s">
        <v>1908</v>
      </c>
      <c r="BW145" t="s">
        <v>1909</v>
      </c>
      <c r="BX145" t="s">
        <v>1949</v>
      </c>
      <c r="BY145" t="s">
        <v>1970</v>
      </c>
      <c r="BZ145" t="s">
        <v>1910</v>
      </c>
      <c r="CB145" t="s">
        <v>3003</v>
      </c>
      <c r="CC145" t="s">
        <v>1996</v>
      </c>
      <c r="CD145" t="s">
        <v>1997</v>
      </c>
      <c r="CE145">
        <v>88.2</v>
      </c>
      <c r="CF145">
        <v>58.3</v>
      </c>
      <c r="CG145">
        <v>88.3</v>
      </c>
      <c r="CH145">
        <v>1016</v>
      </c>
      <c r="CI145">
        <v>35</v>
      </c>
      <c r="CJ145">
        <v>66.2</v>
      </c>
      <c r="CK145">
        <v>89.4</v>
      </c>
      <c r="CL145">
        <v>88.3</v>
      </c>
      <c r="CM145">
        <v>88.2</v>
      </c>
      <c r="CN145">
        <v>31680</v>
      </c>
      <c r="CO145">
        <v>11</v>
      </c>
      <c r="CP145">
        <v>255</v>
      </c>
      <c r="CQ145">
        <v>15</v>
      </c>
      <c r="CR145">
        <v>0</v>
      </c>
      <c r="CS145">
        <v>0</v>
      </c>
      <c r="CT145" t="s">
        <v>1915</v>
      </c>
      <c r="CU145">
        <v>166.8500061035156</v>
      </c>
      <c r="CV145">
        <v>142</v>
      </c>
      <c r="CW145">
        <v>2.0499999523162842</v>
      </c>
      <c r="CX145">
        <v>2.0499999523162842</v>
      </c>
      <c r="CY145">
        <v>12.75</v>
      </c>
      <c r="CZ145">
        <v>15.44999980926514</v>
      </c>
      <c r="DA145">
        <v>1</v>
      </c>
      <c r="DB145">
        <v>2</v>
      </c>
      <c r="DC145">
        <v>0</v>
      </c>
      <c r="DD145">
        <v>0</v>
      </c>
      <c r="DE145">
        <v>39.72</v>
      </c>
      <c r="DF145">
        <v>9.2200000000000006</v>
      </c>
      <c r="DG145">
        <v>0.96</v>
      </c>
      <c r="DH145">
        <v>0</v>
      </c>
      <c r="DI145">
        <v>0</v>
      </c>
      <c r="DJ145" t="s">
        <v>2688</v>
      </c>
      <c r="DM145">
        <v>2.44</v>
      </c>
      <c r="DN145">
        <v>1782</v>
      </c>
      <c r="EL145">
        <v>0</v>
      </c>
      <c r="EM145" t="s">
        <v>838</v>
      </c>
    </row>
    <row r="146" spans="1:143" x14ac:dyDescent="0.35">
      <c r="A146" t="s">
        <v>38</v>
      </c>
      <c r="B146" t="s">
        <v>840</v>
      </c>
      <c r="C146" t="s">
        <v>116</v>
      </c>
      <c r="D146" t="s">
        <v>120</v>
      </c>
      <c r="E146">
        <v>4</v>
      </c>
      <c r="F146" t="s">
        <v>2125</v>
      </c>
      <c r="G146" t="s">
        <v>3004</v>
      </c>
      <c r="L146" t="s">
        <v>1896</v>
      </c>
      <c r="M146" t="s">
        <v>3005</v>
      </c>
      <c r="N146" t="s">
        <v>1898</v>
      </c>
      <c r="R146" t="s">
        <v>119</v>
      </c>
      <c r="S146" t="s">
        <v>841</v>
      </c>
      <c r="T146" t="s">
        <v>117</v>
      </c>
      <c r="Z146" t="s">
        <v>2951</v>
      </c>
      <c r="AA146" t="s">
        <v>2559</v>
      </c>
      <c r="AB146">
        <v>1</v>
      </c>
      <c r="AC146">
        <v>4</v>
      </c>
      <c r="AE146">
        <v>1960</v>
      </c>
      <c r="AF146" t="s">
        <v>2984</v>
      </c>
      <c r="AG146" t="s">
        <v>3006</v>
      </c>
      <c r="AH146" t="s">
        <v>1903</v>
      </c>
      <c r="AI146">
        <v>3003400</v>
      </c>
      <c r="AJ146">
        <v>0</v>
      </c>
      <c r="AL146">
        <v>0</v>
      </c>
      <c r="AS146" t="b">
        <v>0</v>
      </c>
      <c r="AV146" t="s">
        <v>841</v>
      </c>
      <c r="AX146" t="s">
        <v>844</v>
      </c>
      <c r="BD146" t="s">
        <v>3007</v>
      </c>
      <c r="BF146" t="s">
        <v>1906</v>
      </c>
      <c r="BG146" t="s">
        <v>1907</v>
      </c>
      <c r="BI146" t="s">
        <v>841</v>
      </c>
      <c r="BL146" t="s">
        <v>3008</v>
      </c>
      <c r="BM146" t="s">
        <v>842</v>
      </c>
      <c r="BN146" t="s">
        <v>842</v>
      </c>
      <c r="BO146" t="s">
        <v>842</v>
      </c>
      <c r="BP146" t="s">
        <v>3009</v>
      </c>
      <c r="BQ146" t="s">
        <v>2951</v>
      </c>
      <c r="BR146">
        <v>1</v>
      </c>
      <c r="BS146">
        <v>4</v>
      </c>
      <c r="BU146" t="s">
        <v>1908</v>
      </c>
      <c r="BW146" t="s">
        <v>1909</v>
      </c>
      <c r="BX146" t="s">
        <v>1949</v>
      </c>
      <c r="BY146" t="s">
        <v>1970</v>
      </c>
      <c r="BZ146" t="s">
        <v>1910</v>
      </c>
      <c r="CB146" t="s">
        <v>3003</v>
      </c>
      <c r="CC146" t="s">
        <v>1996</v>
      </c>
      <c r="CD146" t="s">
        <v>1997</v>
      </c>
      <c r="CE146">
        <v>88.2</v>
      </c>
      <c r="CF146">
        <v>58.3</v>
      </c>
      <c r="CG146">
        <v>88.3</v>
      </c>
      <c r="CH146">
        <v>1016</v>
      </c>
      <c r="CI146">
        <v>35</v>
      </c>
      <c r="CJ146">
        <v>66.2</v>
      </c>
      <c r="CK146">
        <v>89.4</v>
      </c>
      <c r="CL146">
        <v>88.3</v>
      </c>
      <c r="CM146">
        <v>88.2</v>
      </c>
      <c r="CN146">
        <v>31680</v>
      </c>
      <c r="CO146">
        <v>11</v>
      </c>
      <c r="CP146">
        <v>255</v>
      </c>
      <c r="CQ146">
        <v>15</v>
      </c>
      <c r="CR146">
        <v>0</v>
      </c>
      <c r="CS146">
        <v>0</v>
      </c>
      <c r="CT146" t="s">
        <v>1915</v>
      </c>
      <c r="CU146">
        <v>166.8500061035156</v>
      </c>
      <c r="CV146">
        <v>142</v>
      </c>
      <c r="CW146">
        <v>2.0499999523162842</v>
      </c>
      <c r="CX146">
        <v>2.0499999523162842</v>
      </c>
      <c r="CY146">
        <v>12.75</v>
      </c>
      <c r="CZ146">
        <v>15.44999980926514</v>
      </c>
      <c r="DA146">
        <v>1</v>
      </c>
      <c r="DB146">
        <v>2</v>
      </c>
      <c r="DC146">
        <v>0</v>
      </c>
      <c r="DD146">
        <v>0</v>
      </c>
      <c r="DE146">
        <v>41.16</v>
      </c>
      <c r="DF146">
        <v>10.220000000000001</v>
      </c>
      <c r="DG146">
        <v>0.95</v>
      </c>
      <c r="DH146">
        <v>0</v>
      </c>
      <c r="DI146">
        <v>0</v>
      </c>
      <c r="DJ146" t="s">
        <v>2605</v>
      </c>
      <c r="DM146">
        <v>0.49</v>
      </c>
      <c r="DN146">
        <v>8283.7000000000007</v>
      </c>
      <c r="EL146">
        <v>0</v>
      </c>
      <c r="EM146" t="s">
        <v>843</v>
      </c>
    </row>
    <row r="147" spans="1:143" x14ac:dyDescent="0.35">
      <c r="A147" t="s">
        <v>38</v>
      </c>
      <c r="B147" t="s">
        <v>845</v>
      </c>
      <c r="C147" t="s">
        <v>116</v>
      </c>
      <c r="D147" t="s">
        <v>120</v>
      </c>
      <c r="G147" t="s">
        <v>3010</v>
      </c>
      <c r="L147" t="s">
        <v>1896</v>
      </c>
      <c r="M147" t="s">
        <v>2567</v>
      </c>
      <c r="R147" t="s">
        <v>119</v>
      </c>
      <c r="S147" t="s">
        <v>846</v>
      </c>
      <c r="T147" t="s">
        <v>117</v>
      </c>
      <c r="Z147" t="s">
        <v>2972</v>
      </c>
      <c r="AA147" t="s">
        <v>2973</v>
      </c>
      <c r="AB147">
        <v>1</v>
      </c>
      <c r="AC147">
        <v>4</v>
      </c>
      <c r="AJ147">
        <v>0</v>
      </c>
      <c r="AL147">
        <v>0</v>
      </c>
      <c r="AS147" t="b">
        <v>0</v>
      </c>
      <c r="AV147" t="s">
        <v>846</v>
      </c>
      <c r="AX147" t="s">
        <v>849</v>
      </c>
      <c r="BD147" t="s">
        <v>3011</v>
      </c>
      <c r="BF147" t="s">
        <v>1906</v>
      </c>
      <c r="BG147" t="s">
        <v>1907</v>
      </c>
      <c r="BI147" t="s">
        <v>846</v>
      </c>
      <c r="BL147" t="s">
        <v>3012</v>
      </c>
      <c r="BM147" t="s">
        <v>847</v>
      </c>
      <c r="BN147" t="s">
        <v>847</v>
      </c>
      <c r="BO147" t="s">
        <v>847</v>
      </c>
      <c r="BP147" t="s">
        <v>3013</v>
      </c>
      <c r="BQ147" t="s">
        <v>2972</v>
      </c>
      <c r="BR147">
        <v>1</v>
      </c>
      <c r="BS147">
        <v>4</v>
      </c>
      <c r="BU147" t="s">
        <v>1908</v>
      </c>
      <c r="BW147" t="s">
        <v>1934</v>
      </c>
      <c r="BX147" t="s">
        <v>1949</v>
      </c>
      <c r="BY147" t="s">
        <v>1911</v>
      </c>
      <c r="BZ147" t="s">
        <v>1910</v>
      </c>
      <c r="CB147" t="s">
        <v>2170</v>
      </c>
      <c r="CC147" t="s">
        <v>1961</v>
      </c>
      <c r="CD147" t="s">
        <v>1962</v>
      </c>
      <c r="CE147">
        <v>74.3</v>
      </c>
      <c r="CF147">
        <v>52.2</v>
      </c>
      <c r="CG147">
        <v>75.900000000000006</v>
      </c>
      <c r="CH147">
        <v>1023</v>
      </c>
      <c r="CI147">
        <v>44</v>
      </c>
      <c r="CJ147">
        <v>55</v>
      </c>
      <c r="CK147">
        <v>75</v>
      </c>
      <c r="CL147">
        <v>75.900000000000006</v>
      </c>
      <c r="CM147">
        <v>74.3</v>
      </c>
      <c r="CN147">
        <v>31680</v>
      </c>
      <c r="CO147">
        <v>6.9</v>
      </c>
      <c r="CP147">
        <v>166</v>
      </c>
      <c r="CQ147">
        <v>32</v>
      </c>
      <c r="CR147">
        <v>0</v>
      </c>
      <c r="CS147">
        <v>0</v>
      </c>
      <c r="CT147" t="s">
        <v>1915</v>
      </c>
      <c r="CU147">
        <v>145.8500061035156</v>
      </c>
      <c r="CV147">
        <v>108</v>
      </c>
      <c r="CW147">
        <v>1.75</v>
      </c>
      <c r="CX147">
        <v>1.450000047683716</v>
      </c>
      <c r="CY147">
        <v>4.8499999046325684</v>
      </c>
      <c r="CZ147">
        <v>5.3499999046325684</v>
      </c>
      <c r="DA147">
        <v>1</v>
      </c>
      <c r="DB147">
        <v>1</v>
      </c>
      <c r="DC147">
        <v>0</v>
      </c>
      <c r="DD147">
        <v>0</v>
      </c>
      <c r="DE147">
        <v>73.67</v>
      </c>
      <c r="DF147">
        <v>29.85</v>
      </c>
      <c r="DG147">
        <v>0.46</v>
      </c>
      <c r="DH147">
        <v>0</v>
      </c>
      <c r="DI147">
        <v>0</v>
      </c>
      <c r="DJ147" t="s">
        <v>3014</v>
      </c>
      <c r="DM147">
        <v>1.1100000000000001</v>
      </c>
      <c r="DN147">
        <v>4355.8999999999996</v>
      </c>
      <c r="EL147">
        <v>0</v>
      </c>
      <c r="EM147" t="s">
        <v>848</v>
      </c>
    </row>
    <row r="148" spans="1:143" x14ac:dyDescent="0.35">
      <c r="A148" t="s">
        <v>38</v>
      </c>
      <c r="B148" t="s">
        <v>850</v>
      </c>
      <c r="C148" t="s">
        <v>116</v>
      </c>
      <c r="D148" t="s">
        <v>120</v>
      </c>
      <c r="E148">
        <v>51</v>
      </c>
      <c r="G148" t="s">
        <v>2859</v>
      </c>
      <c r="L148" t="s">
        <v>1896</v>
      </c>
      <c r="M148" t="s">
        <v>2557</v>
      </c>
      <c r="N148" t="s">
        <v>1898</v>
      </c>
      <c r="R148" t="s">
        <v>119</v>
      </c>
      <c r="S148" t="s">
        <v>851</v>
      </c>
      <c r="T148" t="s">
        <v>117</v>
      </c>
      <c r="Z148" t="s">
        <v>2951</v>
      </c>
      <c r="AA148" t="s">
        <v>2559</v>
      </c>
      <c r="AB148">
        <v>1</v>
      </c>
      <c r="AC148">
        <v>4</v>
      </c>
      <c r="AJ148">
        <v>0</v>
      </c>
      <c r="AL148">
        <v>0</v>
      </c>
      <c r="AS148" t="b">
        <v>0</v>
      </c>
      <c r="AV148" t="s">
        <v>851</v>
      </c>
      <c r="AX148" t="s">
        <v>854</v>
      </c>
      <c r="BD148" t="s">
        <v>3015</v>
      </c>
      <c r="BF148" t="s">
        <v>1906</v>
      </c>
      <c r="BG148" t="s">
        <v>1907</v>
      </c>
      <c r="BI148" t="s">
        <v>851</v>
      </c>
      <c r="BL148" t="s">
        <v>3016</v>
      </c>
      <c r="BM148" t="s">
        <v>852</v>
      </c>
      <c r="BN148" t="s">
        <v>852</v>
      </c>
      <c r="BO148" t="s">
        <v>852</v>
      </c>
      <c r="BP148" t="s">
        <v>3017</v>
      </c>
      <c r="BQ148" t="s">
        <v>2951</v>
      </c>
      <c r="BR148">
        <v>1</v>
      </c>
      <c r="BS148">
        <v>4</v>
      </c>
      <c r="BU148" t="s">
        <v>1908</v>
      </c>
      <c r="BW148" t="s">
        <v>2128</v>
      </c>
      <c r="BX148" t="s">
        <v>1949</v>
      </c>
      <c r="BY148" t="s">
        <v>1911</v>
      </c>
      <c r="BZ148" t="s">
        <v>1910</v>
      </c>
      <c r="CB148" t="s">
        <v>3018</v>
      </c>
      <c r="CC148" t="s">
        <v>1996</v>
      </c>
      <c r="CD148" t="s">
        <v>1997</v>
      </c>
      <c r="CE148">
        <v>78.8</v>
      </c>
      <c r="CF148">
        <v>48</v>
      </c>
      <c r="CG148">
        <v>78.2</v>
      </c>
      <c r="CH148">
        <v>1015</v>
      </c>
      <c r="CI148">
        <v>34</v>
      </c>
      <c r="CJ148">
        <v>58.6</v>
      </c>
      <c r="CK148">
        <v>81.2</v>
      </c>
      <c r="CL148">
        <v>78.2</v>
      </c>
      <c r="CM148">
        <v>78.8</v>
      </c>
      <c r="CN148">
        <v>31680</v>
      </c>
      <c r="CO148">
        <v>10.1</v>
      </c>
      <c r="CP148">
        <v>289</v>
      </c>
      <c r="CQ148">
        <v>13</v>
      </c>
      <c r="CR148">
        <v>0</v>
      </c>
      <c r="CS148">
        <v>0</v>
      </c>
      <c r="CT148" t="s">
        <v>1915</v>
      </c>
      <c r="CU148">
        <v>153.8500061035156</v>
      </c>
      <c r="CV148">
        <v>96</v>
      </c>
      <c r="CW148">
        <v>1.450000047683716</v>
      </c>
      <c r="CX148">
        <v>1.3500000238418579</v>
      </c>
      <c r="CY148">
        <v>3.3499999046325679</v>
      </c>
      <c r="CZ148">
        <v>3.4500000476837158</v>
      </c>
      <c r="DA148">
        <v>1</v>
      </c>
      <c r="DB148">
        <v>1</v>
      </c>
      <c r="DC148">
        <v>0</v>
      </c>
      <c r="DD148">
        <v>0</v>
      </c>
      <c r="DE148">
        <v>111.17</v>
      </c>
      <c r="DF148">
        <v>50.61</v>
      </c>
      <c r="DG148">
        <v>0</v>
      </c>
      <c r="DH148">
        <v>0</v>
      </c>
      <c r="DI148">
        <v>0</v>
      </c>
      <c r="DJ148" t="s">
        <v>2605</v>
      </c>
      <c r="DM148">
        <v>0.49</v>
      </c>
      <c r="DN148">
        <v>8283.7000000000007</v>
      </c>
      <c r="EL148">
        <v>0</v>
      </c>
      <c r="EM148" t="s">
        <v>853</v>
      </c>
    </row>
    <row r="149" spans="1:143" x14ac:dyDescent="0.35">
      <c r="A149" t="s">
        <v>38</v>
      </c>
      <c r="B149" t="s">
        <v>855</v>
      </c>
      <c r="C149" t="s">
        <v>116</v>
      </c>
      <c r="D149" t="s">
        <v>120</v>
      </c>
      <c r="G149" t="s">
        <v>3019</v>
      </c>
      <c r="L149" t="s">
        <v>1896</v>
      </c>
      <c r="M149" t="s">
        <v>2629</v>
      </c>
      <c r="R149" t="s">
        <v>119</v>
      </c>
      <c r="S149" t="s">
        <v>856</v>
      </c>
      <c r="T149" t="s">
        <v>117</v>
      </c>
      <c r="Z149" t="s">
        <v>3020</v>
      </c>
      <c r="AA149" t="s">
        <v>2652</v>
      </c>
      <c r="AB149">
        <v>1</v>
      </c>
      <c r="AC149">
        <v>4</v>
      </c>
      <c r="AE149">
        <v>1968</v>
      </c>
      <c r="AF149" t="s">
        <v>2707</v>
      </c>
      <c r="AG149" t="s">
        <v>3021</v>
      </c>
      <c r="AH149" t="s">
        <v>1903</v>
      </c>
      <c r="AI149">
        <v>433500</v>
      </c>
      <c r="AJ149">
        <v>0</v>
      </c>
      <c r="AL149">
        <v>0</v>
      </c>
      <c r="AS149" t="b">
        <v>0</v>
      </c>
      <c r="AV149" t="s">
        <v>856</v>
      </c>
      <c r="AX149" t="s">
        <v>859</v>
      </c>
      <c r="BD149" t="s">
        <v>3022</v>
      </c>
      <c r="BF149" t="s">
        <v>1906</v>
      </c>
      <c r="BG149" t="s">
        <v>3023</v>
      </c>
      <c r="BI149" t="s">
        <v>856</v>
      </c>
      <c r="BL149" t="s">
        <v>3024</v>
      </c>
      <c r="BM149" t="s">
        <v>857</v>
      </c>
      <c r="BN149" t="s">
        <v>857</v>
      </c>
      <c r="BO149" t="s">
        <v>857</v>
      </c>
      <c r="BP149" t="s">
        <v>3025</v>
      </c>
      <c r="BQ149" t="s">
        <v>3020</v>
      </c>
      <c r="BR149">
        <v>1</v>
      </c>
      <c r="BS149">
        <v>4</v>
      </c>
      <c r="BU149" t="s">
        <v>1908</v>
      </c>
      <c r="BW149" t="s">
        <v>1934</v>
      </c>
      <c r="BX149" t="s">
        <v>1949</v>
      </c>
      <c r="BY149" t="s">
        <v>1911</v>
      </c>
      <c r="BZ149" t="s">
        <v>1910</v>
      </c>
      <c r="CB149" t="s">
        <v>3026</v>
      </c>
      <c r="CC149" t="s">
        <v>1961</v>
      </c>
      <c r="CD149" t="s">
        <v>1962</v>
      </c>
      <c r="CE149">
        <v>50.9</v>
      </c>
      <c r="CF149">
        <v>38.700000000000003</v>
      </c>
      <c r="CG149">
        <v>47.7</v>
      </c>
      <c r="CH149">
        <v>1010</v>
      </c>
      <c r="CI149">
        <v>67</v>
      </c>
      <c r="CJ149">
        <v>40.5</v>
      </c>
      <c r="CK149">
        <v>55.4</v>
      </c>
      <c r="CL149">
        <v>50.9</v>
      </c>
      <c r="CM149">
        <v>47.7</v>
      </c>
      <c r="CN149">
        <v>31680</v>
      </c>
      <c r="CO149">
        <v>8.5</v>
      </c>
      <c r="CP149">
        <v>247</v>
      </c>
      <c r="CQ149">
        <v>27</v>
      </c>
      <c r="CR149">
        <v>0</v>
      </c>
      <c r="CS149">
        <v>0</v>
      </c>
      <c r="CT149" t="s">
        <v>1915</v>
      </c>
      <c r="CU149">
        <v>147.8500061035156</v>
      </c>
      <c r="CV149">
        <v>86</v>
      </c>
      <c r="CW149">
        <v>2.25</v>
      </c>
      <c r="CX149">
        <v>1.1499999761581421</v>
      </c>
      <c r="CY149">
        <v>1.75</v>
      </c>
      <c r="CZ149">
        <v>1.8500000238418579</v>
      </c>
      <c r="DA149">
        <v>1</v>
      </c>
      <c r="DB149">
        <v>1</v>
      </c>
      <c r="DC149">
        <v>0</v>
      </c>
      <c r="DD149">
        <v>0</v>
      </c>
      <c r="DE149">
        <v>211.76</v>
      </c>
      <c r="DF149">
        <v>241.37</v>
      </c>
      <c r="DG149">
        <v>0</v>
      </c>
      <c r="DH149">
        <v>0</v>
      </c>
      <c r="DI149">
        <v>0</v>
      </c>
      <c r="DJ149" t="s">
        <v>2636</v>
      </c>
      <c r="DM149">
        <v>0.16</v>
      </c>
      <c r="DN149">
        <v>15818.8</v>
      </c>
      <c r="EL149">
        <v>0</v>
      </c>
      <c r="EM149" t="s">
        <v>858</v>
      </c>
    </row>
    <row r="150" spans="1:143" x14ac:dyDescent="0.35">
      <c r="A150" t="s">
        <v>38</v>
      </c>
      <c r="B150" t="s">
        <v>860</v>
      </c>
      <c r="C150" t="s">
        <v>116</v>
      </c>
      <c r="D150" t="s">
        <v>120</v>
      </c>
      <c r="E150">
        <v>3</v>
      </c>
      <c r="G150" t="s">
        <v>3027</v>
      </c>
      <c r="L150" t="s">
        <v>1896</v>
      </c>
      <c r="M150" t="s">
        <v>3028</v>
      </c>
      <c r="N150" t="s">
        <v>1898</v>
      </c>
      <c r="R150" t="s">
        <v>119</v>
      </c>
      <c r="S150" t="s">
        <v>861</v>
      </c>
      <c r="T150" t="s">
        <v>117</v>
      </c>
      <c r="Z150" t="s">
        <v>3029</v>
      </c>
      <c r="AA150" t="s">
        <v>3030</v>
      </c>
      <c r="AB150">
        <v>1</v>
      </c>
      <c r="AC150">
        <v>4</v>
      </c>
      <c r="AE150">
        <v>1890</v>
      </c>
      <c r="AF150" t="s">
        <v>2683</v>
      </c>
      <c r="AG150" t="s">
        <v>2773</v>
      </c>
      <c r="AH150" t="s">
        <v>1903</v>
      </c>
      <c r="AI150">
        <v>36300</v>
      </c>
      <c r="AJ150">
        <v>0</v>
      </c>
      <c r="AL150">
        <v>0</v>
      </c>
      <c r="AS150" t="b">
        <v>0</v>
      </c>
      <c r="AV150" t="s">
        <v>861</v>
      </c>
      <c r="AX150" t="s">
        <v>864</v>
      </c>
      <c r="BD150" t="s">
        <v>3031</v>
      </c>
      <c r="BF150" t="s">
        <v>1906</v>
      </c>
      <c r="BG150" t="s">
        <v>1907</v>
      </c>
      <c r="BI150" t="s">
        <v>861</v>
      </c>
      <c r="BL150" t="s">
        <v>3032</v>
      </c>
      <c r="BM150" t="s">
        <v>862</v>
      </c>
      <c r="BN150" t="s">
        <v>862</v>
      </c>
      <c r="BO150" t="s">
        <v>862</v>
      </c>
      <c r="BP150" t="s">
        <v>3033</v>
      </c>
      <c r="BQ150" t="s">
        <v>3029</v>
      </c>
      <c r="BR150">
        <v>1</v>
      </c>
      <c r="BS150">
        <v>4</v>
      </c>
      <c r="BU150" t="s">
        <v>1908</v>
      </c>
      <c r="BW150" t="s">
        <v>1934</v>
      </c>
      <c r="BX150" t="s">
        <v>1949</v>
      </c>
      <c r="BY150" t="s">
        <v>1911</v>
      </c>
      <c r="BZ150" t="s">
        <v>1910</v>
      </c>
      <c r="CB150" t="s">
        <v>3034</v>
      </c>
      <c r="CC150" t="s">
        <v>1972</v>
      </c>
      <c r="CD150" t="s">
        <v>1973</v>
      </c>
      <c r="CE150">
        <v>54.7</v>
      </c>
      <c r="CF150">
        <v>28.6</v>
      </c>
      <c r="CG150">
        <v>51.5</v>
      </c>
      <c r="CH150">
        <v>1009</v>
      </c>
      <c r="CI150">
        <v>33</v>
      </c>
      <c r="CJ150">
        <v>40.5</v>
      </c>
      <c r="CK150">
        <v>55.4</v>
      </c>
      <c r="CL150">
        <v>54.7</v>
      </c>
      <c r="CM150">
        <v>51.5</v>
      </c>
      <c r="CN150">
        <v>31680</v>
      </c>
      <c r="CO150">
        <v>11</v>
      </c>
      <c r="CP150">
        <v>284</v>
      </c>
      <c r="CQ150">
        <v>100</v>
      </c>
      <c r="CR150">
        <v>0</v>
      </c>
      <c r="CS150">
        <v>0</v>
      </c>
      <c r="CT150" t="s">
        <v>1915</v>
      </c>
      <c r="CU150">
        <v>137.8500061035156</v>
      </c>
      <c r="CV150">
        <v>81</v>
      </c>
      <c r="CW150">
        <v>1.950000047683716</v>
      </c>
      <c r="CX150">
        <v>1.049999952316284</v>
      </c>
      <c r="CY150">
        <v>1.450000047683716</v>
      </c>
      <c r="CZ150">
        <v>1.6499999761581421</v>
      </c>
      <c r="DA150">
        <v>1</v>
      </c>
      <c r="DB150">
        <v>1</v>
      </c>
      <c r="DC150">
        <v>0</v>
      </c>
      <c r="DD150">
        <v>0</v>
      </c>
      <c r="DE150">
        <v>140.88</v>
      </c>
      <c r="DF150">
        <v>137.03</v>
      </c>
      <c r="DG150">
        <v>0</v>
      </c>
      <c r="DH150">
        <v>0</v>
      </c>
      <c r="DI150">
        <v>0</v>
      </c>
      <c r="DJ150" t="s">
        <v>2785</v>
      </c>
      <c r="DM150">
        <v>0.65</v>
      </c>
      <c r="DN150">
        <v>6573.8</v>
      </c>
      <c r="EL150">
        <v>0</v>
      </c>
      <c r="EM150" t="s">
        <v>863</v>
      </c>
    </row>
    <row r="151" spans="1:143" x14ac:dyDescent="0.35">
      <c r="A151" t="s">
        <v>38</v>
      </c>
      <c r="B151" t="s">
        <v>865</v>
      </c>
      <c r="C151" t="s">
        <v>116</v>
      </c>
      <c r="D151" t="s">
        <v>120</v>
      </c>
      <c r="E151">
        <v>19</v>
      </c>
      <c r="G151" t="s">
        <v>3035</v>
      </c>
      <c r="L151" t="s">
        <v>1896</v>
      </c>
      <c r="M151" t="s">
        <v>2578</v>
      </c>
      <c r="N151" t="s">
        <v>1898</v>
      </c>
      <c r="R151" t="s">
        <v>119</v>
      </c>
      <c r="S151" t="s">
        <v>866</v>
      </c>
      <c r="T151" t="s">
        <v>117</v>
      </c>
      <c r="Z151" t="s">
        <v>2762</v>
      </c>
      <c r="AA151" t="s">
        <v>2763</v>
      </c>
      <c r="AB151">
        <v>1</v>
      </c>
      <c r="AC151">
        <v>4</v>
      </c>
      <c r="AE151">
        <v>1900</v>
      </c>
      <c r="AF151" t="s">
        <v>2590</v>
      </c>
      <c r="AG151" t="s">
        <v>3036</v>
      </c>
      <c r="AH151" t="s">
        <v>1903</v>
      </c>
      <c r="AI151">
        <v>1258700</v>
      </c>
      <c r="AJ151">
        <v>0</v>
      </c>
      <c r="AL151">
        <v>0</v>
      </c>
      <c r="AS151" t="b">
        <v>0</v>
      </c>
      <c r="AV151" t="s">
        <v>866</v>
      </c>
      <c r="AX151" t="s">
        <v>869</v>
      </c>
      <c r="BD151" t="s">
        <v>3037</v>
      </c>
      <c r="BF151" t="s">
        <v>1906</v>
      </c>
      <c r="BG151" t="s">
        <v>1907</v>
      </c>
      <c r="BI151" t="s">
        <v>866</v>
      </c>
      <c r="BL151" t="s">
        <v>3038</v>
      </c>
      <c r="BM151" t="s">
        <v>867</v>
      </c>
      <c r="BN151" t="s">
        <v>867</v>
      </c>
      <c r="BO151" t="s">
        <v>867</v>
      </c>
      <c r="BP151" t="s">
        <v>3039</v>
      </c>
      <c r="BQ151" t="s">
        <v>2762</v>
      </c>
      <c r="BR151">
        <v>1</v>
      </c>
      <c r="BS151">
        <v>4</v>
      </c>
      <c r="BU151" t="s">
        <v>1908</v>
      </c>
      <c r="BW151" t="s">
        <v>1948</v>
      </c>
      <c r="BX151" t="s">
        <v>1949</v>
      </c>
      <c r="BY151" t="s">
        <v>1911</v>
      </c>
      <c r="BZ151" t="s">
        <v>1910</v>
      </c>
      <c r="CB151" t="s">
        <v>3034</v>
      </c>
      <c r="CC151" t="s">
        <v>1972</v>
      </c>
      <c r="CD151" t="s">
        <v>1973</v>
      </c>
      <c r="CE151">
        <v>54.7</v>
      </c>
      <c r="CF151">
        <v>28.6</v>
      </c>
      <c r="CG151">
        <v>51.4</v>
      </c>
      <c r="CH151">
        <v>1009</v>
      </c>
      <c r="CI151">
        <v>33</v>
      </c>
      <c r="CJ151">
        <v>40.5</v>
      </c>
      <c r="CK151">
        <v>55.4</v>
      </c>
      <c r="CL151">
        <v>54.7</v>
      </c>
      <c r="CM151">
        <v>51.4</v>
      </c>
      <c r="CN151">
        <v>31680</v>
      </c>
      <c r="CO151">
        <v>11</v>
      </c>
      <c r="CP151">
        <v>284</v>
      </c>
      <c r="CQ151">
        <v>100</v>
      </c>
      <c r="CR151">
        <v>0</v>
      </c>
      <c r="CS151">
        <v>0</v>
      </c>
      <c r="CT151" t="s">
        <v>1915</v>
      </c>
      <c r="CU151">
        <v>137.8500061035156</v>
      </c>
      <c r="CV151">
        <v>81</v>
      </c>
      <c r="CW151">
        <v>1.950000047683716</v>
      </c>
      <c r="CX151">
        <v>1.049999952316284</v>
      </c>
      <c r="CY151">
        <v>1.450000047683716</v>
      </c>
      <c r="CZ151">
        <v>1.6499999761581421</v>
      </c>
      <c r="DA151">
        <v>1</v>
      </c>
      <c r="DB151">
        <v>1</v>
      </c>
      <c r="DC151">
        <v>0</v>
      </c>
      <c r="DD151">
        <v>0</v>
      </c>
      <c r="DE151">
        <v>245.6</v>
      </c>
      <c r="DF151">
        <v>258.37</v>
      </c>
      <c r="DG151">
        <v>0</v>
      </c>
      <c r="DH151">
        <v>0</v>
      </c>
      <c r="DI151">
        <v>0</v>
      </c>
      <c r="DJ151" t="s">
        <v>2785</v>
      </c>
      <c r="DM151">
        <v>0.65</v>
      </c>
      <c r="DN151">
        <v>6573.8</v>
      </c>
      <c r="EL151">
        <v>0</v>
      </c>
      <c r="EM151" t="s">
        <v>868</v>
      </c>
    </row>
    <row r="152" spans="1:143" x14ac:dyDescent="0.35">
      <c r="A152" t="s">
        <v>38</v>
      </c>
      <c r="B152" t="s">
        <v>870</v>
      </c>
      <c r="C152" t="s">
        <v>116</v>
      </c>
      <c r="D152" t="s">
        <v>120</v>
      </c>
      <c r="E152">
        <v>17</v>
      </c>
      <c r="G152" t="s">
        <v>3040</v>
      </c>
      <c r="L152" t="s">
        <v>1896</v>
      </c>
      <c r="M152" t="s">
        <v>3041</v>
      </c>
      <c r="N152" t="s">
        <v>1898</v>
      </c>
      <c r="R152" t="s">
        <v>119</v>
      </c>
      <c r="S152" t="s">
        <v>871</v>
      </c>
      <c r="T152" t="s">
        <v>117</v>
      </c>
      <c r="Z152" t="s">
        <v>2762</v>
      </c>
      <c r="AA152" t="s">
        <v>2763</v>
      </c>
      <c r="AB152">
        <v>1</v>
      </c>
      <c r="AC152">
        <v>4</v>
      </c>
      <c r="AE152">
        <v>1948</v>
      </c>
      <c r="AF152" t="s">
        <v>2641</v>
      </c>
      <c r="AG152" t="s">
        <v>1928</v>
      </c>
      <c r="AH152" t="s">
        <v>1929</v>
      </c>
      <c r="AI152">
        <v>99300</v>
      </c>
      <c r="AJ152">
        <v>0</v>
      </c>
      <c r="AL152">
        <v>0</v>
      </c>
      <c r="AS152" t="b">
        <v>0</v>
      </c>
      <c r="AV152" t="s">
        <v>871</v>
      </c>
      <c r="AX152" t="s">
        <v>874</v>
      </c>
      <c r="BD152" t="s">
        <v>3042</v>
      </c>
      <c r="BF152" t="s">
        <v>1906</v>
      </c>
      <c r="BG152" t="s">
        <v>1907</v>
      </c>
      <c r="BI152" t="s">
        <v>871</v>
      </c>
      <c r="BL152" t="s">
        <v>3043</v>
      </c>
      <c r="BM152" t="s">
        <v>872</v>
      </c>
      <c r="BN152" t="s">
        <v>872</v>
      </c>
      <c r="BO152" t="s">
        <v>872</v>
      </c>
      <c r="BP152" t="s">
        <v>3044</v>
      </c>
      <c r="BQ152" t="s">
        <v>2762</v>
      </c>
      <c r="BR152">
        <v>1</v>
      </c>
      <c r="BS152">
        <v>4</v>
      </c>
      <c r="BU152" t="s">
        <v>1908</v>
      </c>
      <c r="BW152" t="s">
        <v>2114</v>
      </c>
      <c r="BX152" t="s">
        <v>1910</v>
      </c>
      <c r="BY152" t="s">
        <v>1911</v>
      </c>
      <c r="BZ152" t="s">
        <v>1910</v>
      </c>
      <c r="CB152" t="s">
        <v>3045</v>
      </c>
      <c r="CC152" t="s">
        <v>1996</v>
      </c>
      <c r="CD152" t="s">
        <v>1997</v>
      </c>
      <c r="CE152">
        <v>56.5</v>
      </c>
      <c r="CF152">
        <v>33.799999999999997</v>
      </c>
      <c r="CG152">
        <v>53.9</v>
      </c>
      <c r="CH152">
        <v>1006</v>
      </c>
      <c r="CI152">
        <v>40</v>
      </c>
      <c r="CJ152">
        <v>46</v>
      </c>
      <c r="CK152">
        <v>60.3</v>
      </c>
      <c r="CL152">
        <v>56.5</v>
      </c>
      <c r="CM152">
        <v>53.9</v>
      </c>
      <c r="CN152">
        <v>31680</v>
      </c>
      <c r="CO152">
        <v>10.5</v>
      </c>
      <c r="CP152">
        <v>282</v>
      </c>
      <c r="CQ152">
        <v>13</v>
      </c>
      <c r="CR152">
        <v>0</v>
      </c>
      <c r="CS152">
        <v>0</v>
      </c>
      <c r="CT152" t="s">
        <v>1915</v>
      </c>
      <c r="CU152">
        <v>178.8500061035156</v>
      </c>
      <c r="CV152">
        <v>89</v>
      </c>
      <c r="CW152">
        <v>10.55000019073486</v>
      </c>
      <c r="CX152">
        <v>2.5499999523162842</v>
      </c>
      <c r="CY152">
        <v>6.75</v>
      </c>
      <c r="CZ152">
        <v>7.3499999046325684</v>
      </c>
      <c r="DA152">
        <v>1</v>
      </c>
      <c r="DB152">
        <v>1</v>
      </c>
      <c r="DC152">
        <v>0</v>
      </c>
      <c r="DD152">
        <v>0</v>
      </c>
      <c r="DE152">
        <v>163.47</v>
      </c>
      <c r="DF152">
        <v>170.04</v>
      </c>
      <c r="DG152">
        <v>0</v>
      </c>
      <c r="DH152">
        <v>0</v>
      </c>
      <c r="DI152">
        <v>0</v>
      </c>
      <c r="DJ152" t="s">
        <v>2769</v>
      </c>
      <c r="DM152">
        <v>1.93</v>
      </c>
      <c r="DN152">
        <v>3857</v>
      </c>
      <c r="EL152">
        <v>0</v>
      </c>
      <c r="EM152" t="s">
        <v>873</v>
      </c>
    </row>
    <row r="153" spans="1:143" x14ac:dyDescent="0.35">
      <c r="A153" t="s">
        <v>38</v>
      </c>
      <c r="B153" t="s">
        <v>875</v>
      </c>
      <c r="C153" t="s">
        <v>116</v>
      </c>
      <c r="D153" t="s">
        <v>120</v>
      </c>
      <c r="E153">
        <v>10</v>
      </c>
      <c r="G153" t="s">
        <v>2691</v>
      </c>
      <c r="L153" t="s">
        <v>1896</v>
      </c>
      <c r="M153" t="s">
        <v>2557</v>
      </c>
      <c r="N153" t="s">
        <v>1898</v>
      </c>
      <c r="R153" t="s">
        <v>119</v>
      </c>
      <c r="S153" t="s">
        <v>876</v>
      </c>
      <c r="T153" t="s">
        <v>117</v>
      </c>
      <c r="Z153" t="s">
        <v>2793</v>
      </c>
      <c r="AA153" t="s">
        <v>2794</v>
      </c>
      <c r="AB153">
        <v>1</v>
      </c>
      <c r="AC153">
        <v>4</v>
      </c>
      <c r="AF153" t="s">
        <v>2674</v>
      </c>
      <c r="AG153" t="s">
        <v>2694</v>
      </c>
      <c r="AH153" t="s">
        <v>1903</v>
      </c>
      <c r="AI153">
        <v>2052500</v>
      </c>
      <c r="AJ153">
        <v>0</v>
      </c>
      <c r="AL153">
        <v>0</v>
      </c>
      <c r="AS153" t="b">
        <v>0</v>
      </c>
      <c r="AV153" t="s">
        <v>876</v>
      </c>
      <c r="AX153" t="s">
        <v>879</v>
      </c>
      <c r="BD153" t="s">
        <v>3046</v>
      </c>
      <c r="BF153" t="s">
        <v>1906</v>
      </c>
      <c r="BG153" t="s">
        <v>1907</v>
      </c>
      <c r="BI153" t="s">
        <v>876</v>
      </c>
      <c r="BL153" t="s">
        <v>3047</v>
      </c>
      <c r="BM153" t="s">
        <v>877</v>
      </c>
      <c r="BN153" t="s">
        <v>877</v>
      </c>
      <c r="BO153" t="s">
        <v>877</v>
      </c>
      <c r="BP153" t="s">
        <v>3048</v>
      </c>
      <c r="BQ153" t="s">
        <v>2793</v>
      </c>
      <c r="BR153">
        <v>1</v>
      </c>
      <c r="BS153">
        <v>4</v>
      </c>
      <c r="BU153" t="s">
        <v>1908</v>
      </c>
      <c r="BW153" t="s">
        <v>1934</v>
      </c>
      <c r="BX153" t="s">
        <v>1949</v>
      </c>
      <c r="BY153" t="s">
        <v>1911</v>
      </c>
      <c r="BZ153" t="s">
        <v>1910</v>
      </c>
      <c r="CB153" t="s">
        <v>3049</v>
      </c>
      <c r="CC153" t="s">
        <v>1913</v>
      </c>
      <c r="CD153" t="s">
        <v>1914</v>
      </c>
      <c r="CE153">
        <v>64</v>
      </c>
      <c r="CF153">
        <v>52.5</v>
      </c>
      <c r="CG153">
        <v>64</v>
      </c>
      <c r="CH153">
        <v>1010</v>
      </c>
      <c r="CI153">
        <v>58</v>
      </c>
      <c r="CJ153">
        <v>54.7</v>
      </c>
      <c r="CK153">
        <v>66.599999999999994</v>
      </c>
      <c r="CL153">
        <v>64</v>
      </c>
      <c r="CM153">
        <v>64</v>
      </c>
      <c r="CN153">
        <v>31680</v>
      </c>
      <c r="CO153">
        <v>15.9</v>
      </c>
      <c r="CP153">
        <v>200</v>
      </c>
      <c r="CQ153">
        <v>60</v>
      </c>
      <c r="CR153">
        <v>0</v>
      </c>
      <c r="CS153">
        <v>0</v>
      </c>
      <c r="CT153" t="s">
        <v>1915</v>
      </c>
      <c r="CU153">
        <v>165.8500061035156</v>
      </c>
      <c r="CV153">
        <v>90</v>
      </c>
      <c r="CW153">
        <v>7.75</v>
      </c>
      <c r="CX153">
        <v>3.5499999523162842</v>
      </c>
      <c r="CY153">
        <v>7.6500000953674316</v>
      </c>
      <c r="CZ153">
        <v>8.1499996185302734</v>
      </c>
      <c r="DA153">
        <v>1</v>
      </c>
      <c r="DB153">
        <v>1</v>
      </c>
      <c r="DC153">
        <v>0</v>
      </c>
      <c r="DD153">
        <v>0</v>
      </c>
      <c r="DE153">
        <v>97.54</v>
      </c>
      <c r="DF153">
        <v>98.62</v>
      </c>
      <c r="DG153">
        <v>0</v>
      </c>
      <c r="DH153">
        <v>0</v>
      </c>
      <c r="DI153">
        <v>0</v>
      </c>
      <c r="DJ153" t="s">
        <v>2605</v>
      </c>
      <c r="DM153">
        <v>0.49</v>
      </c>
      <c r="DN153">
        <v>8283.7000000000007</v>
      </c>
      <c r="EL153">
        <v>0</v>
      </c>
      <c r="EM153" t="s">
        <v>878</v>
      </c>
    </row>
    <row r="154" spans="1:143" x14ac:dyDescent="0.35">
      <c r="A154" t="s">
        <v>38</v>
      </c>
      <c r="B154" t="s">
        <v>880</v>
      </c>
      <c r="C154" t="s">
        <v>116</v>
      </c>
      <c r="D154" t="s">
        <v>146</v>
      </c>
      <c r="G154" t="s">
        <v>3050</v>
      </c>
      <c r="K154" t="s">
        <v>2556</v>
      </c>
      <c r="L154" t="s">
        <v>1896</v>
      </c>
      <c r="M154" t="s">
        <v>2567</v>
      </c>
      <c r="N154" t="s">
        <v>1898</v>
      </c>
      <c r="R154" t="s">
        <v>119</v>
      </c>
      <c r="S154" t="s">
        <v>881</v>
      </c>
      <c r="T154" t="s">
        <v>117</v>
      </c>
      <c r="Z154" t="s">
        <v>2951</v>
      </c>
      <c r="AA154" t="s">
        <v>2559</v>
      </c>
      <c r="AB154">
        <v>1</v>
      </c>
      <c r="AC154">
        <v>4</v>
      </c>
      <c r="AJ154">
        <v>0</v>
      </c>
      <c r="AL154">
        <v>0</v>
      </c>
      <c r="AS154" t="b">
        <v>0</v>
      </c>
      <c r="AV154" t="s">
        <v>881</v>
      </c>
      <c r="AX154" t="s">
        <v>884</v>
      </c>
      <c r="BF154" t="s">
        <v>1906</v>
      </c>
      <c r="BG154" t="s">
        <v>1907</v>
      </c>
      <c r="BI154" t="s">
        <v>881</v>
      </c>
      <c r="BL154" t="s">
        <v>3051</v>
      </c>
      <c r="BM154" t="s">
        <v>882</v>
      </c>
      <c r="BN154" t="s">
        <v>882</v>
      </c>
      <c r="BO154" t="s">
        <v>882</v>
      </c>
      <c r="BQ154" t="s">
        <v>2951</v>
      </c>
      <c r="BR154">
        <v>1</v>
      </c>
      <c r="BS154">
        <v>4</v>
      </c>
      <c r="BU154" t="s">
        <v>1908</v>
      </c>
      <c r="BW154" t="s">
        <v>1909</v>
      </c>
      <c r="BX154" t="s">
        <v>1949</v>
      </c>
      <c r="BY154" t="s">
        <v>1911</v>
      </c>
      <c r="BZ154" t="s">
        <v>1995</v>
      </c>
      <c r="CB154" t="s">
        <v>3052</v>
      </c>
      <c r="CC154" t="s">
        <v>1913</v>
      </c>
      <c r="CD154" t="s">
        <v>1914</v>
      </c>
      <c r="CE154">
        <v>55.8</v>
      </c>
      <c r="CF154">
        <v>55</v>
      </c>
      <c r="CG154">
        <v>53.1</v>
      </c>
      <c r="CH154">
        <v>1006</v>
      </c>
      <c r="CI154">
        <v>98</v>
      </c>
      <c r="CJ154">
        <v>54.7</v>
      </c>
      <c r="CK154">
        <v>66.599999999999994</v>
      </c>
      <c r="CL154">
        <v>55.8</v>
      </c>
      <c r="CM154">
        <v>53.1</v>
      </c>
      <c r="CN154">
        <v>31680</v>
      </c>
      <c r="CO154">
        <v>10.3</v>
      </c>
      <c r="CP154">
        <v>222</v>
      </c>
      <c r="CQ154">
        <v>100</v>
      </c>
      <c r="CR154">
        <v>0</v>
      </c>
      <c r="CS154">
        <v>0</v>
      </c>
      <c r="CT154" t="s">
        <v>2415</v>
      </c>
      <c r="CU154">
        <v>189.6499938964844</v>
      </c>
      <c r="CV154">
        <v>93</v>
      </c>
      <c r="CW154">
        <v>11.94999980926514</v>
      </c>
      <c r="CX154">
        <v>3.25</v>
      </c>
      <c r="CY154">
        <v>11.94999980926514</v>
      </c>
      <c r="CZ154">
        <v>12.64999961853027</v>
      </c>
      <c r="DA154">
        <v>1</v>
      </c>
      <c r="DB154">
        <v>1</v>
      </c>
      <c r="DC154">
        <v>0</v>
      </c>
      <c r="DD154">
        <v>0</v>
      </c>
      <c r="DE154">
        <v>47.8</v>
      </c>
      <c r="DF154">
        <v>58.34</v>
      </c>
      <c r="DG154">
        <v>0</v>
      </c>
      <c r="DH154">
        <v>0</v>
      </c>
      <c r="DI154">
        <v>0</v>
      </c>
      <c r="DJ154" t="s">
        <v>3053</v>
      </c>
      <c r="DM154">
        <v>0.42</v>
      </c>
      <c r="DN154">
        <v>6726.2</v>
      </c>
      <c r="EL154">
        <v>0</v>
      </c>
      <c r="EM154" t="s">
        <v>883</v>
      </c>
    </row>
    <row r="155" spans="1:143" x14ac:dyDescent="0.35">
      <c r="A155" t="s">
        <v>38</v>
      </c>
      <c r="B155" t="s">
        <v>885</v>
      </c>
      <c r="C155" t="s">
        <v>116</v>
      </c>
      <c r="D155" t="s">
        <v>146</v>
      </c>
      <c r="G155" t="s">
        <v>3054</v>
      </c>
      <c r="K155" t="s">
        <v>2556</v>
      </c>
      <c r="L155" t="s">
        <v>1896</v>
      </c>
      <c r="M155" t="s">
        <v>2680</v>
      </c>
      <c r="N155" t="s">
        <v>1898</v>
      </c>
      <c r="R155" t="s">
        <v>119</v>
      </c>
      <c r="S155" t="s">
        <v>886</v>
      </c>
      <c r="T155" t="s">
        <v>117</v>
      </c>
      <c r="Z155" t="s">
        <v>2793</v>
      </c>
      <c r="AA155" t="s">
        <v>2794</v>
      </c>
      <c r="AB155">
        <v>1</v>
      </c>
      <c r="AC155">
        <v>4</v>
      </c>
      <c r="AF155" t="s">
        <v>2641</v>
      </c>
      <c r="AG155" t="s">
        <v>3055</v>
      </c>
      <c r="AH155" t="s">
        <v>1903</v>
      </c>
      <c r="AI155">
        <v>3348600</v>
      </c>
      <c r="AJ155">
        <v>0</v>
      </c>
      <c r="AL155">
        <v>0</v>
      </c>
      <c r="AS155" t="b">
        <v>0</v>
      </c>
      <c r="AV155" t="s">
        <v>886</v>
      </c>
      <c r="AX155" t="s">
        <v>889</v>
      </c>
      <c r="BF155" t="s">
        <v>1906</v>
      </c>
      <c r="BG155" t="s">
        <v>1907</v>
      </c>
      <c r="BI155" t="s">
        <v>886</v>
      </c>
      <c r="BL155" t="s">
        <v>3056</v>
      </c>
      <c r="BM155" t="s">
        <v>887</v>
      </c>
      <c r="BN155" t="s">
        <v>887</v>
      </c>
      <c r="BO155" t="s">
        <v>887</v>
      </c>
      <c r="BQ155" t="s">
        <v>2793</v>
      </c>
      <c r="BR155">
        <v>1</v>
      </c>
      <c r="BS155">
        <v>4</v>
      </c>
      <c r="BU155" t="s">
        <v>1908</v>
      </c>
      <c r="BW155" t="s">
        <v>1934</v>
      </c>
      <c r="BX155" t="s">
        <v>1949</v>
      </c>
      <c r="BY155" t="s">
        <v>1911</v>
      </c>
      <c r="BZ155" t="s">
        <v>1995</v>
      </c>
      <c r="CB155" t="s">
        <v>3057</v>
      </c>
      <c r="CC155" t="s">
        <v>1913</v>
      </c>
      <c r="CD155" t="s">
        <v>1914</v>
      </c>
      <c r="CE155">
        <v>55.4</v>
      </c>
      <c r="CF155">
        <v>54.1</v>
      </c>
      <c r="CG155">
        <v>52.5</v>
      </c>
      <c r="CH155">
        <v>1007</v>
      </c>
      <c r="CI155">
        <v>98</v>
      </c>
      <c r="CJ155">
        <v>54.7</v>
      </c>
      <c r="CK155">
        <v>66.599999999999994</v>
      </c>
      <c r="CL155">
        <v>55.4</v>
      </c>
      <c r="CM155">
        <v>52.5</v>
      </c>
      <c r="CN155">
        <v>31680</v>
      </c>
      <c r="CO155">
        <v>10.5</v>
      </c>
      <c r="CP155">
        <v>217</v>
      </c>
      <c r="CQ155">
        <v>100</v>
      </c>
      <c r="CR155">
        <v>0</v>
      </c>
      <c r="CS155">
        <v>0</v>
      </c>
      <c r="CT155" t="s">
        <v>2415</v>
      </c>
      <c r="CU155">
        <v>181.8500061035156</v>
      </c>
      <c r="CV155">
        <v>98</v>
      </c>
      <c r="CW155">
        <v>10.85000038146973</v>
      </c>
      <c r="CX155">
        <v>3.1500000953674321</v>
      </c>
      <c r="CY155">
        <v>11.35000038146973</v>
      </c>
      <c r="CZ155">
        <v>12.14999961853027</v>
      </c>
      <c r="DA155">
        <v>1</v>
      </c>
      <c r="DB155">
        <v>1</v>
      </c>
      <c r="DC155">
        <v>0</v>
      </c>
      <c r="DD155">
        <v>0</v>
      </c>
      <c r="DE155">
        <v>47.74</v>
      </c>
      <c r="DF155">
        <v>58.64</v>
      </c>
      <c r="DG155">
        <v>0</v>
      </c>
      <c r="DH155">
        <v>0</v>
      </c>
      <c r="DI155">
        <v>0</v>
      </c>
      <c r="DJ155" t="s">
        <v>2688</v>
      </c>
      <c r="DM155">
        <v>2.44</v>
      </c>
      <c r="DN155">
        <v>1782</v>
      </c>
      <c r="EL155">
        <v>0</v>
      </c>
      <c r="EM155" t="s">
        <v>888</v>
      </c>
    </row>
    <row r="156" spans="1:143" x14ac:dyDescent="0.35">
      <c r="A156" t="s">
        <v>38</v>
      </c>
      <c r="B156" t="s">
        <v>890</v>
      </c>
      <c r="C156" t="s">
        <v>116</v>
      </c>
      <c r="D156" t="s">
        <v>120</v>
      </c>
      <c r="G156" t="s">
        <v>3058</v>
      </c>
      <c r="L156" t="s">
        <v>1896</v>
      </c>
      <c r="M156" t="s">
        <v>2680</v>
      </c>
      <c r="R156" t="s">
        <v>119</v>
      </c>
      <c r="S156" t="s">
        <v>891</v>
      </c>
      <c r="T156" t="s">
        <v>117</v>
      </c>
      <c r="Z156" t="s">
        <v>2999</v>
      </c>
      <c r="AA156" t="s">
        <v>2682</v>
      </c>
      <c r="AB156">
        <v>1</v>
      </c>
      <c r="AC156">
        <v>4</v>
      </c>
      <c r="AE156">
        <v>1971</v>
      </c>
      <c r="AF156" t="s">
        <v>2683</v>
      </c>
      <c r="AG156" t="s">
        <v>2426</v>
      </c>
      <c r="AH156" t="s">
        <v>1903</v>
      </c>
      <c r="AI156">
        <v>22519200</v>
      </c>
      <c r="AJ156">
        <v>0</v>
      </c>
      <c r="AL156">
        <v>0</v>
      </c>
      <c r="AS156" t="b">
        <v>0</v>
      </c>
      <c r="AV156" t="s">
        <v>891</v>
      </c>
      <c r="AX156" t="s">
        <v>894</v>
      </c>
      <c r="BD156" t="s">
        <v>3059</v>
      </c>
      <c r="BF156" t="s">
        <v>1906</v>
      </c>
      <c r="BG156" t="s">
        <v>1907</v>
      </c>
      <c r="BI156" t="s">
        <v>891</v>
      </c>
      <c r="BL156" t="s">
        <v>3060</v>
      </c>
      <c r="BM156" t="s">
        <v>892</v>
      </c>
      <c r="BN156" t="s">
        <v>892</v>
      </c>
      <c r="BO156" t="s">
        <v>892</v>
      </c>
      <c r="BP156" t="s">
        <v>3061</v>
      </c>
      <c r="BQ156" t="s">
        <v>2999</v>
      </c>
      <c r="BR156">
        <v>1</v>
      </c>
      <c r="BS156">
        <v>4</v>
      </c>
      <c r="BU156" t="s">
        <v>1908</v>
      </c>
      <c r="BW156" t="s">
        <v>1934</v>
      </c>
      <c r="BX156" t="s">
        <v>1949</v>
      </c>
      <c r="BY156" t="s">
        <v>1911</v>
      </c>
      <c r="BZ156" t="s">
        <v>1910</v>
      </c>
      <c r="CB156" t="s">
        <v>3062</v>
      </c>
      <c r="CC156" t="s">
        <v>2947</v>
      </c>
      <c r="CD156" t="s">
        <v>2948</v>
      </c>
      <c r="CE156">
        <v>55</v>
      </c>
      <c r="CF156">
        <v>53.4</v>
      </c>
      <c r="CG156">
        <v>52.2</v>
      </c>
      <c r="CH156">
        <v>1007</v>
      </c>
      <c r="CI156">
        <v>97</v>
      </c>
      <c r="CJ156">
        <v>54.7</v>
      </c>
      <c r="CK156">
        <v>66.599999999999994</v>
      </c>
      <c r="CL156">
        <v>55</v>
      </c>
      <c r="CM156">
        <v>52.2</v>
      </c>
      <c r="CN156">
        <v>31680</v>
      </c>
      <c r="CO156">
        <v>11.4</v>
      </c>
      <c r="CP156">
        <v>208</v>
      </c>
      <c r="CQ156">
        <v>100</v>
      </c>
      <c r="CR156">
        <v>0.03</v>
      </c>
      <c r="CS156">
        <v>0</v>
      </c>
      <c r="CT156" t="s">
        <v>2415</v>
      </c>
      <c r="CU156">
        <v>176.8500061035156</v>
      </c>
      <c r="CV156">
        <v>101</v>
      </c>
      <c r="CW156">
        <v>9.8500003814697266</v>
      </c>
      <c r="CX156">
        <v>3.25</v>
      </c>
      <c r="CY156">
        <v>10.25</v>
      </c>
      <c r="CZ156">
        <v>10.94999980926514</v>
      </c>
      <c r="DA156">
        <v>1</v>
      </c>
      <c r="DB156">
        <v>1</v>
      </c>
      <c r="DC156">
        <v>0</v>
      </c>
      <c r="DD156">
        <v>0</v>
      </c>
      <c r="DE156">
        <v>70.91</v>
      </c>
      <c r="DF156">
        <v>70.98</v>
      </c>
      <c r="DG156">
        <v>0</v>
      </c>
      <c r="DH156">
        <v>0</v>
      </c>
      <c r="DI156">
        <v>0</v>
      </c>
      <c r="DJ156" t="s">
        <v>2688</v>
      </c>
      <c r="DM156">
        <v>2.44</v>
      </c>
      <c r="DN156">
        <v>1782</v>
      </c>
      <c r="EL156">
        <v>0</v>
      </c>
      <c r="EM156" t="s">
        <v>893</v>
      </c>
    </row>
    <row r="157" spans="1:143" x14ac:dyDescent="0.35">
      <c r="A157" t="s">
        <v>38</v>
      </c>
      <c r="B157" t="s">
        <v>895</v>
      </c>
      <c r="C157" t="s">
        <v>116</v>
      </c>
      <c r="D157" t="s">
        <v>120</v>
      </c>
      <c r="E157">
        <v>18</v>
      </c>
      <c r="F157" t="s">
        <v>2125</v>
      </c>
      <c r="G157" t="s">
        <v>3063</v>
      </c>
      <c r="L157" t="s">
        <v>1896</v>
      </c>
      <c r="M157" t="s">
        <v>3064</v>
      </c>
      <c r="N157" t="s">
        <v>1898</v>
      </c>
      <c r="R157" t="s">
        <v>119</v>
      </c>
      <c r="S157" t="s">
        <v>896</v>
      </c>
      <c r="T157" t="s">
        <v>117</v>
      </c>
      <c r="Z157" t="s">
        <v>2951</v>
      </c>
      <c r="AA157" t="s">
        <v>2559</v>
      </c>
      <c r="AB157">
        <v>1</v>
      </c>
      <c r="AC157">
        <v>4</v>
      </c>
      <c r="AE157">
        <v>1920</v>
      </c>
      <c r="AF157" t="s">
        <v>2739</v>
      </c>
      <c r="AG157" t="s">
        <v>2773</v>
      </c>
      <c r="AH157" t="s">
        <v>1929</v>
      </c>
      <c r="AI157">
        <v>99800</v>
      </c>
      <c r="AJ157">
        <v>0</v>
      </c>
      <c r="AL157">
        <v>0</v>
      </c>
      <c r="AS157" t="b">
        <v>0</v>
      </c>
      <c r="AV157" t="s">
        <v>896</v>
      </c>
      <c r="AX157" t="s">
        <v>899</v>
      </c>
      <c r="BD157" t="s">
        <v>3065</v>
      </c>
      <c r="BF157" t="s">
        <v>1906</v>
      </c>
      <c r="BG157" t="s">
        <v>1907</v>
      </c>
      <c r="BI157" t="s">
        <v>896</v>
      </c>
      <c r="BL157" t="s">
        <v>3066</v>
      </c>
      <c r="BM157" t="s">
        <v>897</v>
      </c>
      <c r="BN157" t="s">
        <v>897</v>
      </c>
      <c r="BO157" t="s">
        <v>897</v>
      </c>
      <c r="BP157" t="s">
        <v>3067</v>
      </c>
      <c r="BQ157" t="s">
        <v>2951</v>
      </c>
      <c r="BR157">
        <v>1</v>
      </c>
      <c r="BS157">
        <v>4</v>
      </c>
      <c r="BU157" t="s">
        <v>1908</v>
      </c>
      <c r="BW157" t="s">
        <v>1934</v>
      </c>
      <c r="BX157" t="s">
        <v>1935</v>
      </c>
      <c r="BY157" t="s">
        <v>2039</v>
      </c>
      <c r="BZ157" t="s">
        <v>1910</v>
      </c>
      <c r="CB157" t="s">
        <v>3068</v>
      </c>
      <c r="CC157" t="s">
        <v>1996</v>
      </c>
      <c r="CD157" t="s">
        <v>1997</v>
      </c>
      <c r="CE157">
        <v>75.2</v>
      </c>
      <c r="CF157">
        <v>50.5</v>
      </c>
      <c r="CG157">
        <v>76.599999999999994</v>
      </c>
      <c r="CH157">
        <v>1007</v>
      </c>
      <c r="CI157">
        <v>40</v>
      </c>
      <c r="CJ157">
        <v>49.8</v>
      </c>
      <c r="CK157">
        <v>75.7</v>
      </c>
      <c r="CL157">
        <v>76.599999999999994</v>
      </c>
      <c r="CM157">
        <v>75.2</v>
      </c>
      <c r="CN157">
        <v>31680</v>
      </c>
      <c r="CO157">
        <v>16.100000000000001</v>
      </c>
      <c r="CP157">
        <v>206</v>
      </c>
      <c r="CQ157">
        <v>10</v>
      </c>
      <c r="CR157">
        <v>0</v>
      </c>
      <c r="CS157">
        <v>0</v>
      </c>
      <c r="CT157" t="s">
        <v>1915</v>
      </c>
      <c r="CU157">
        <v>170.8500061035156</v>
      </c>
      <c r="CV157">
        <v>140</v>
      </c>
      <c r="CW157">
        <v>3.3499999046325679</v>
      </c>
      <c r="CX157">
        <v>4.6500000953674316</v>
      </c>
      <c r="CY157">
        <v>12.25</v>
      </c>
      <c r="CZ157">
        <v>12.94999980926514</v>
      </c>
      <c r="DA157">
        <v>1</v>
      </c>
      <c r="DB157">
        <v>2</v>
      </c>
      <c r="DC157">
        <v>0</v>
      </c>
      <c r="DD157">
        <v>0</v>
      </c>
      <c r="DE157">
        <v>424.04</v>
      </c>
      <c r="DF157">
        <v>530.39</v>
      </c>
      <c r="DG157">
        <v>0</v>
      </c>
      <c r="DH157">
        <v>0</v>
      </c>
      <c r="DI157">
        <v>0</v>
      </c>
      <c r="EL157">
        <v>0</v>
      </c>
      <c r="EM157" t="s">
        <v>898</v>
      </c>
    </row>
    <row r="158" spans="1:143" x14ac:dyDescent="0.35">
      <c r="A158" t="s">
        <v>38</v>
      </c>
      <c r="B158" t="s">
        <v>900</v>
      </c>
      <c r="C158" t="s">
        <v>116</v>
      </c>
      <c r="D158" t="s">
        <v>120</v>
      </c>
      <c r="E158">
        <v>130</v>
      </c>
      <c r="G158" t="s">
        <v>3069</v>
      </c>
      <c r="L158" t="s">
        <v>1896</v>
      </c>
      <c r="M158" t="s">
        <v>2714</v>
      </c>
      <c r="N158" t="s">
        <v>1898</v>
      </c>
      <c r="R158" t="s">
        <v>119</v>
      </c>
      <c r="S158" t="s">
        <v>901</v>
      </c>
      <c r="T158" t="s">
        <v>117</v>
      </c>
      <c r="Z158" t="s">
        <v>3070</v>
      </c>
      <c r="AA158" t="s">
        <v>2664</v>
      </c>
      <c r="AB158">
        <v>1</v>
      </c>
      <c r="AC158">
        <v>4</v>
      </c>
      <c r="AE158">
        <v>1993</v>
      </c>
      <c r="AF158" t="s">
        <v>2590</v>
      </c>
      <c r="AG158" t="s">
        <v>2385</v>
      </c>
      <c r="AH158" t="s">
        <v>1903</v>
      </c>
      <c r="AI158">
        <v>4702000</v>
      </c>
      <c r="AJ158">
        <v>0</v>
      </c>
      <c r="AL158">
        <v>0</v>
      </c>
      <c r="AS158" t="b">
        <v>0</v>
      </c>
      <c r="AV158" t="s">
        <v>901</v>
      </c>
      <c r="AX158" t="s">
        <v>904</v>
      </c>
      <c r="BD158" t="s">
        <v>3071</v>
      </c>
      <c r="BF158" t="s">
        <v>1906</v>
      </c>
      <c r="BG158" t="s">
        <v>1907</v>
      </c>
      <c r="BI158" t="s">
        <v>901</v>
      </c>
      <c r="BL158" t="s">
        <v>3072</v>
      </c>
      <c r="BM158" t="s">
        <v>902</v>
      </c>
      <c r="BN158" t="s">
        <v>902</v>
      </c>
      <c r="BO158" t="s">
        <v>902</v>
      </c>
      <c r="BP158" t="s">
        <v>3073</v>
      </c>
      <c r="BQ158" t="s">
        <v>3070</v>
      </c>
      <c r="BR158">
        <v>1</v>
      </c>
      <c r="BS158">
        <v>4</v>
      </c>
      <c r="BU158" t="s">
        <v>1908</v>
      </c>
      <c r="BW158" t="s">
        <v>1934</v>
      </c>
      <c r="BX158" t="s">
        <v>1949</v>
      </c>
      <c r="BY158" t="s">
        <v>1911</v>
      </c>
      <c r="BZ158" t="s">
        <v>1910</v>
      </c>
      <c r="CB158" t="s">
        <v>3068</v>
      </c>
      <c r="CC158" t="s">
        <v>1996</v>
      </c>
      <c r="CD158" t="s">
        <v>1997</v>
      </c>
      <c r="CE158">
        <v>75.2</v>
      </c>
      <c r="CF158">
        <v>50.5</v>
      </c>
      <c r="CG158">
        <v>76.599999999999994</v>
      </c>
      <c r="CH158">
        <v>1007</v>
      </c>
      <c r="CI158">
        <v>40</v>
      </c>
      <c r="CJ158">
        <v>49.8</v>
      </c>
      <c r="CK158">
        <v>75.7</v>
      </c>
      <c r="CL158">
        <v>76.599999999999994</v>
      </c>
      <c r="CM158">
        <v>75.2</v>
      </c>
      <c r="CN158">
        <v>31680</v>
      </c>
      <c r="CO158">
        <v>16.100000000000001</v>
      </c>
      <c r="CP158">
        <v>206</v>
      </c>
      <c r="CQ158">
        <v>10</v>
      </c>
      <c r="CR158">
        <v>0</v>
      </c>
      <c r="CS158">
        <v>0</v>
      </c>
      <c r="CT158" t="s">
        <v>1915</v>
      </c>
      <c r="CU158">
        <v>170.8500061035156</v>
      </c>
      <c r="CV158">
        <v>140</v>
      </c>
      <c r="CW158">
        <v>3.3499999046325679</v>
      </c>
      <c r="CX158">
        <v>4.6500000953674316</v>
      </c>
      <c r="CY158">
        <v>12.25</v>
      </c>
      <c r="CZ158">
        <v>12.94999980926514</v>
      </c>
      <c r="DA158">
        <v>1</v>
      </c>
      <c r="DB158">
        <v>2</v>
      </c>
      <c r="DC158">
        <v>0</v>
      </c>
      <c r="DD158">
        <v>0</v>
      </c>
      <c r="DE158">
        <v>393.53</v>
      </c>
      <c r="DF158">
        <v>426.96</v>
      </c>
      <c r="DG158">
        <v>0</v>
      </c>
      <c r="DH158">
        <v>0</v>
      </c>
      <c r="DI158">
        <v>0</v>
      </c>
      <c r="DJ158" t="s">
        <v>2805</v>
      </c>
      <c r="DM158">
        <v>1.37</v>
      </c>
      <c r="DN158">
        <v>3040.9</v>
      </c>
      <c r="EL158">
        <v>0</v>
      </c>
      <c r="EM158" t="s">
        <v>903</v>
      </c>
    </row>
    <row r="159" spans="1:143" x14ac:dyDescent="0.35">
      <c r="A159" t="s">
        <v>38</v>
      </c>
      <c r="B159" t="s">
        <v>905</v>
      </c>
      <c r="C159" t="s">
        <v>116</v>
      </c>
      <c r="D159" t="s">
        <v>120</v>
      </c>
      <c r="G159" t="s">
        <v>3074</v>
      </c>
      <c r="L159" t="s">
        <v>1896</v>
      </c>
      <c r="M159" t="s">
        <v>2578</v>
      </c>
      <c r="R159" t="s">
        <v>119</v>
      </c>
      <c r="S159" t="s">
        <v>906</v>
      </c>
      <c r="T159" t="s">
        <v>117</v>
      </c>
      <c r="Z159" t="s">
        <v>2588</v>
      </c>
      <c r="AA159" t="s">
        <v>2589</v>
      </c>
      <c r="AB159">
        <v>1</v>
      </c>
      <c r="AC159">
        <v>4</v>
      </c>
      <c r="AJ159">
        <v>0</v>
      </c>
      <c r="AL159">
        <v>0</v>
      </c>
      <c r="AS159" t="b">
        <v>0</v>
      </c>
      <c r="AV159" t="s">
        <v>906</v>
      </c>
      <c r="AX159" t="s">
        <v>909</v>
      </c>
      <c r="BD159" t="s">
        <v>3075</v>
      </c>
      <c r="BF159" t="s">
        <v>1906</v>
      </c>
      <c r="BG159" t="s">
        <v>1907</v>
      </c>
      <c r="BI159" t="s">
        <v>906</v>
      </c>
      <c r="BL159" t="s">
        <v>3076</v>
      </c>
      <c r="BM159" t="s">
        <v>907</v>
      </c>
      <c r="BN159" t="s">
        <v>907</v>
      </c>
      <c r="BO159" t="s">
        <v>907</v>
      </c>
      <c r="BP159" t="s">
        <v>3077</v>
      </c>
      <c r="BQ159" t="s">
        <v>2588</v>
      </c>
      <c r="BR159">
        <v>1</v>
      </c>
      <c r="BS159">
        <v>4</v>
      </c>
      <c r="BU159" t="s">
        <v>1908</v>
      </c>
      <c r="BW159" t="s">
        <v>1909</v>
      </c>
      <c r="BX159" t="s">
        <v>1949</v>
      </c>
      <c r="BY159" t="s">
        <v>1911</v>
      </c>
      <c r="BZ159" t="s">
        <v>1910</v>
      </c>
      <c r="CB159" t="s">
        <v>3078</v>
      </c>
      <c r="CC159" t="s">
        <v>1996</v>
      </c>
      <c r="CD159" t="s">
        <v>2414</v>
      </c>
      <c r="CE159">
        <v>50</v>
      </c>
      <c r="CF159">
        <v>45.1</v>
      </c>
      <c r="CG159">
        <v>46.6</v>
      </c>
      <c r="CH159">
        <v>1010</v>
      </c>
      <c r="CI159">
        <v>84</v>
      </c>
      <c r="CJ159">
        <v>49.8</v>
      </c>
      <c r="CK159">
        <v>75.7</v>
      </c>
      <c r="CL159">
        <v>50</v>
      </c>
      <c r="CM159">
        <v>46.6</v>
      </c>
      <c r="CN159">
        <v>31680</v>
      </c>
      <c r="CO159">
        <v>8.6999999999999993</v>
      </c>
      <c r="CP159">
        <v>199</v>
      </c>
      <c r="CQ159">
        <v>22</v>
      </c>
      <c r="CR159">
        <v>0</v>
      </c>
      <c r="CS159">
        <v>0</v>
      </c>
      <c r="CT159" t="s">
        <v>2415</v>
      </c>
      <c r="CU159">
        <v>166.8500061035156</v>
      </c>
      <c r="CV159">
        <v>92</v>
      </c>
      <c r="CW159">
        <v>7.75</v>
      </c>
      <c r="CX159">
        <v>4.6500000953674316</v>
      </c>
      <c r="CY159">
        <v>10.94999980926514</v>
      </c>
      <c r="CZ159">
        <v>11.75</v>
      </c>
      <c r="DA159">
        <v>1</v>
      </c>
      <c r="DB159">
        <v>1</v>
      </c>
      <c r="DC159">
        <v>0</v>
      </c>
      <c r="DD159">
        <v>0</v>
      </c>
      <c r="DE159">
        <v>88.34</v>
      </c>
      <c r="DF159">
        <v>105.68</v>
      </c>
      <c r="DG159">
        <v>0</v>
      </c>
      <c r="DH159">
        <v>0</v>
      </c>
      <c r="DI159">
        <v>0</v>
      </c>
      <c r="DJ159" t="s">
        <v>3079</v>
      </c>
      <c r="DM159">
        <v>0.28000000000000003</v>
      </c>
      <c r="DN159">
        <v>18560.7</v>
      </c>
      <c r="EL159">
        <v>0</v>
      </c>
      <c r="EM159" t="s">
        <v>908</v>
      </c>
    </row>
    <row r="160" spans="1:143" x14ac:dyDescent="0.35">
      <c r="A160" t="s">
        <v>38</v>
      </c>
      <c r="B160" t="s">
        <v>910</v>
      </c>
      <c r="C160" t="s">
        <v>116</v>
      </c>
      <c r="D160" t="s">
        <v>120</v>
      </c>
      <c r="E160">
        <v>185</v>
      </c>
      <c r="G160" t="s">
        <v>2587</v>
      </c>
      <c r="L160" t="s">
        <v>1896</v>
      </c>
      <c r="M160" t="s">
        <v>2578</v>
      </c>
      <c r="N160" t="s">
        <v>1898</v>
      </c>
      <c r="R160" t="s">
        <v>119</v>
      </c>
      <c r="S160" t="s">
        <v>911</v>
      </c>
      <c r="T160" t="s">
        <v>117</v>
      </c>
      <c r="Z160" t="s">
        <v>3080</v>
      </c>
      <c r="AA160" t="s">
        <v>3081</v>
      </c>
      <c r="AB160">
        <v>8</v>
      </c>
      <c r="AC160">
        <v>29</v>
      </c>
      <c r="AF160" t="s">
        <v>2580</v>
      </c>
      <c r="AG160" t="s">
        <v>2426</v>
      </c>
      <c r="AH160" t="s">
        <v>1903</v>
      </c>
      <c r="AI160">
        <v>1954200</v>
      </c>
      <c r="AJ160">
        <v>0</v>
      </c>
      <c r="AL160">
        <v>0</v>
      </c>
      <c r="AS160" t="b">
        <v>0</v>
      </c>
      <c r="AV160" t="s">
        <v>911</v>
      </c>
      <c r="AX160" t="s">
        <v>914</v>
      </c>
      <c r="BD160" t="s">
        <v>3082</v>
      </c>
      <c r="BF160" t="s">
        <v>1906</v>
      </c>
      <c r="BG160" t="s">
        <v>3083</v>
      </c>
      <c r="BI160" t="s">
        <v>911</v>
      </c>
      <c r="BL160" t="s">
        <v>3084</v>
      </c>
      <c r="BM160" t="s">
        <v>912</v>
      </c>
      <c r="BN160" t="s">
        <v>912</v>
      </c>
      <c r="BO160" t="s">
        <v>912</v>
      </c>
      <c r="BP160" t="s">
        <v>3085</v>
      </c>
      <c r="BQ160" t="s">
        <v>3080</v>
      </c>
      <c r="BR160">
        <v>8</v>
      </c>
      <c r="BS160">
        <v>29</v>
      </c>
      <c r="BU160" t="s">
        <v>1908</v>
      </c>
      <c r="BW160" t="s">
        <v>1934</v>
      </c>
      <c r="BX160" t="s">
        <v>1949</v>
      </c>
      <c r="BY160" t="s">
        <v>1911</v>
      </c>
      <c r="BZ160" t="s">
        <v>1995</v>
      </c>
      <c r="CB160" t="s">
        <v>3086</v>
      </c>
      <c r="CC160" t="s">
        <v>1961</v>
      </c>
      <c r="CD160" t="s">
        <v>1962</v>
      </c>
      <c r="CE160">
        <v>59.2</v>
      </c>
      <c r="CF160">
        <v>43.7</v>
      </c>
      <c r="CG160">
        <v>58.5</v>
      </c>
      <c r="CH160">
        <v>1010</v>
      </c>
      <c r="CI160">
        <v>54</v>
      </c>
      <c r="CJ160">
        <v>39</v>
      </c>
      <c r="CK160">
        <v>61.3</v>
      </c>
      <c r="CL160">
        <v>59.2</v>
      </c>
      <c r="CM160">
        <v>58.5</v>
      </c>
      <c r="CN160">
        <v>31680</v>
      </c>
      <c r="CO160">
        <v>8.5</v>
      </c>
      <c r="CP160">
        <v>230</v>
      </c>
      <c r="CQ160">
        <v>32</v>
      </c>
      <c r="CR160">
        <v>0</v>
      </c>
      <c r="CS160">
        <v>0</v>
      </c>
      <c r="CT160" t="s">
        <v>1915</v>
      </c>
      <c r="CU160">
        <v>179.8500061035156</v>
      </c>
      <c r="CV160">
        <v>115</v>
      </c>
      <c r="CW160">
        <v>5.25</v>
      </c>
      <c r="CX160">
        <v>4.25</v>
      </c>
      <c r="CY160">
        <v>9.8500003814697266</v>
      </c>
      <c r="CZ160">
        <v>10.35000038146973</v>
      </c>
      <c r="DA160">
        <v>1</v>
      </c>
      <c r="DB160">
        <v>1</v>
      </c>
      <c r="DC160">
        <v>0</v>
      </c>
      <c r="DD160">
        <v>0</v>
      </c>
      <c r="DE160">
        <v>338.03</v>
      </c>
      <c r="DF160">
        <v>353.97</v>
      </c>
      <c r="DG160">
        <v>0</v>
      </c>
      <c r="DH160">
        <v>0</v>
      </c>
      <c r="DI160">
        <v>0</v>
      </c>
      <c r="DJ160" t="s">
        <v>2595</v>
      </c>
      <c r="DM160">
        <v>0.31</v>
      </c>
      <c r="DN160">
        <v>8032.3</v>
      </c>
      <c r="EL160">
        <v>0</v>
      </c>
      <c r="EM160" t="s">
        <v>913</v>
      </c>
    </row>
    <row r="161" spans="1:143" x14ac:dyDescent="0.35">
      <c r="A161" t="s">
        <v>38</v>
      </c>
      <c r="B161" t="s">
        <v>915</v>
      </c>
      <c r="C161" t="s">
        <v>116</v>
      </c>
      <c r="D161" t="s">
        <v>120</v>
      </c>
      <c r="G161" t="s">
        <v>3087</v>
      </c>
      <c r="L161" t="s">
        <v>1896</v>
      </c>
      <c r="M161" t="s">
        <v>2557</v>
      </c>
      <c r="R161" t="s">
        <v>119</v>
      </c>
      <c r="S161" t="s">
        <v>916</v>
      </c>
      <c r="T161" t="s">
        <v>117</v>
      </c>
      <c r="Z161" t="s">
        <v>2588</v>
      </c>
      <c r="AA161" t="s">
        <v>2589</v>
      </c>
      <c r="AB161">
        <v>1</v>
      </c>
      <c r="AC161">
        <v>4</v>
      </c>
      <c r="AJ161">
        <v>0</v>
      </c>
      <c r="AL161">
        <v>0</v>
      </c>
      <c r="AS161" t="b">
        <v>0</v>
      </c>
      <c r="AV161" t="s">
        <v>916</v>
      </c>
      <c r="AX161" t="s">
        <v>919</v>
      </c>
      <c r="BD161" t="s">
        <v>3088</v>
      </c>
      <c r="BF161" t="s">
        <v>1906</v>
      </c>
      <c r="BG161" t="s">
        <v>1907</v>
      </c>
      <c r="BI161" t="s">
        <v>916</v>
      </c>
      <c r="BL161" t="s">
        <v>3089</v>
      </c>
      <c r="BM161" t="s">
        <v>917</v>
      </c>
      <c r="BN161" t="s">
        <v>917</v>
      </c>
      <c r="BO161" t="s">
        <v>917</v>
      </c>
      <c r="BP161" t="s">
        <v>3090</v>
      </c>
      <c r="BQ161" t="s">
        <v>2588</v>
      </c>
      <c r="BR161">
        <v>1</v>
      </c>
      <c r="BS161">
        <v>4</v>
      </c>
      <c r="BU161" t="s">
        <v>1908</v>
      </c>
      <c r="BW161" t="s">
        <v>2128</v>
      </c>
      <c r="BX161" t="s">
        <v>1949</v>
      </c>
      <c r="BY161" t="s">
        <v>1911</v>
      </c>
      <c r="BZ161" t="s">
        <v>1910</v>
      </c>
      <c r="CB161" t="s">
        <v>3091</v>
      </c>
      <c r="CC161" t="s">
        <v>1961</v>
      </c>
      <c r="CD161" t="s">
        <v>1962</v>
      </c>
      <c r="CE161">
        <v>60.6</v>
      </c>
      <c r="CF161">
        <v>41.5</v>
      </c>
      <c r="CG161">
        <v>60.3</v>
      </c>
      <c r="CH161">
        <v>1010</v>
      </c>
      <c r="CI161">
        <v>48</v>
      </c>
      <c r="CJ161">
        <v>39</v>
      </c>
      <c r="CK161">
        <v>61.3</v>
      </c>
      <c r="CL161">
        <v>60.6</v>
      </c>
      <c r="CM161">
        <v>60.3</v>
      </c>
      <c r="CN161">
        <v>31680</v>
      </c>
      <c r="CO161">
        <v>11</v>
      </c>
      <c r="CP161">
        <v>250</v>
      </c>
      <c r="CQ161">
        <v>44</v>
      </c>
      <c r="CR161">
        <v>0</v>
      </c>
      <c r="CS161">
        <v>0</v>
      </c>
      <c r="CT161" t="s">
        <v>1915</v>
      </c>
      <c r="CU161">
        <v>167.8500061035156</v>
      </c>
      <c r="CV161">
        <v>112</v>
      </c>
      <c r="CW161">
        <v>4.4499998092651367</v>
      </c>
      <c r="CX161">
        <v>6.8499999046325684</v>
      </c>
      <c r="CY161">
        <v>8.9499998092651367</v>
      </c>
      <c r="CZ161">
        <v>9.6499996185302734</v>
      </c>
      <c r="DA161">
        <v>1</v>
      </c>
      <c r="DB161">
        <v>1</v>
      </c>
      <c r="DC161">
        <v>0</v>
      </c>
      <c r="DD161">
        <v>0</v>
      </c>
      <c r="DE161">
        <v>397.35</v>
      </c>
      <c r="DF161">
        <v>507.38</v>
      </c>
      <c r="DG161">
        <v>0</v>
      </c>
      <c r="DH161">
        <v>0</v>
      </c>
      <c r="DI161">
        <v>0</v>
      </c>
      <c r="DJ161" t="s">
        <v>2605</v>
      </c>
      <c r="DM161">
        <v>0.49</v>
      </c>
      <c r="DN161">
        <v>8283.7000000000007</v>
      </c>
      <c r="EL161">
        <v>0</v>
      </c>
      <c r="EM161" t="s">
        <v>918</v>
      </c>
    </row>
    <row r="162" spans="1:143" x14ac:dyDescent="0.35">
      <c r="A162" t="s">
        <v>38</v>
      </c>
      <c r="B162" t="s">
        <v>920</v>
      </c>
      <c r="C162" t="s">
        <v>116</v>
      </c>
      <c r="D162" t="s">
        <v>120</v>
      </c>
      <c r="E162">
        <v>501</v>
      </c>
      <c r="G162" t="s">
        <v>3092</v>
      </c>
      <c r="L162" t="s">
        <v>1896</v>
      </c>
      <c r="M162" t="s">
        <v>2680</v>
      </c>
      <c r="N162" t="s">
        <v>1898</v>
      </c>
      <c r="R162" t="s">
        <v>119</v>
      </c>
      <c r="S162" t="s">
        <v>921</v>
      </c>
      <c r="T162" t="s">
        <v>117</v>
      </c>
      <c r="Z162" t="s">
        <v>2951</v>
      </c>
      <c r="AA162" t="s">
        <v>2559</v>
      </c>
      <c r="AB162">
        <v>1</v>
      </c>
      <c r="AC162">
        <v>4</v>
      </c>
      <c r="AE162">
        <v>1986</v>
      </c>
      <c r="AF162" t="s">
        <v>2547</v>
      </c>
      <c r="AG162" t="s">
        <v>3093</v>
      </c>
      <c r="AH162" t="s">
        <v>1903</v>
      </c>
      <c r="AI162">
        <v>7490000</v>
      </c>
      <c r="AJ162">
        <v>0</v>
      </c>
      <c r="AL162">
        <v>0</v>
      </c>
      <c r="AS162" t="b">
        <v>0</v>
      </c>
      <c r="AV162" t="s">
        <v>921</v>
      </c>
      <c r="AX162" t="s">
        <v>924</v>
      </c>
      <c r="BD162" t="s">
        <v>3094</v>
      </c>
      <c r="BF162" t="s">
        <v>1906</v>
      </c>
      <c r="BG162" t="s">
        <v>1907</v>
      </c>
      <c r="BI162" t="s">
        <v>921</v>
      </c>
      <c r="BL162" t="s">
        <v>3095</v>
      </c>
      <c r="BM162" t="s">
        <v>922</v>
      </c>
      <c r="BN162" t="s">
        <v>922</v>
      </c>
      <c r="BO162" t="s">
        <v>922</v>
      </c>
      <c r="BP162" t="s">
        <v>3096</v>
      </c>
      <c r="BQ162" t="s">
        <v>2951</v>
      </c>
      <c r="BR162">
        <v>1</v>
      </c>
      <c r="BS162">
        <v>4</v>
      </c>
      <c r="BU162" t="s">
        <v>1908</v>
      </c>
      <c r="BW162" t="s">
        <v>2128</v>
      </c>
      <c r="BX162" t="s">
        <v>1910</v>
      </c>
      <c r="BY162" t="s">
        <v>1911</v>
      </c>
      <c r="BZ162" t="s">
        <v>1910</v>
      </c>
      <c r="CB162" t="s">
        <v>3097</v>
      </c>
      <c r="CC162" t="s">
        <v>1972</v>
      </c>
      <c r="CD162" t="s">
        <v>1973</v>
      </c>
      <c r="CE162">
        <v>62.8</v>
      </c>
      <c r="CF162">
        <v>37</v>
      </c>
      <c r="CG162">
        <v>62.8</v>
      </c>
      <c r="CH162">
        <v>1010</v>
      </c>
      <c r="CI162">
        <v>44</v>
      </c>
      <c r="CJ162">
        <v>39</v>
      </c>
      <c r="CK162">
        <v>64.2</v>
      </c>
      <c r="CL162">
        <v>62.8</v>
      </c>
      <c r="CM162">
        <v>62.8</v>
      </c>
      <c r="CN162">
        <v>31680</v>
      </c>
      <c r="CO162">
        <v>15.2</v>
      </c>
      <c r="CP162">
        <v>261</v>
      </c>
      <c r="CQ162">
        <v>98</v>
      </c>
      <c r="CR162">
        <v>0</v>
      </c>
      <c r="CS162">
        <v>0</v>
      </c>
      <c r="CT162" t="s">
        <v>1915</v>
      </c>
      <c r="CU162">
        <v>165.8500061035156</v>
      </c>
      <c r="CV162">
        <v>104</v>
      </c>
      <c r="CW162">
        <v>4.9499998092651367</v>
      </c>
      <c r="CX162">
        <v>7.25</v>
      </c>
      <c r="CY162">
        <v>9.4499998092651367</v>
      </c>
      <c r="CZ162">
        <v>10.55000019073486</v>
      </c>
      <c r="DA162">
        <v>1</v>
      </c>
      <c r="DB162">
        <v>1</v>
      </c>
      <c r="DC162">
        <v>0</v>
      </c>
      <c r="DD162">
        <v>0</v>
      </c>
      <c r="DE162">
        <v>342.61</v>
      </c>
      <c r="DF162">
        <v>362.4</v>
      </c>
      <c r="DG162">
        <v>0</v>
      </c>
      <c r="DH162">
        <v>0</v>
      </c>
      <c r="DI162">
        <v>0</v>
      </c>
      <c r="DJ162" t="s">
        <v>2688</v>
      </c>
      <c r="DM162">
        <v>2.44</v>
      </c>
      <c r="DN162">
        <v>1782</v>
      </c>
      <c r="EL162">
        <v>0</v>
      </c>
      <c r="EM162" t="s">
        <v>923</v>
      </c>
    </row>
    <row r="163" spans="1:143" x14ac:dyDescent="0.35">
      <c r="A163" t="s">
        <v>38</v>
      </c>
      <c r="B163" t="s">
        <v>925</v>
      </c>
      <c r="C163" t="s">
        <v>116</v>
      </c>
      <c r="D163" t="s">
        <v>120</v>
      </c>
      <c r="G163" t="s">
        <v>2998</v>
      </c>
      <c r="L163" t="s">
        <v>1896</v>
      </c>
      <c r="M163" t="s">
        <v>2680</v>
      </c>
      <c r="R163" t="s">
        <v>119</v>
      </c>
      <c r="S163" t="s">
        <v>926</v>
      </c>
      <c r="T163" t="s">
        <v>117</v>
      </c>
      <c r="Z163" t="s">
        <v>2999</v>
      </c>
      <c r="AA163" t="s">
        <v>2682</v>
      </c>
      <c r="AB163">
        <v>1</v>
      </c>
      <c r="AC163">
        <v>4</v>
      </c>
      <c r="AJ163">
        <v>0</v>
      </c>
      <c r="AL163">
        <v>0</v>
      </c>
      <c r="AS163" t="b">
        <v>0</v>
      </c>
      <c r="AV163" t="s">
        <v>926</v>
      </c>
      <c r="AX163" t="s">
        <v>929</v>
      </c>
      <c r="BD163" t="s">
        <v>3098</v>
      </c>
      <c r="BF163" t="s">
        <v>1906</v>
      </c>
      <c r="BG163" t="s">
        <v>1907</v>
      </c>
      <c r="BI163" t="s">
        <v>926</v>
      </c>
      <c r="BL163" t="s">
        <v>3099</v>
      </c>
      <c r="BM163" t="s">
        <v>927</v>
      </c>
      <c r="BN163" t="s">
        <v>927</v>
      </c>
      <c r="BO163" t="s">
        <v>927</v>
      </c>
      <c r="BP163" t="s">
        <v>3100</v>
      </c>
      <c r="BQ163" t="s">
        <v>2999</v>
      </c>
      <c r="BR163">
        <v>1</v>
      </c>
      <c r="BS163">
        <v>4</v>
      </c>
      <c r="BU163" t="s">
        <v>1908</v>
      </c>
      <c r="BW163" t="s">
        <v>1934</v>
      </c>
      <c r="BX163" t="s">
        <v>1910</v>
      </c>
      <c r="BY163" t="s">
        <v>1911</v>
      </c>
      <c r="BZ163" t="s">
        <v>1910</v>
      </c>
      <c r="CB163" t="s">
        <v>3101</v>
      </c>
      <c r="CC163" t="s">
        <v>1961</v>
      </c>
      <c r="CD163" t="s">
        <v>1962</v>
      </c>
      <c r="CE163">
        <v>59.5</v>
      </c>
      <c r="CF163">
        <v>39.9</v>
      </c>
      <c r="CG163">
        <v>58.1</v>
      </c>
      <c r="CH163">
        <v>1010</v>
      </c>
      <c r="CI163">
        <v>50</v>
      </c>
      <c r="CJ163">
        <v>39</v>
      </c>
      <c r="CK163">
        <v>61.3</v>
      </c>
      <c r="CL163">
        <v>59.5</v>
      </c>
      <c r="CM163">
        <v>58.1</v>
      </c>
      <c r="CN163">
        <v>31680</v>
      </c>
      <c r="CO163">
        <v>12.5</v>
      </c>
      <c r="CP163">
        <v>259</v>
      </c>
      <c r="CQ163">
        <v>34</v>
      </c>
      <c r="CR163">
        <v>0</v>
      </c>
      <c r="CS163">
        <v>0</v>
      </c>
      <c r="CT163" t="s">
        <v>1915</v>
      </c>
      <c r="CU163">
        <v>163.8500061035156</v>
      </c>
      <c r="CV163">
        <v>93</v>
      </c>
      <c r="CW163">
        <v>5.6500000953674316</v>
      </c>
      <c r="CX163">
        <v>7.4499998092651367</v>
      </c>
      <c r="CY163">
        <v>8.9499998092651367</v>
      </c>
      <c r="CZ163">
        <v>9.4499998092651367</v>
      </c>
      <c r="DA163">
        <v>1</v>
      </c>
      <c r="DB163">
        <v>1</v>
      </c>
      <c r="DC163">
        <v>0</v>
      </c>
      <c r="DD163">
        <v>0</v>
      </c>
      <c r="DE163">
        <v>290.23</v>
      </c>
      <c r="DF163">
        <v>354.42</v>
      </c>
      <c r="DG163">
        <v>0</v>
      </c>
      <c r="DH163">
        <v>0</v>
      </c>
      <c r="DI163">
        <v>0</v>
      </c>
      <c r="DJ163" t="s">
        <v>2688</v>
      </c>
      <c r="DM163">
        <v>2.44</v>
      </c>
      <c r="DN163">
        <v>1782</v>
      </c>
      <c r="EL163">
        <v>0</v>
      </c>
      <c r="EM163" t="s">
        <v>928</v>
      </c>
    </row>
    <row r="164" spans="1:143" x14ac:dyDescent="0.35">
      <c r="A164" t="s">
        <v>38</v>
      </c>
      <c r="B164" t="s">
        <v>930</v>
      </c>
      <c r="C164" t="s">
        <v>116</v>
      </c>
      <c r="D164" t="s">
        <v>120</v>
      </c>
      <c r="G164" t="s">
        <v>3102</v>
      </c>
      <c r="L164" t="s">
        <v>1896</v>
      </c>
      <c r="M164" t="s">
        <v>2557</v>
      </c>
      <c r="R164" t="s">
        <v>119</v>
      </c>
      <c r="S164" t="s">
        <v>931</v>
      </c>
      <c r="T164" t="s">
        <v>117</v>
      </c>
      <c r="Z164" t="s">
        <v>3029</v>
      </c>
      <c r="AA164" t="s">
        <v>3030</v>
      </c>
      <c r="AB164">
        <v>1</v>
      </c>
      <c r="AC164">
        <v>4</v>
      </c>
      <c r="AJ164">
        <v>0</v>
      </c>
      <c r="AL164">
        <v>0</v>
      </c>
      <c r="AS164" t="b">
        <v>0</v>
      </c>
      <c r="AV164" t="s">
        <v>931</v>
      </c>
      <c r="AX164" t="s">
        <v>934</v>
      </c>
      <c r="BD164" t="s">
        <v>3103</v>
      </c>
      <c r="BF164" t="s">
        <v>1906</v>
      </c>
      <c r="BG164" t="s">
        <v>3104</v>
      </c>
      <c r="BI164" t="s">
        <v>931</v>
      </c>
      <c r="BL164" t="s">
        <v>3105</v>
      </c>
      <c r="BM164" t="s">
        <v>932</v>
      </c>
      <c r="BN164" t="s">
        <v>932</v>
      </c>
      <c r="BO164" t="s">
        <v>932</v>
      </c>
      <c r="BP164" t="s">
        <v>3106</v>
      </c>
      <c r="BQ164" t="s">
        <v>3029</v>
      </c>
      <c r="BR164">
        <v>1</v>
      </c>
      <c r="BS164">
        <v>4</v>
      </c>
      <c r="BU164" t="s">
        <v>1908</v>
      </c>
      <c r="BW164" t="s">
        <v>1934</v>
      </c>
      <c r="BX164" t="s">
        <v>1949</v>
      </c>
      <c r="BY164" t="s">
        <v>1911</v>
      </c>
      <c r="BZ164" t="s">
        <v>1995</v>
      </c>
      <c r="CB164" t="s">
        <v>3101</v>
      </c>
      <c r="CC164" t="s">
        <v>1961</v>
      </c>
      <c r="CD164" t="s">
        <v>1962</v>
      </c>
      <c r="CE164">
        <v>59.5</v>
      </c>
      <c r="CF164">
        <v>39.9</v>
      </c>
      <c r="CG164">
        <v>58.1</v>
      </c>
      <c r="CH164">
        <v>1010</v>
      </c>
      <c r="CI164">
        <v>50</v>
      </c>
      <c r="CJ164">
        <v>39</v>
      </c>
      <c r="CK164">
        <v>61.3</v>
      </c>
      <c r="CL164">
        <v>59.5</v>
      </c>
      <c r="CM164">
        <v>58.1</v>
      </c>
      <c r="CN164">
        <v>31680</v>
      </c>
      <c r="CO164">
        <v>12.5</v>
      </c>
      <c r="CP164">
        <v>259</v>
      </c>
      <c r="CQ164">
        <v>34</v>
      </c>
      <c r="CR164">
        <v>0</v>
      </c>
      <c r="CS164">
        <v>0</v>
      </c>
      <c r="CT164" t="s">
        <v>1915</v>
      </c>
      <c r="CU164">
        <v>163.8500061035156</v>
      </c>
      <c r="CV164">
        <v>93</v>
      </c>
      <c r="CW164">
        <v>5.6500000953674316</v>
      </c>
      <c r="CX164">
        <v>7.4499998092651367</v>
      </c>
      <c r="CY164">
        <v>8.9499998092651367</v>
      </c>
      <c r="CZ164">
        <v>9.4499998092651367</v>
      </c>
      <c r="DA164">
        <v>1</v>
      </c>
      <c r="DB164">
        <v>1</v>
      </c>
      <c r="DC164">
        <v>0</v>
      </c>
      <c r="DD164">
        <v>0</v>
      </c>
      <c r="DE164">
        <v>282.68</v>
      </c>
      <c r="DF164">
        <v>360.96</v>
      </c>
      <c r="DG164">
        <v>0</v>
      </c>
      <c r="DH164">
        <v>0</v>
      </c>
      <c r="DI164">
        <v>0</v>
      </c>
      <c r="DJ164" t="s">
        <v>2605</v>
      </c>
      <c r="DM164">
        <v>0.49</v>
      </c>
      <c r="DN164">
        <v>8283.7000000000007</v>
      </c>
      <c r="EL164">
        <v>0</v>
      </c>
      <c r="EM164" t="s">
        <v>933</v>
      </c>
    </row>
    <row r="165" spans="1:143" x14ac:dyDescent="0.35">
      <c r="A165" t="s">
        <v>38</v>
      </c>
      <c r="B165" t="s">
        <v>935</v>
      </c>
      <c r="C165" t="s">
        <v>116</v>
      </c>
      <c r="D165" t="s">
        <v>120</v>
      </c>
      <c r="E165">
        <v>120</v>
      </c>
      <c r="G165" t="s">
        <v>3107</v>
      </c>
      <c r="L165" t="s">
        <v>1896</v>
      </c>
      <c r="M165" t="s">
        <v>2629</v>
      </c>
      <c r="N165" t="s">
        <v>1898</v>
      </c>
      <c r="R165" t="s">
        <v>119</v>
      </c>
      <c r="S165" t="s">
        <v>936</v>
      </c>
      <c r="T165" t="s">
        <v>117</v>
      </c>
      <c r="Z165" t="s">
        <v>3020</v>
      </c>
      <c r="AA165" t="s">
        <v>2652</v>
      </c>
      <c r="AB165">
        <v>1</v>
      </c>
      <c r="AC165">
        <v>4</v>
      </c>
      <c r="AE165">
        <v>1988</v>
      </c>
      <c r="AF165" t="s">
        <v>2683</v>
      </c>
      <c r="AG165" t="s">
        <v>2866</v>
      </c>
      <c r="AH165" t="s">
        <v>1903</v>
      </c>
      <c r="AI165">
        <v>1250100</v>
      </c>
      <c r="AJ165">
        <v>0</v>
      </c>
      <c r="AL165">
        <v>0</v>
      </c>
      <c r="AS165" t="b">
        <v>0</v>
      </c>
      <c r="AV165" t="s">
        <v>936</v>
      </c>
      <c r="AX165" t="s">
        <v>939</v>
      </c>
      <c r="BD165" t="s">
        <v>3108</v>
      </c>
      <c r="BF165" t="s">
        <v>1906</v>
      </c>
      <c r="BG165" t="s">
        <v>1907</v>
      </c>
      <c r="BI165" t="s">
        <v>936</v>
      </c>
      <c r="BL165" t="s">
        <v>3109</v>
      </c>
      <c r="BM165" t="s">
        <v>937</v>
      </c>
      <c r="BN165" t="s">
        <v>937</v>
      </c>
      <c r="BO165" t="s">
        <v>937</v>
      </c>
      <c r="BP165" t="s">
        <v>3110</v>
      </c>
      <c r="BQ165" t="s">
        <v>3020</v>
      </c>
      <c r="BR165">
        <v>1</v>
      </c>
      <c r="BS165">
        <v>4</v>
      </c>
      <c r="BU165" t="s">
        <v>1908</v>
      </c>
      <c r="BW165" t="s">
        <v>1934</v>
      </c>
      <c r="BX165" t="s">
        <v>1949</v>
      </c>
      <c r="BY165" t="s">
        <v>1911</v>
      </c>
      <c r="BZ165" t="s">
        <v>1995</v>
      </c>
      <c r="CB165" t="s">
        <v>3101</v>
      </c>
      <c r="CC165" t="s">
        <v>1961</v>
      </c>
      <c r="CD165" t="s">
        <v>1962</v>
      </c>
      <c r="CE165">
        <v>59.5</v>
      </c>
      <c r="CF165">
        <v>39.9</v>
      </c>
      <c r="CG165">
        <v>58.1</v>
      </c>
      <c r="CH165">
        <v>1010</v>
      </c>
      <c r="CI165">
        <v>50</v>
      </c>
      <c r="CJ165">
        <v>39</v>
      </c>
      <c r="CK165">
        <v>61.3</v>
      </c>
      <c r="CL165">
        <v>59.5</v>
      </c>
      <c r="CM165">
        <v>58.1</v>
      </c>
      <c r="CN165">
        <v>31680</v>
      </c>
      <c r="CO165">
        <v>12.5</v>
      </c>
      <c r="CP165">
        <v>259</v>
      </c>
      <c r="CQ165">
        <v>34</v>
      </c>
      <c r="CR165">
        <v>0</v>
      </c>
      <c r="CS165">
        <v>0</v>
      </c>
      <c r="CT165" t="s">
        <v>1915</v>
      </c>
      <c r="CU165">
        <v>163.8500061035156</v>
      </c>
      <c r="CV165">
        <v>93</v>
      </c>
      <c r="CW165">
        <v>5.6500000953674316</v>
      </c>
      <c r="CX165">
        <v>7.4499998092651367</v>
      </c>
      <c r="CY165">
        <v>8.9499998092651367</v>
      </c>
      <c r="CZ165">
        <v>9.4499998092651367</v>
      </c>
      <c r="DA165">
        <v>1</v>
      </c>
      <c r="DB165">
        <v>1</v>
      </c>
      <c r="DC165">
        <v>0</v>
      </c>
      <c r="DD165">
        <v>0</v>
      </c>
      <c r="DE165">
        <v>227.34</v>
      </c>
      <c r="DF165">
        <v>286.14</v>
      </c>
      <c r="DG165">
        <v>0</v>
      </c>
      <c r="DH165">
        <v>0</v>
      </c>
      <c r="DI165">
        <v>0</v>
      </c>
      <c r="DJ165" t="s">
        <v>3111</v>
      </c>
      <c r="DM165">
        <v>0.68</v>
      </c>
      <c r="DN165">
        <v>3982.4</v>
      </c>
      <c r="EL165">
        <v>0</v>
      </c>
      <c r="EM165" t="s">
        <v>938</v>
      </c>
    </row>
    <row r="166" spans="1:143" x14ac:dyDescent="0.35">
      <c r="A166" t="s">
        <v>38</v>
      </c>
      <c r="B166" t="s">
        <v>940</v>
      </c>
      <c r="C166" t="s">
        <v>116</v>
      </c>
      <c r="D166" t="s">
        <v>120</v>
      </c>
      <c r="G166" t="s">
        <v>3112</v>
      </c>
      <c r="L166" t="s">
        <v>1896</v>
      </c>
      <c r="M166" t="s">
        <v>2578</v>
      </c>
      <c r="R166" t="s">
        <v>119</v>
      </c>
      <c r="S166" t="s">
        <v>941</v>
      </c>
      <c r="T166" t="s">
        <v>117</v>
      </c>
      <c r="Z166" t="s">
        <v>2762</v>
      </c>
      <c r="AA166" t="s">
        <v>2763</v>
      </c>
      <c r="AB166">
        <v>1</v>
      </c>
      <c r="AC166">
        <v>4</v>
      </c>
      <c r="AJ166">
        <v>0</v>
      </c>
      <c r="AL166">
        <v>0</v>
      </c>
      <c r="AS166" t="b">
        <v>0</v>
      </c>
      <c r="AV166" t="s">
        <v>941</v>
      </c>
      <c r="AX166" t="s">
        <v>944</v>
      </c>
      <c r="BD166" t="s">
        <v>3113</v>
      </c>
      <c r="BF166" t="s">
        <v>1906</v>
      </c>
      <c r="BG166" t="s">
        <v>1907</v>
      </c>
      <c r="BI166" t="s">
        <v>941</v>
      </c>
      <c r="BL166" t="s">
        <v>3114</v>
      </c>
      <c r="BM166" t="s">
        <v>942</v>
      </c>
      <c r="BN166" t="s">
        <v>942</v>
      </c>
      <c r="BO166" t="s">
        <v>942</v>
      </c>
      <c r="BP166" t="s">
        <v>3115</v>
      </c>
      <c r="BQ166" t="s">
        <v>2762</v>
      </c>
      <c r="BR166">
        <v>1</v>
      </c>
      <c r="BS166">
        <v>4</v>
      </c>
      <c r="BU166" t="s">
        <v>1908</v>
      </c>
      <c r="BW166" t="s">
        <v>1948</v>
      </c>
      <c r="BX166" t="s">
        <v>1949</v>
      </c>
      <c r="BY166" t="s">
        <v>1911</v>
      </c>
      <c r="BZ166" t="s">
        <v>1910</v>
      </c>
      <c r="CB166" t="s">
        <v>3116</v>
      </c>
      <c r="CC166" t="s">
        <v>1996</v>
      </c>
      <c r="CD166" t="s">
        <v>2414</v>
      </c>
      <c r="CE166">
        <v>41</v>
      </c>
      <c r="CF166">
        <v>29.1</v>
      </c>
      <c r="CG166">
        <v>37.200000000000003</v>
      </c>
      <c r="CH166">
        <v>1013</v>
      </c>
      <c r="CI166">
        <v>62</v>
      </c>
      <c r="CJ166">
        <v>38.799999999999997</v>
      </c>
      <c r="CK166">
        <v>52.2</v>
      </c>
      <c r="CL166">
        <v>41</v>
      </c>
      <c r="CM166">
        <v>37.200000000000003</v>
      </c>
      <c r="CN166">
        <v>31680</v>
      </c>
      <c r="CO166">
        <v>6.5</v>
      </c>
      <c r="CP166">
        <v>278</v>
      </c>
      <c r="CQ166">
        <v>14</v>
      </c>
      <c r="CR166">
        <v>0</v>
      </c>
      <c r="CS166">
        <v>0</v>
      </c>
      <c r="CT166" t="s">
        <v>2415</v>
      </c>
      <c r="CU166">
        <v>169.8500061035156</v>
      </c>
      <c r="CV166">
        <v>76</v>
      </c>
      <c r="CW166">
        <v>6.75</v>
      </c>
      <c r="CX166">
        <v>1.549999952316284</v>
      </c>
      <c r="CY166">
        <v>6.3499999046325684</v>
      </c>
      <c r="CZ166">
        <v>7.3499999046325684</v>
      </c>
      <c r="DA166">
        <v>1</v>
      </c>
      <c r="DB166">
        <v>1</v>
      </c>
      <c r="DC166">
        <v>0</v>
      </c>
      <c r="DD166">
        <v>0</v>
      </c>
      <c r="DE166">
        <v>125.81</v>
      </c>
      <c r="DF166">
        <v>163.44999999999999</v>
      </c>
      <c r="DG166">
        <v>0</v>
      </c>
      <c r="DH166">
        <v>0</v>
      </c>
      <c r="DI166">
        <v>0</v>
      </c>
      <c r="DJ166" t="s">
        <v>3117</v>
      </c>
      <c r="DM166">
        <v>0.35</v>
      </c>
      <c r="DN166">
        <v>9425.7000000000007</v>
      </c>
      <c r="EL166">
        <v>0</v>
      </c>
      <c r="EM166" t="s">
        <v>943</v>
      </c>
    </row>
    <row r="167" spans="1:143" x14ac:dyDescent="0.35">
      <c r="A167" t="s">
        <v>38</v>
      </c>
      <c r="B167" t="s">
        <v>945</v>
      </c>
      <c r="C167" t="s">
        <v>116</v>
      </c>
      <c r="D167" t="s">
        <v>120</v>
      </c>
      <c r="E167">
        <v>70</v>
      </c>
      <c r="F167" t="s">
        <v>2226</v>
      </c>
      <c r="G167" t="s">
        <v>2727</v>
      </c>
      <c r="L167" t="s">
        <v>1896</v>
      </c>
      <c r="M167" t="s">
        <v>2714</v>
      </c>
      <c r="N167" t="s">
        <v>1898</v>
      </c>
      <c r="R167" t="s">
        <v>119</v>
      </c>
      <c r="S167" t="s">
        <v>946</v>
      </c>
      <c r="T167" t="s">
        <v>117</v>
      </c>
      <c r="Z167" t="s">
        <v>2728</v>
      </c>
      <c r="AA167" t="s">
        <v>2729</v>
      </c>
      <c r="AB167">
        <v>1</v>
      </c>
      <c r="AC167">
        <v>4</v>
      </c>
      <c r="AE167">
        <v>2006</v>
      </c>
      <c r="AF167" t="s">
        <v>2580</v>
      </c>
      <c r="AG167" t="s">
        <v>3118</v>
      </c>
      <c r="AH167" t="s">
        <v>1903</v>
      </c>
      <c r="AI167">
        <v>313500</v>
      </c>
      <c r="AJ167">
        <v>0</v>
      </c>
      <c r="AL167">
        <v>0</v>
      </c>
      <c r="AS167" t="b">
        <v>0</v>
      </c>
      <c r="AV167" t="s">
        <v>946</v>
      </c>
      <c r="AX167" t="s">
        <v>949</v>
      </c>
      <c r="BD167" t="s">
        <v>3119</v>
      </c>
      <c r="BF167" t="s">
        <v>1906</v>
      </c>
      <c r="BG167" t="s">
        <v>1907</v>
      </c>
      <c r="BI167" t="s">
        <v>946</v>
      </c>
      <c r="BL167" t="s">
        <v>3120</v>
      </c>
      <c r="BM167" t="s">
        <v>947</v>
      </c>
      <c r="BN167" t="s">
        <v>947</v>
      </c>
      <c r="BO167" t="s">
        <v>947</v>
      </c>
      <c r="BP167" t="s">
        <v>3121</v>
      </c>
      <c r="BQ167" t="s">
        <v>2728</v>
      </c>
      <c r="BR167">
        <v>1</v>
      </c>
      <c r="BS167">
        <v>4</v>
      </c>
      <c r="BU167" t="s">
        <v>1908</v>
      </c>
      <c r="BW167" t="s">
        <v>2128</v>
      </c>
      <c r="BX167" t="s">
        <v>1949</v>
      </c>
      <c r="BY167" t="s">
        <v>1911</v>
      </c>
      <c r="BZ167" t="s">
        <v>1995</v>
      </c>
      <c r="CB167" t="s">
        <v>3122</v>
      </c>
      <c r="CC167" t="s">
        <v>3123</v>
      </c>
      <c r="CD167" t="s">
        <v>3124</v>
      </c>
      <c r="CE167">
        <v>44.8</v>
      </c>
      <c r="CF167">
        <v>43</v>
      </c>
      <c r="CG167">
        <v>40.700000000000003</v>
      </c>
      <c r="CH167">
        <v>1011</v>
      </c>
      <c r="CI167">
        <v>94</v>
      </c>
      <c r="CJ167">
        <v>40.799999999999997</v>
      </c>
      <c r="CK167">
        <v>52.7</v>
      </c>
      <c r="CL167">
        <v>44.8</v>
      </c>
      <c r="CM167">
        <v>40.700000000000003</v>
      </c>
      <c r="CN167">
        <v>5280</v>
      </c>
      <c r="CO167">
        <v>7.4</v>
      </c>
      <c r="CP167">
        <v>229</v>
      </c>
      <c r="CQ167">
        <v>100</v>
      </c>
      <c r="CR167">
        <v>0.05</v>
      </c>
      <c r="CS167">
        <v>0</v>
      </c>
      <c r="CT167" t="s">
        <v>1915</v>
      </c>
      <c r="CU167">
        <v>159.8500061035156</v>
      </c>
      <c r="CV167">
        <v>75</v>
      </c>
      <c r="CW167">
        <v>3.9500000476837158</v>
      </c>
      <c r="CX167">
        <v>2.1500000953674321</v>
      </c>
      <c r="CY167">
        <v>3.25</v>
      </c>
      <c r="CZ167">
        <v>3.3499999046325679</v>
      </c>
      <c r="DA167">
        <v>1</v>
      </c>
      <c r="DB167">
        <v>1</v>
      </c>
      <c r="DC167">
        <v>0</v>
      </c>
      <c r="DD167">
        <v>0</v>
      </c>
      <c r="DE167">
        <v>21.44</v>
      </c>
      <c r="DF167">
        <v>28.42</v>
      </c>
      <c r="DG167">
        <v>0</v>
      </c>
      <c r="DH167">
        <v>0</v>
      </c>
      <c r="DI167">
        <v>0</v>
      </c>
      <c r="DJ167" t="s">
        <v>2805</v>
      </c>
      <c r="DM167">
        <v>1.37</v>
      </c>
      <c r="DN167">
        <v>3040.9</v>
      </c>
      <c r="EL167">
        <v>0</v>
      </c>
      <c r="EM167" t="s">
        <v>948</v>
      </c>
    </row>
    <row r="168" spans="1:143" x14ac:dyDescent="0.35">
      <c r="A168" t="s">
        <v>38</v>
      </c>
      <c r="B168" t="s">
        <v>950</v>
      </c>
      <c r="C168" t="s">
        <v>116</v>
      </c>
      <c r="D168" t="s">
        <v>120</v>
      </c>
      <c r="E168">
        <v>560</v>
      </c>
      <c r="F168" t="s">
        <v>2565</v>
      </c>
      <c r="G168" t="s">
        <v>2566</v>
      </c>
      <c r="L168" t="s">
        <v>1896</v>
      </c>
      <c r="M168" t="s">
        <v>2567</v>
      </c>
      <c r="N168" t="s">
        <v>1898</v>
      </c>
      <c r="R168" t="s">
        <v>119</v>
      </c>
      <c r="S168" t="s">
        <v>951</v>
      </c>
      <c r="T168" t="s">
        <v>117</v>
      </c>
      <c r="Z168" t="s">
        <v>2762</v>
      </c>
      <c r="AA168" t="s">
        <v>2763</v>
      </c>
      <c r="AB168">
        <v>1</v>
      </c>
      <c r="AC168">
        <v>4</v>
      </c>
      <c r="AE168">
        <v>1996</v>
      </c>
      <c r="AF168" t="s">
        <v>2707</v>
      </c>
      <c r="AG168" t="s">
        <v>2369</v>
      </c>
      <c r="AH168" t="s">
        <v>1903</v>
      </c>
      <c r="AI168">
        <v>576600</v>
      </c>
      <c r="AJ168">
        <v>0</v>
      </c>
      <c r="AL168">
        <v>0</v>
      </c>
      <c r="AS168" t="b">
        <v>0</v>
      </c>
      <c r="AV168" t="s">
        <v>951</v>
      </c>
      <c r="AX168" t="s">
        <v>954</v>
      </c>
      <c r="BD168" t="s">
        <v>3125</v>
      </c>
      <c r="BF168" t="s">
        <v>1906</v>
      </c>
      <c r="BG168" t="s">
        <v>1907</v>
      </c>
      <c r="BI168" t="s">
        <v>951</v>
      </c>
      <c r="BL168" t="s">
        <v>3126</v>
      </c>
      <c r="BM168" t="s">
        <v>952</v>
      </c>
      <c r="BN168" t="s">
        <v>952</v>
      </c>
      <c r="BO168" t="s">
        <v>952</v>
      </c>
      <c r="BP168" t="s">
        <v>3127</v>
      </c>
      <c r="BQ168" t="s">
        <v>2762</v>
      </c>
      <c r="BR168">
        <v>1</v>
      </c>
      <c r="BS168">
        <v>4</v>
      </c>
      <c r="BU168" t="s">
        <v>1908</v>
      </c>
      <c r="BW168" t="s">
        <v>2128</v>
      </c>
      <c r="BX168" t="s">
        <v>1949</v>
      </c>
      <c r="BY168" t="s">
        <v>1911</v>
      </c>
      <c r="BZ168" t="s">
        <v>1910</v>
      </c>
      <c r="CB168" t="s">
        <v>2405</v>
      </c>
      <c r="CC168" t="s">
        <v>1913</v>
      </c>
      <c r="CD168" t="s">
        <v>1914</v>
      </c>
      <c r="CE168">
        <v>53.6</v>
      </c>
      <c r="CF168">
        <v>33.6</v>
      </c>
      <c r="CG168">
        <v>50.4</v>
      </c>
      <c r="CH168">
        <v>1010</v>
      </c>
      <c r="CI168">
        <v>45</v>
      </c>
      <c r="CJ168">
        <v>40.6</v>
      </c>
      <c r="CK168">
        <v>53.6</v>
      </c>
      <c r="CL168">
        <v>53.6</v>
      </c>
      <c r="CM168">
        <v>50.4</v>
      </c>
      <c r="CN168">
        <v>31680</v>
      </c>
      <c r="CO168">
        <v>10.5</v>
      </c>
      <c r="CP168">
        <v>288</v>
      </c>
      <c r="CQ168">
        <v>82</v>
      </c>
      <c r="CR168">
        <v>0</v>
      </c>
      <c r="CS168">
        <v>0</v>
      </c>
      <c r="CT168" t="s">
        <v>1915</v>
      </c>
      <c r="CU168">
        <v>146.8500061035156</v>
      </c>
      <c r="CV168">
        <v>87</v>
      </c>
      <c r="CW168">
        <v>2.0499999523162842</v>
      </c>
      <c r="CX168">
        <v>1.049999952316284</v>
      </c>
      <c r="CY168">
        <v>1.950000047683716</v>
      </c>
      <c r="CZ168">
        <v>2.1500000953674321</v>
      </c>
      <c r="DA168">
        <v>1</v>
      </c>
      <c r="DB168">
        <v>1</v>
      </c>
      <c r="DC168">
        <v>0</v>
      </c>
      <c r="DD168">
        <v>0</v>
      </c>
      <c r="DE168">
        <v>317.39</v>
      </c>
      <c r="DF168">
        <v>437.33</v>
      </c>
      <c r="DG168">
        <v>0</v>
      </c>
      <c r="DH168">
        <v>0</v>
      </c>
      <c r="DI168">
        <v>0</v>
      </c>
      <c r="DJ168" t="s">
        <v>2769</v>
      </c>
      <c r="DM168">
        <v>1.93</v>
      </c>
      <c r="DN168">
        <v>3857</v>
      </c>
      <c r="EL168">
        <v>0</v>
      </c>
      <c r="EM168" t="s">
        <v>953</v>
      </c>
    </row>
    <row r="169" spans="1:143" x14ac:dyDescent="0.35">
      <c r="A169" t="s">
        <v>38</v>
      </c>
      <c r="B169" t="s">
        <v>955</v>
      </c>
      <c r="C169" t="s">
        <v>116</v>
      </c>
      <c r="D169" t="s">
        <v>120</v>
      </c>
      <c r="E169">
        <v>112</v>
      </c>
      <c r="G169" t="s">
        <v>3128</v>
      </c>
      <c r="L169" t="s">
        <v>1896</v>
      </c>
      <c r="M169" t="s">
        <v>3129</v>
      </c>
      <c r="N169" t="s">
        <v>1898</v>
      </c>
      <c r="R169" t="s">
        <v>119</v>
      </c>
      <c r="S169" t="s">
        <v>956</v>
      </c>
      <c r="T169" t="s">
        <v>117</v>
      </c>
      <c r="Z169" t="s">
        <v>2762</v>
      </c>
      <c r="AA169" t="s">
        <v>2763</v>
      </c>
      <c r="AB169">
        <v>1</v>
      </c>
      <c r="AC169">
        <v>4</v>
      </c>
      <c r="AE169">
        <v>1927</v>
      </c>
      <c r="AF169" t="s">
        <v>2641</v>
      </c>
      <c r="AG169" t="s">
        <v>1928</v>
      </c>
      <c r="AH169" t="s">
        <v>1929</v>
      </c>
      <c r="AI169">
        <v>118700</v>
      </c>
      <c r="AJ169">
        <v>0</v>
      </c>
      <c r="AL169">
        <v>0</v>
      </c>
      <c r="AS169" t="b">
        <v>0</v>
      </c>
      <c r="AV169" t="s">
        <v>956</v>
      </c>
      <c r="AX169" t="s">
        <v>959</v>
      </c>
      <c r="BD169" t="s">
        <v>3130</v>
      </c>
      <c r="BF169" t="s">
        <v>1906</v>
      </c>
      <c r="BG169" t="s">
        <v>1907</v>
      </c>
      <c r="BI169" t="s">
        <v>956</v>
      </c>
      <c r="BL169" t="s">
        <v>3131</v>
      </c>
      <c r="BM169" t="s">
        <v>957</v>
      </c>
      <c r="BN169" t="s">
        <v>957</v>
      </c>
      <c r="BO169" t="s">
        <v>957</v>
      </c>
      <c r="BP169" t="s">
        <v>3132</v>
      </c>
      <c r="BQ169" t="s">
        <v>2762</v>
      </c>
      <c r="BR169">
        <v>1</v>
      </c>
      <c r="BS169">
        <v>4</v>
      </c>
      <c r="BU169" t="s">
        <v>1908</v>
      </c>
      <c r="BW169" t="s">
        <v>1948</v>
      </c>
      <c r="BX169" t="s">
        <v>1949</v>
      </c>
      <c r="BY169" t="s">
        <v>1911</v>
      </c>
      <c r="BZ169" t="s">
        <v>1910</v>
      </c>
      <c r="EL169">
        <v>0</v>
      </c>
      <c r="EM169" t="s">
        <v>958</v>
      </c>
    </row>
    <row r="170" spans="1:143" x14ac:dyDescent="0.35">
      <c r="A170" t="s">
        <v>38</v>
      </c>
      <c r="B170" t="s">
        <v>960</v>
      </c>
      <c r="C170" t="s">
        <v>116</v>
      </c>
      <c r="D170" t="s">
        <v>120</v>
      </c>
      <c r="G170" t="s">
        <v>3133</v>
      </c>
      <c r="L170" t="s">
        <v>1896</v>
      </c>
      <c r="M170" t="s">
        <v>3134</v>
      </c>
      <c r="R170" t="s">
        <v>119</v>
      </c>
      <c r="S170" t="s">
        <v>961</v>
      </c>
      <c r="T170" t="s">
        <v>117</v>
      </c>
      <c r="Z170" t="s">
        <v>2993</v>
      </c>
      <c r="AA170" t="s">
        <v>2579</v>
      </c>
      <c r="AB170">
        <v>1</v>
      </c>
      <c r="AC170">
        <v>4</v>
      </c>
      <c r="AE170">
        <v>1980</v>
      </c>
      <c r="AF170" t="s">
        <v>2580</v>
      </c>
      <c r="AG170" t="s">
        <v>3036</v>
      </c>
      <c r="AH170" t="s">
        <v>1903</v>
      </c>
      <c r="AI170">
        <v>124100</v>
      </c>
      <c r="AJ170">
        <v>0</v>
      </c>
      <c r="AL170">
        <v>0</v>
      </c>
      <c r="AS170" t="b">
        <v>0</v>
      </c>
      <c r="AV170" t="s">
        <v>961</v>
      </c>
      <c r="AX170" t="s">
        <v>964</v>
      </c>
      <c r="BD170" t="s">
        <v>3135</v>
      </c>
      <c r="BF170" t="s">
        <v>1906</v>
      </c>
      <c r="BG170" t="s">
        <v>1907</v>
      </c>
      <c r="BI170" t="s">
        <v>961</v>
      </c>
      <c r="BL170" t="s">
        <v>3136</v>
      </c>
      <c r="BM170" t="s">
        <v>962</v>
      </c>
      <c r="BN170" t="s">
        <v>962</v>
      </c>
      <c r="BO170" t="s">
        <v>962</v>
      </c>
      <c r="BP170" t="s">
        <v>3137</v>
      </c>
      <c r="BQ170" t="s">
        <v>2993</v>
      </c>
      <c r="BR170">
        <v>1</v>
      </c>
      <c r="BS170">
        <v>4</v>
      </c>
      <c r="BU170" t="s">
        <v>1908</v>
      </c>
      <c r="BW170" t="s">
        <v>1934</v>
      </c>
      <c r="BX170" t="s">
        <v>1949</v>
      </c>
      <c r="BY170" t="s">
        <v>1911</v>
      </c>
      <c r="BZ170" t="s">
        <v>1910</v>
      </c>
      <c r="EL170">
        <v>0</v>
      </c>
      <c r="EM170" t="s">
        <v>963</v>
      </c>
    </row>
    <row r="171" spans="1:143" x14ac:dyDescent="0.35">
      <c r="A171" t="s">
        <v>38</v>
      </c>
      <c r="B171" t="s">
        <v>965</v>
      </c>
      <c r="C171" t="s">
        <v>116</v>
      </c>
      <c r="D171" t="s">
        <v>120</v>
      </c>
      <c r="G171" t="s">
        <v>3138</v>
      </c>
      <c r="L171" t="s">
        <v>1896</v>
      </c>
      <c r="M171" t="s">
        <v>2557</v>
      </c>
      <c r="R171" t="s">
        <v>119</v>
      </c>
      <c r="S171" t="s">
        <v>966</v>
      </c>
      <c r="T171" t="s">
        <v>117</v>
      </c>
      <c r="Z171" t="s">
        <v>2588</v>
      </c>
      <c r="AA171" t="s">
        <v>2589</v>
      </c>
      <c r="AB171">
        <v>1</v>
      </c>
      <c r="AC171">
        <v>4</v>
      </c>
      <c r="AF171" t="s">
        <v>2984</v>
      </c>
      <c r="AG171" t="s">
        <v>2848</v>
      </c>
      <c r="AH171" t="s">
        <v>1903</v>
      </c>
      <c r="AI171">
        <v>109100</v>
      </c>
      <c r="AJ171">
        <v>0</v>
      </c>
      <c r="AL171">
        <v>0</v>
      </c>
      <c r="AS171" t="b">
        <v>0</v>
      </c>
      <c r="AV171" t="s">
        <v>966</v>
      </c>
      <c r="AX171" t="s">
        <v>969</v>
      </c>
      <c r="BD171" t="s">
        <v>3139</v>
      </c>
      <c r="BF171" t="s">
        <v>1906</v>
      </c>
      <c r="BG171" t="s">
        <v>2235</v>
      </c>
      <c r="BI171" t="s">
        <v>966</v>
      </c>
      <c r="BL171" t="s">
        <v>3140</v>
      </c>
      <c r="BM171" t="s">
        <v>967</v>
      </c>
      <c r="BN171" t="s">
        <v>967</v>
      </c>
      <c r="BO171" t="s">
        <v>967</v>
      </c>
      <c r="BP171" t="s">
        <v>3141</v>
      </c>
      <c r="BQ171" t="s">
        <v>2588</v>
      </c>
      <c r="BR171">
        <v>1</v>
      </c>
      <c r="BS171">
        <v>4</v>
      </c>
      <c r="BU171" t="s">
        <v>1908</v>
      </c>
      <c r="BW171" t="s">
        <v>1934</v>
      </c>
      <c r="BX171" t="s">
        <v>1910</v>
      </c>
      <c r="BY171" t="s">
        <v>1911</v>
      </c>
      <c r="BZ171" t="s">
        <v>1910</v>
      </c>
      <c r="CB171" t="s">
        <v>3142</v>
      </c>
      <c r="CC171" t="s">
        <v>1996</v>
      </c>
      <c r="CD171" t="s">
        <v>1997</v>
      </c>
      <c r="CE171">
        <v>55.4</v>
      </c>
      <c r="CF171">
        <v>30</v>
      </c>
      <c r="CG171">
        <v>53.6</v>
      </c>
      <c r="CH171">
        <v>1020</v>
      </c>
      <c r="CI171">
        <v>36</v>
      </c>
      <c r="CJ171">
        <v>39</v>
      </c>
      <c r="CK171">
        <v>59.9</v>
      </c>
      <c r="CL171">
        <v>55.4</v>
      </c>
      <c r="CM171">
        <v>53.6</v>
      </c>
      <c r="CN171">
        <v>31680</v>
      </c>
      <c r="CO171">
        <v>7.8</v>
      </c>
      <c r="CP171">
        <v>96</v>
      </c>
      <c r="CQ171">
        <v>0</v>
      </c>
      <c r="CR171">
        <v>0</v>
      </c>
      <c r="CS171">
        <v>0</v>
      </c>
      <c r="CT171" t="s">
        <v>1915</v>
      </c>
      <c r="CU171">
        <v>159.8500061035156</v>
      </c>
      <c r="CV171">
        <v>71</v>
      </c>
      <c r="CW171">
        <v>9.9499998092651367</v>
      </c>
      <c r="CX171">
        <v>2.4500000476837158</v>
      </c>
      <c r="CY171">
        <v>8.3500003814697266</v>
      </c>
      <c r="CZ171">
        <v>10.44999980926514</v>
      </c>
      <c r="DA171">
        <v>1</v>
      </c>
      <c r="DB171">
        <v>1</v>
      </c>
      <c r="DC171">
        <v>0</v>
      </c>
      <c r="DD171">
        <v>0</v>
      </c>
      <c r="DE171">
        <v>346.98</v>
      </c>
      <c r="DF171">
        <v>450.53</v>
      </c>
      <c r="DG171">
        <v>0</v>
      </c>
      <c r="DH171">
        <v>0</v>
      </c>
      <c r="DI171">
        <v>0</v>
      </c>
      <c r="DJ171" t="s">
        <v>2605</v>
      </c>
      <c r="DM171">
        <v>0.49</v>
      </c>
      <c r="DN171">
        <v>8283.7000000000007</v>
      </c>
      <c r="EL171">
        <v>0</v>
      </c>
      <c r="EM171" t="s">
        <v>968</v>
      </c>
    </row>
    <row r="172" spans="1:143" x14ac:dyDescent="0.35">
      <c r="A172" t="s">
        <v>38</v>
      </c>
      <c r="B172" t="s">
        <v>970</v>
      </c>
      <c r="C172" t="s">
        <v>116</v>
      </c>
      <c r="D172" t="s">
        <v>120</v>
      </c>
      <c r="E172">
        <v>500</v>
      </c>
      <c r="G172" t="s">
        <v>2691</v>
      </c>
      <c r="L172" t="s">
        <v>1896</v>
      </c>
      <c r="M172" t="s">
        <v>2680</v>
      </c>
      <c r="N172" t="s">
        <v>1898</v>
      </c>
      <c r="R172" t="s">
        <v>119</v>
      </c>
      <c r="S172" t="s">
        <v>971</v>
      </c>
      <c r="T172" t="s">
        <v>117</v>
      </c>
      <c r="Z172" t="s">
        <v>2999</v>
      </c>
      <c r="AA172" t="s">
        <v>2682</v>
      </c>
      <c r="AB172">
        <v>1</v>
      </c>
      <c r="AC172">
        <v>4</v>
      </c>
      <c r="AG172" t="s">
        <v>2426</v>
      </c>
      <c r="AH172" t="s">
        <v>1903</v>
      </c>
      <c r="AI172">
        <v>3570000</v>
      </c>
      <c r="AJ172">
        <v>0</v>
      </c>
      <c r="AL172">
        <v>0</v>
      </c>
      <c r="AS172" t="b">
        <v>0</v>
      </c>
      <c r="AV172" t="s">
        <v>971</v>
      </c>
      <c r="AX172" t="s">
        <v>974</v>
      </c>
      <c r="BD172" t="s">
        <v>3143</v>
      </c>
      <c r="BF172" t="s">
        <v>1906</v>
      </c>
      <c r="BG172" t="s">
        <v>1907</v>
      </c>
      <c r="BI172" t="s">
        <v>971</v>
      </c>
      <c r="BL172" t="s">
        <v>3144</v>
      </c>
      <c r="BM172" t="s">
        <v>972</v>
      </c>
      <c r="BN172" t="s">
        <v>972</v>
      </c>
      <c r="BO172" t="s">
        <v>972</v>
      </c>
      <c r="BP172" t="s">
        <v>3145</v>
      </c>
      <c r="BQ172" t="s">
        <v>2999</v>
      </c>
      <c r="BR172">
        <v>1</v>
      </c>
      <c r="BS172">
        <v>4</v>
      </c>
      <c r="BU172" t="s">
        <v>1908</v>
      </c>
      <c r="BW172" t="s">
        <v>1909</v>
      </c>
      <c r="BX172" t="s">
        <v>1949</v>
      </c>
      <c r="BY172" t="s">
        <v>1911</v>
      </c>
      <c r="BZ172" t="s">
        <v>1910</v>
      </c>
      <c r="CB172" t="s">
        <v>3146</v>
      </c>
      <c r="CC172" t="s">
        <v>1996</v>
      </c>
      <c r="CD172" t="s">
        <v>1997</v>
      </c>
      <c r="CE172">
        <v>59.2</v>
      </c>
      <c r="CF172">
        <v>30.9</v>
      </c>
      <c r="CG172">
        <v>58.3</v>
      </c>
      <c r="CH172">
        <v>1021</v>
      </c>
      <c r="CI172">
        <v>33</v>
      </c>
      <c r="CJ172">
        <v>39</v>
      </c>
      <c r="CK172">
        <v>59.9</v>
      </c>
      <c r="CL172">
        <v>59.2</v>
      </c>
      <c r="CM172">
        <v>58.3</v>
      </c>
      <c r="CN172">
        <v>31680</v>
      </c>
      <c r="CO172">
        <v>10.3</v>
      </c>
      <c r="CP172">
        <v>94</v>
      </c>
      <c r="CQ172">
        <v>0</v>
      </c>
      <c r="CR172">
        <v>0</v>
      </c>
      <c r="CS172">
        <v>0</v>
      </c>
      <c r="CT172" t="s">
        <v>1915</v>
      </c>
      <c r="CU172">
        <v>151.8500061035156</v>
      </c>
      <c r="CV172">
        <v>74</v>
      </c>
      <c r="CW172">
        <v>8.9499998092651367</v>
      </c>
      <c r="CX172">
        <v>2.6500000953674321</v>
      </c>
      <c r="CY172">
        <v>8.5500001907348633</v>
      </c>
      <c r="CZ172">
        <v>11.05000019073486</v>
      </c>
      <c r="DA172">
        <v>1</v>
      </c>
      <c r="DB172">
        <v>1</v>
      </c>
      <c r="DC172">
        <v>0</v>
      </c>
      <c r="DD172">
        <v>0</v>
      </c>
      <c r="DE172">
        <v>353.95</v>
      </c>
      <c r="DF172">
        <v>416.84</v>
      </c>
      <c r="DG172">
        <v>0</v>
      </c>
      <c r="DH172">
        <v>0</v>
      </c>
      <c r="DI172">
        <v>0</v>
      </c>
      <c r="DJ172" t="s">
        <v>2871</v>
      </c>
      <c r="DM172">
        <v>1.05</v>
      </c>
      <c r="DN172">
        <v>5706.7</v>
      </c>
      <c r="EL172">
        <v>0</v>
      </c>
      <c r="EM172" t="s">
        <v>973</v>
      </c>
    </row>
    <row r="173" spans="1:143" x14ac:dyDescent="0.35">
      <c r="A173" t="s">
        <v>38</v>
      </c>
      <c r="B173" t="s">
        <v>975</v>
      </c>
      <c r="C173" t="s">
        <v>116</v>
      </c>
      <c r="D173" t="s">
        <v>120</v>
      </c>
      <c r="E173">
        <v>185</v>
      </c>
      <c r="G173" t="s">
        <v>2587</v>
      </c>
      <c r="L173" t="s">
        <v>1896</v>
      </c>
      <c r="M173" t="s">
        <v>2578</v>
      </c>
      <c r="N173" t="s">
        <v>1898</v>
      </c>
      <c r="R173" t="s">
        <v>119</v>
      </c>
      <c r="S173" t="s">
        <v>976</v>
      </c>
      <c r="T173" t="s">
        <v>117</v>
      </c>
      <c r="Z173" t="s">
        <v>2972</v>
      </c>
      <c r="AA173" t="s">
        <v>2973</v>
      </c>
      <c r="AB173">
        <v>1</v>
      </c>
      <c r="AC173">
        <v>4</v>
      </c>
      <c r="AF173" t="s">
        <v>2580</v>
      </c>
      <c r="AG173" t="s">
        <v>2426</v>
      </c>
      <c r="AH173" t="s">
        <v>1903</v>
      </c>
      <c r="AI173">
        <v>1954200</v>
      </c>
      <c r="AJ173">
        <v>0</v>
      </c>
      <c r="AL173">
        <v>0</v>
      </c>
      <c r="AS173" t="b">
        <v>0</v>
      </c>
      <c r="AV173" t="s">
        <v>976</v>
      </c>
      <c r="AX173" t="s">
        <v>979</v>
      </c>
      <c r="BD173" t="s">
        <v>3147</v>
      </c>
      <c r="BF173" t="s">
        <v>1906</v>
      </c>
      <c r="BG173" t="s">
        <v>1907</v>
      </c>
      <c r="BI173" t="s">
        <v>976</v>
      </c>
      <c r="BL173" t="s">
        <v>3148</v>
      </c>
      <c r="BM173" t="s">
        <v>977</v>
      </c>
      <c r="BN173" t="s">
        <v>977</v>
      </c>
      <c r="BO173" t="s">
        <v>977</v>
      </c>
      <c r="BP173" t="s">
        <v>3149</v>
      </c>
      <c r="BQ173" t="s">
        <v>2972</v>
      </c>
      <c r="BR173">
        <v>1</v>
      </c>
      <c r="BS173">
        <v>4</v>
      </c>
      <c r="BU173" t="s">
        <v>1908</v>
      </c>
      <c r="BW173" t="s">
        <v>1934</v>
      </c>
      <c r="BX173" t="s">
        <v>1949</v>
      </c>
      <c r="BY173" t="s">
        <v>1911</v>
      </c>
      <c r="BZ173" t="s">
        <v>1910</v>
      </c>
      <c r="CB173" t="s">
        <v>3150</v>
      </c>
      <c r="CC173" t="s">
        <v>1996</v>
      </c>
      <c r="CD173" t="s">
        <v>1997</v>
      </c>
      <c r="CE173">
        <v>54</v>
      </c>
      <c r="CF173">
        <v>38.299999999999997</v>
      </c>
      <c r="CG173">
        <v>51.4</v>
      </c>
      <c r="CH173">
        <v>1024</v>
      </c>
      <c r="CI173">
        <v>52</v>
      </c>
      <c r="CJ173">
        <v>38.299999999999997</v>
      </c>
      <c r="CK173">
        <v>59.5</v>
      </c>
      <c r="CL173">
        <v>54</v>
      </c>
      <c r="CM173">
        <v>51.4</v>
      </c>
      <c r="CN173">
        <v>31680</v>
      </c>
      <c r="CO173">
        <v>9.4</v>
      </c>
      <c r="CP173">
        <v>79</v>
      </c>
      <c r="CQ173">
        <v>11</v>
      </c>
      <c r="CR173">
        <v>0</v>
      </c>
      <c r="CS173">
        <v>0</v>
      </c>
      <c r="CT173" t="s">
        <v>1915</v>
      </c>
      <c r="CU173">
        <v>148.8500061035156</v>
      </c>
      <c r="CV173">
        <v>100</v>
      </c>
      <c r="CW173">
        <v>5.0500001907348633</v>
      </c>
      <c r="CX173">
        <v>2.0499999523162842</v>
      </c>
      <c r="CY173">
        <v>3.25</v>
      </c>
      <c r="CZ173">
        <v>4.0500001907348633</v>
      </c>
      <c r="DA173">
        <v>1</v>
      </c>
      <c r="DB173">
        <v>1</v>
      </c>
      <c r="DC173">
        <v>0</v>
      </c>
      <c r="DD173">
        <v>0</v>
      </c>
      <c r="DE173">
        <v>283.52999999999997</v>
      </c>
      <c r="DF173">
        <v>388.49</v>
      </c>
      <c r="DG173">
        <v>0</v>
      </c>
      <c r="DH173">
        <v>0</v>
      </c>
      <c r="DI173">
        <v>0</v>
      </c>
      <c r="DJ173" t="s">
        <v>2595</v>
      </c>
      <c r="DM173">
        <v>0.31</v>
      </c>
      <c r="DN173">
        <v>8032.3</v>
      </c>
      <c r="EL173">
        <v>0</v>
      </c>
      <c r="EM173" t="s">
        <v>978</v>
      </c>
    </row>
    <row r="174" spans="1:143" x14ac:dyDescent="0.35">
      <c r="A174" t="s">
        <v>38</v>
      </c>
      <c r="B174" t="s">
        <v>980</v>
      </c>
      <c r="C174" t="s">
        <v>116</v>
      </c>
      <c r="D174" t="s">
        <v>120</v>
      </c>
      <c r="G174" t="s">
        <v>3151</v>
      </c>
      <c r="L174" t="s">
        <v>1896</v>
      </c>
      <c r="M174" t="s">
        <v>2680</v>
      </c>
      <c r="R174" t="s">
        <v>119</v>
      </c>
      <c r="S174" t="s">
        <v>981</v>
      </c>
      <c r="T174" t="s">
        <v>117</v>
      </c>
      <c r="Z174" t="s">
        <v>2999</v>
      </c>
      <c r="AA174" t="s">
        <v>2682</v>
      </c>
      <c r="AB174">
        <v>1</v>
      </c>
      <c r="AC174">
        <v>4</v>
      </c>
      <c r="AJ174">
        <v>0</v>
      </c>
      <c r="AL174">
        <v>0</v>
      </c>
      <c r="AS174" t="b">
        <v>0</v>
      </c>
      <c r="AV174" t="s">
        <v>981</v>
      </c>
      <c r="AX174" t="s">
        <v>984</v>
      </c>
      <c r="BD174" t="s">
        <v>3152</v>
      </c>
      <c r="BF174" t="s">
        <v>1906</v>
      </c>
      <c r="BG174" t="s">
        <v>1907</v>
      </c>
      <c r="BI174" t="s">
        <v>981</v>
      </c>
      <c r="BL174" t="s">
        <v>3153</v>
      </c>
      <c r="BM174" t="s">
        <v>982</v>
      </c>
      <c r="BN174" t="s">
        <v>982</v>
      </c>
      <c r="BO174" t="s">
        <v>982</v>
      </c>
      <c r="BP174" t="s">
        <v>3154</v>
      </c>
      <c r="BQ174" t="s">
        <v>2999</v>
      </c>
      <c r="BR174">
        <v>1</v>
      </c>
      <c r="BS174">
        <v>4</v>
      </c>
      <c r="BU174" t="s">
        <v>1908</v>
      </c>
      <c r="BW174" t="s">
        <v>2128</v>
      </c>
      <c r="BX174" t="s">
        <v>1949</v>
      </c>
      <c r="BY174" t="s">
        <v>1970</v>
      </c>
      <c r="BZ174" t="s">
        <v>1910</v>
      </c>
      <c r="CB174" t="s">
        <v>3155</v>
      </c>
      <c r="CC174" t="s">
        <v>1961</v>
      </c>
      <c r="CD174" t="s">
        <v>1962</v>
      </c>
      <c r="CE174">
        <v>56.8</v>
      </c>
      <c r="CF174">
        <v>37</v>
      </c>
      <c r="CG174">
        <v>54.7</v>
      </c>
      <c r="CH174">
        <v>1024</v>
      </c>
      <c r="CI174">
        <v>46</v>
      </c>
      <c r="CJ174">
        <v>39.4</v>
      </c>
      <c r="CK174">
        <v>62.8</v>
      </c>
      <c r="CL174">
        <v>56.8</v>
      </c>
      <c r="CM174">
        <v>54.7</v>
      </c>
      <c r="CN174">
        <v>31680</v>
      </c>
      <c r="CO174">
        <v>10.7</v>
      </c>
      <c r="CP174">
        <v>79</v>
      </c>
      <c r="CQ174">
        <v>25</v>
      </c>
      <c r="CR174">
        <v>0</v>
      </c>
      <c r="CS174">
        <v>0</v>
      </c>
      <c r="CT174" t="s">
        <v>1915</v>
      </c>
      <c r="CU174">
        <v>146.8500061035156</v>
      </c>
      <c r="CV174">
        <v>107</v>
      </c>
      <c r="CW174">
        <v>2.6500000953674321</v>
      </c>
      <c r="CX174">
        <v>1.75</v>
      </c>
      <c r="CY174">
        <v>3.0499999523162842</v>
      </c>
      <c r="CZ174">
        <v>3.8499999046325679</v>
      </c>
      <c r="DA174">
        <v>1</v>
      </c>
      <c r="DB174">
        <v>1</v>
      </c>
      <c r="DC174">
        <v>0</v>
      </c>
      <c r="DD174">
        <v>0</v>
      </c>
      <c r="DE174">
        <v>407.84</v>
      </c>
      <c r="DF174">
        <v>554.41</v>
      </c>
      <c r="DG174">
        <v>0</v>
      </c>
      <c r="DH174">
        <v>0</v>
      </c>
      <c r="DI174">
        <v>0</v>
      </c>
      <c r="DJ174" t="s">
        <v>2688</v>
      </c>
      <c r="DM174">
        <v>2.44</v>
      </c>
      <c r="DN174">
        <v>1782</v>
      </c>
      <c r="EL174">
        <v>0</v>
      </c>
      <c r="EM174" t="s">
        <v>983</v>
      </c>
    </row>
    <row r="175" spans="1:143" x14ac:dyDescent="0.35">
      <c r="A175" t="s">
        <v>38</v>
      </c>
      <c r="B175" t="s">
        <v>985</v>
      </c>
      <c r="C175" t="s">
        <v>116</v>
      </c>
      <c r="D175" t="s">
        <v>120</v>
      </c>
      <c r="E175">
        <v>40</v>
      </c>
      <c r="G175" t="s">
        <v>3156</v>
      </c>
      <c r="L175" t="s">
        <v>1896</v>
      </c>
      <c r="M175" t="s">
        <v>2680</v>
      </c>
      <c r="N175" t="s">
        <v>1898</v>
      </c>
      <c r="R175" t="s">
        <v>119</v>
      </c>
      <c r="S175" t="s">
        <v>986</v>
      </c>
      <c r="T175" t="s">
        <v>117</v>
      </c>
      <c r="Z175" t="s">
        <v>2999</v>
      </c>
      <c r="AA175" t="s">
        <v>2682</v>
      </c>
      <c r="AB175">
        <v>1</v>
      </c>
      <c r="AC175">
        <v>4</v>
      </c>
      <c r="AF175" t="s">
        <v>2739</v>
      </c>
      <c r="AG175" t="s">
        <v>3157</v>
      </c>
      <c r="AH175" t="s">
        <v>1903</v>
      </c>
      <c r="AI175">
        <v>5313200</v>
      </c>
      <c r="AJ175">
        <v>0</v>
      </c>
      <c r="AL175">
        <v>0</v>
      </c>
      <c r="AS175" t="b">
        <v>0</v>
      </c>
      <c r="AV175" t="s">
        <v>986</v>
      </c>
      <c r="AX175" t="s">
        <v>989</v>
      </c>
      <c r="BD175" t="s">
        <v>3158</v>
      </c>
      <c r="BF175" t="s">
        <v>1906</v>
      </c>
      <c r="BG175" t="s">
        <v>1907</v>
      </c>
      <c r="BI175" t="s">
        <v>986</v>
      </c>
      <c r="BL175" t="s">
        <v>3159</v>
      </c>
      <c r="BM175" t="s">
        <v>987</v>
      </c>
      <c r="BN175" t="s">
        <v>987</v>
      </c>
      <c r="BO175" t="s">
        <v>987</v>
      </c>
      <c r="BP175" t="s">
        <v>3160</v>
      </c>
      <c r="BQ175" t="s">
        <v>2999</v>
      </c>
      <c r="BR175">
        <v>1</v>
      </c>
      <c r="BS175">
        <v>4</v>
      </c>
      <c r="BU175" t="s">
        <v>1908</v>
      </c>
      <c r="BW175" t="s">
        <v>1934</v>
      </c>
      <c r="BX175" t="s">
        <v>1949</v>
      </c>
      <c r="BY175" t="s">
        <v>1911</v>
      </c>
      <c r="BZ175" t="s">
        <v>1910</v>
      </c>
      <c r="CB175" t="s">
        <v>2095</v>
      </c>
      <c r="CC175" t="s">
        <v>1913</v>
      </c>
      <c r="CD175" t="s">
        <v>1914</v>
      </c>
      <c r="CE175">
        <v>46.9</v>
      </c>
      <c r="CF175">
        <v>33.799999999999997</v>
      </c>
      <c r="CG175">
        <v>43.9</v>
      </c>
      <c r="CH175">
        <v>1022</v>
      </c>
      <c r="CI175">
        <v>58</v>
      </c>
      <c r="CJ175">
        <v>38.5</v>
      </c>
      <c r="CK175">
        <v>51.6</v>
      </c>
      <c r="CL175">
        <v>46.9</v>
      </c>
      <c r="CM175">
        <v>43.9</v>
      </c>
      <c r="CN175">
        <v>31680</v>
      </c>
      <c r="CO175">
        <v>6.9</v>
      </c>
      <c r="CP175">
        <v>115</v>
      </c>
      <c r="CQ175">
        <v>85</v>
      </c>
      <c r="CR175">
        <v>0</v>
      </c>
      <c r="CS175">
        <v>0</v>
      </c>
      <c r="CT175" t="s">
        <v>1915</v>
      </c>
      <c r="CU175">
        <v>199.8500061035156</v>
      </c>
      <c r="CV175">
        <v>96</v>
      </c>
      <c r="CW175">
        <v>6.3499999046325684</v>
      </c>
      <c r="CX175">
        <v>1.6499999761581421</v>
      </c>
      <c r="CY175">
        <v>4.25</v>
      </c>
      <c r="CZ175">
        <v>5.5500001907348633</v>
      </c>
      <c r="DA175">
        <v>1</v>
      </c>
      <c r="DB175">
        <v>1</v>
      </c>
      <c r="DC175">
        <v>0</v>
      </c>
      <c r="DD175">
        <v>0</v>
      </c>
      <c r="DE175">
        <v>302.79000000000002</v>
      </c>
      <c r="DF175">
        <v>357</v>
      </c>
      <c r="DG175">
        <v>0</v>
      </c>
      <c r="DH175">
        <v>0</v>
      </c>
      <c r="DI175">
        <v>0</v>
      </c>
      <c r="DJ175" t="s">
        <v>3161</v>
      </c>
      <c r="DM175">
        <v>0.44</v>
      </c>
      <c r="DN175">
        <v>7815.9</v>
      </c>
      <c r="EL175">
        <v>0</v>
      </c>
      <c r="EM175" t="s">
        <v>988</v>
      </c>
    </row>
    <row r="176" spans="1:143" x14ac:dyDescent="0.35">
      <c r="A176" t="s">
        <v>38</v>
      </c>
      <c r="B176" t="s">
        <v>990</v>
      </c>
      <c r="C176" t="s">
        <v>116</v>
      </c>
      <c r="D176" t="s">
        <v>120</v>
      </c>
      <c r="G176" t="s">
        <v>3162</v>
      </c>
      <c r="L176" t="s">
        <v>1896</v>
      </c>
      <c r="M176" t="s">
        <v>2680</v>
      </c>
      <c r="R176" t="s">
        <v>119</v>
      </c>
      <c r="S176" t="s">
        <v>991</v>
      </c>
      <c r="T176" t="s">
        <v>117</v>
      </c>
      <c r="Z176" t="s">
        <v>2999</v>
      </c>
      <c r="AA176" t="s">
        <v>2682</v>
      </c>
      <c r="AB176">
        <v>1</v>
      </c>
      <c r="AC176">
        <v>4</v>
      </c>
      <c r="AJ176">
        <v>0</v>
      </c>
      <c r="AL176">
        <v>0</v>
      </c>
      <c r="AS176" t="b">
        <v>0</v>
      </c>
      <c r="AV176" t="s">
        <v>991</v>
      </c>
      <c r="AX176" t="s">
        <v>994</v>
      </c>
      <c r="BD176" t="s">
        <v>3163</v>
      </c>
      <c r="BF176" t="s">
        <v>1906</v>
      </c>
      <c r="BG176" t="s">
        <v>1907</v>
      </c>
      <c r="BI176" t="s">
        <v>991</v>
      </c>
      <c r="BL176" t="s">
        <v>3164</v>
      </c>
      <c r="BM176" t="s">
        <v>992</v>
      </c>
      <c r="BN176" t="s">
        <v>992</v>
      </c>
      <c r="BO176" t="s">
        <v>992</v>
      </c>
      <c r="BP176" t="s">
        <v>3165</v>
      </c>
      <c r="BQ176" t="s">
        <v>2999</v>
      </c>
      <c r="BR176">
        <v>1</v>
      </c>
      <c r="BS176">
        <v>4</v>
      </c>
      <c r="BU176" t="s">
        <v>1908</v>
      </c>
      <c r="BW176" t="s">
        <v>1934</v>
      </c>
      <c r="BX176" t="s">
        <v>1949</v>
      </c>
      <c r="BY176" t="s">
        <v>1911</v>
      </c>
      <c r="BZ176" t="s">
        <v>1910</v>
      </c>
      <c r="CB176" t="s">
        <v>2421</v>
      </c>
      <c r="CC176" t="s">
        <v>1972</v>
      </c>
      <c r="CD176" t="s">
        <v>1973</v>
      </c>
      <c r="CE176">
        <v>51.1</v>
      </c>
      <c r="CF176">
        <v>31.1</v>
      </c>
      <c r="CG176">
        <v>48.6</v>
      </c>
      <c r="CH176">
        <v>1021</v>
      </c>
      <c r="CI176">
        <v>45</v>
      </c>
      <c r="CJ176">
        <v>38.5</v>
      </c>
      <c r="CK176">
        <v>51.6</v>
      </c>
      <c r="CL176">
        <v>51.1</v>
      </c>
      <c r="CM176">
        <v>48.6</v>
      </c>
      <c r="CN176">
        <v>31680</v>
      </c>
      <c r="CO176">
        <v>7.4</v>
      </c>
      <c r="CP176">
        <v>95</v>
      </c>
      <c r="CQ176">
        <v>93</v>
      </c>
      <c r="CR176">
        <v>0</v>
      </c>
      <c r="CS176">
        <v>0</v>
      </c>
      <c r="CT176" t="s">
        <v>1915</v>
      </c>
      <c r="CU176">
        <v>156.8500061035156</v>
      </c>
      <c r="CV176">
        <v>104</v>
      </c>
      <c r="CW176">
        <v>2.5499999523162842</v>
      </c>
      <c r="CX176">
        <v>1.450000047683716</v>
      </c>
      <c r="CY176">
        <v>3.8499999046325679</v>
      </c>
      <c r="CZ176">
        <v>5.25</v>
      </c>
      <c r="DA176">
        <v>1</v>
      </c>
      <c r="DB176">
        <v>1</v>
      </c>
      <c r="DC176">
        <v>0</v>
      </c>
      <c r="DD176">
        <v>0</v>
      </c>
      <c r="DE176">
        <v>370.18</v>
      </c>
      <c r="DF176">
        <v>449.87</v>
      </c>
      <c r="DG176">
        <v>0</v>
      </c>
      <c r="DH176">
        <v>0</v>
      </c>
      <c r="DI176">
        <v>0</v>
      </c>
      <c r="DJ176" t="s">
        <v>2688</v>
      </c>
      <c r="DM176">
        <v>2.44</v>
      </c>
      <c r="DN176">
        <v>1782</v>
      </c>
      <c r="EL176">
        <v>0</v>
      </c>
      <c r="EM176" t="s">
        <v>993</v>
      </c>
    </row>
    <row r="177" spans="1:143" x14ac:dyDescent="0.35">
      <c r="A177" t="s">
        <v>38</v>
      </c>
      <c r="B177" t="s">
        <v>995</v>
      </c>
      <c r="C177" t="s">
        <v>116</v>
      </c>
      <c r="D177" t="s">
        <v>120</v>
      </c>
      <c r="E177">
        <v>93</v>
      </c>
      <c r="G177" t="s">
        <v>2831</v>
      </c>
      <c r="J177" t="s">
        <v>3166</v>
      </c>
      <c r="L177" t="s">
        <v>1896</v>
      </c>
      <c r="M177" t="s">
        <v>2578</v>
      </c>
      <c r="N177" t="s">
        <v>1898</v>
      </c>
      <c r="R177" t="s">
        <v>119</v>
      </c>
      <c r="S177" t="s">
        <v>996</v>
      </c>
      <c r="T177" t="s">
        <v>117</v>
      </c>
      <c r="Z177" t="s">
        <v>3020</v>
      </c>
      <c r="AA177" t="s">
        <v>2652</v>
      </c>
      <c r="AB177">
        <v>1</v>
      </c>
      <c r="AC177">
        <v>4</v>
      </c>
      <c r="AJ177">
        <v>0</v>
      </c>
      <c r="AL177">
        <v>0</v>
      </c>
      <c r="AS177" t="b">
        <v>0</v>
      </c>
      <c r="AV177" t="s">
        <v>996</v>
      </c>
      <c r="AX177" t="s">
        <v>999</v>
      </c>
      <c r="BD177" t="s">
        <v>3167</v>
      </c>
      <c r="BF177" t="s">
        <v>1906</v>
      </c>
      <c r="BG177" t="s">
        <v>1907</v>
      </c>
      <c r="BI177" t="s">
        <v>996</v>
      </c>
      <c r="BL177" t="s">
        <v>3168</v>
      </c>
      <c r="BM177" t="s">
        <v>997</v>
      </c>
      <c r="BN177" t="s">
        <v>997</v>
      </c>
      <c r="BO177" t="s">
        <v>997</v>
      </c>
      <c r="BP177" t="s">
        <v>3169</v>
      </c>
      <c r="BQ177" t="s">
        <v>3020</v>
      </c>
      <c r="BR177">
        <v>1</v>
      </c>
      <c r="BS177">
        <v>4</v>
      </c>
      <c r="BU177" t="s">
        <v>1908</v>
      </c>
      <c r="BW177" t="s">
        <v>1934</v>
      </c>
      <c r="BX177" t="s">
        <v>1949</v>
      </c>
      <c r="BY177" t="s">
        <v>1911</v>
      </c>
      <c r="BZ177" t="s">
        <v>1910</v>
      </c>
      <c r="CB177" t="s">
        <v>3170</v>
      </c>
      <c r="CC177" t="s">
        <v>1996</v>
      </c>
      <c r="CD177" t="s">
        <v>1997</v>
      </c>
      <c r="CE177">
        <v>45.1</v>
      </c>
      <c r="CF177">
        <v>35.1</v>
      </c>
      <c r="CG177">
        <v>40.6</v>
      </c>
      <c r="CH177">
        <v>1012</v>
      </c>
      <c r="CI177">
        <v>66</v>
      </c>
      <c r="CJ177">
        <v>37.9</v>
      </c>
      <c r="CK177">
        <v>51.6</v>
      </c>
      <c r="CL177">
        <v>45.1</v>
      </c>
      <c r="CM177">
        <v>40.6</v>
      </c>
      <c r="CN177">
        <v>31680</v>
      </c>
      <c r="CO177">
        <v>8.9</v>
      </c>
      <c r="CP177">
        <v>340</v>
      </c>
      <c r="CQ177">
        <v>6</v>
      </c>
      <c r="CR177">
        <v>0</v>
      </c>
      <c r="CS177">
        <v>0</v>
      </c>
      <c r="CT177" t="s">
        <v>1915</v>
      </c>
      <c r="CU177">
        <v>242.8500061035156</v>
      </c>
      <c r="CV177">
        <v>100</v>
      </c>
      <c r="CW177">
        <v>3.9500000476837158</v>
      </c>
      <c r="CX177">
        <v>1.6499999761581421</v>
      </c>
      <c r="CY177">
        <v>3.75</v>
      </c>
      <c r="CZ177">
        <v>4.3499999046325684</v>
      </c>
      <c r="DA177">
        <v>1</v>
      </c>
      <c r="DB177">
        <v>1</v>
      </c>
      <c r="DC177">
        <v>0</v>
      </c>
      <c r="DD177">
        <v>0</v>
      </c>
      <c r="DE177">
        <v>156.09</v>
      </c>
      <c r="DF177">
        <v>168.54</v>
      </c>
      <c r="DG177">
        <v>0</v>
      </c>
      <c r="DH177">
        <v>0</v>
      </c>
      <c r="DI177">
        <v>0</v>
      </c>
      <c r="DJ177" t="s">
        <v>2745</v>
      </c>
      <c r="DM177">
        <v>0.28999999999999998</v>
      </c>
      <c r="DN177">
        <v>15251.7</v>
      </c>
      <c r="EL177">
        <v>0</v>
      </c>
      <c r="EM177" t="s">
        <v>998</v>
      </c>
    </row>
    <row r="178" spans="1:143" x14ac:dyDescent="0.35">
      <c r="A178" t="s">
        <v>38</v>
      </c>
      <c r="B178" t="s">
        <v>1000</v>
      </c>
      <c r="C178" t="s">
        <v>116</v>
      </c>
      <c r="D178" t="s">
        <v>120</v>
      </c>
      <c r="G178" t="s">
        <v>3171</v>
      </c>
      <c r="L178" t="s">
        <v>1896</v>
      </c>
      <c r="M178" t="s">
        <v>2680</v>
      </c>
      <c r="R178" t="s">
        <v>119</v>
      </c>
      <c r="S178" t="s">
        <v>1001</v>
      </c>
      <c r="T178" t="s">
        <v>117</v>
      </c>
      <c r="Z178" t="s">
        <v>2793</v>
      </c>
      <c r="AA178" t="s">
        <v>2794</v>
      </c>
      <c r="AB178">
        <v>1</v>
      </c>
      <c r="AC178">
        <v>4</v>
      </c>
      <c r="AJ178">
        <v>0</v>
      </c>
      <c r="AL178">
        <v>0</v>
      </c>
      <c r="AS178" t="b">
        <v>0</v>
      </c>
      <c r="AV178" t="s">
        <v>1001</v>
      </c>
      <c r="AX178" t="s">
        <v>1004</v>
      </c>
      <c r="BD178" t="s">
        <v>3172</v>
      </c>
      <c r="BF178" t="s">
        <v>1906</v>
      </c>
      <c r="BG178" t="s">
        <v>1907</v>
      </c>
      <c r="BI178" t="s">
        <v>1001</v>
      </c>
      <c r="BL178" t="s">
        <v>3173</v>
      </c>
      <c r="BM178" t="s">
        <v>1002</v>
      </c>
      <c r="BN178" t="s">
        <v>1002</v>
      </c>
      <c r="BO178" t="s">
        <v>1002</v>
      </c>
      <c r="BP178" t="s">
        <v>3174</v>
      </c>
      <c r="BQ178" t="s">
        <v>2793</v>
      </c>
      <c r="BR178">
        <v>1</v>
      </c>
      <c r="BS178">
        <v>4</v>
      </c>
      <c r="BU178" t="s">
        <v>1908</v>
      </c>
      <c r="BW178" t="s">
        <v>2128</v>
      </c>
      <c r="BX178" t="s">
        <v>1949</v>
      </c>
      <c r="BY178" t="s">
        <v>1911</v>
      </c>
      <c r="BZ178" t="s">
        <v>1995</v>
      </c>
      <c r="CB178" t="s">
        <v>3175</v>
      </c>
      <c r="CC178" t="s">
        <v>1913</v>
      </c>
      <c r="CD178" t="s">
        <v>1914</v>
      </c>
      <c r="CE178">
        <v>37.4</v>
      </c>
      <c r="CF178">
        <v>35.6</v>
      </c>
      <c r="CG178">
        <v>30.9</v>
      </c>
      <c r="CH178">
        <v>1021</v>
      </c>
      <c r="CI178">
        <v>90</v>
      </c>
      <c r="CJ178">
        <v>33.299999999999997</v>
      </c>
      <c r="CK178">
        <v>40.1</v>
      </c>
      <c r="CL178">
        <v>37.4</v>
      </c>
      <c r="CM178">
        <v>30.9</v>
      </c>
      <c r="CN178">
        <v>31680</v>
      </c>
      <c r="CO178">
        <v>9.1999999999999993</v>
      </c>
      <c r="CP178">
        <v>190</v>
      </c>
      <c r="CQ178">
        <v>100</v>
      </c>
      <c r="CR178">
        <v>0</v>
      </c>
      <c r="CS178">
        <v>0</v>
      </c>
      <c r="CT178" t="s">
        <v>1915</v>
      </c>
      <c r="CU178">
        <v>189.8500061035156</v>
      </c>
      <c r="CV178">
        <v>84</v>
      </c>
      <c r="CW178">
        <v>8.4499998092651367</v>
      </c>
      <c r="CX178">
        <v>3.6500000953674321</v>
      </c>
      <c r="CY178">
        <v>8.8500003814697266</v>
      </c>
      <c r="CZ178">
        <v>11.44999980926514</v>
      </c>
      <c r="DA178">
        <v>1</v>
      </c>
      <c r="DB178">
        <v>1</v>
      </c>
      <c r="DC178">
        <v>0</v>
      </c>
      <c r="DD178">
        <v>0</v>
      </c>
      <c r="DE178">
        <v>42.28</v>
      </c>
      <c r="DF178">
        <v>56.44</v>
      </c>
      <c r="DG178">
        <v>0</v>
      </c>
      <c r="DH178">
        <v>0</v>
      </c>
      <c r="DI178">
        <v>0</v>
      </c>
      <c r="DJ178" t="s">
        <v>2688</v>
      </c>
      <c r="DM178">
        <v>2.44</v>
      </c>
      <c r="DN178">
        <v>1782</v>
      </c>
      <c r="EL178">
        <v>0</v>
      </c>
      <c r="EM178" t="s">
        <v>1003</v>
      </c>
    </row>
    <row r="179" spans="1:143" x14ac:dyDescent="0.35">
      <c r="A179" t="s">
        <v>38</v>
      </c>
      <c r="B179" t="s">
        <v>1005</v>
      </c>
      <c r="C179" t="s">
        <v>116</v>
      </c>
      <c r="D179" t="s">
        <v>120</v>
      </c>
      <c r="E179">
        <v>470</v>
      </c>
      <c r="G179" t="s">
        <v>2365</v>
      </c>
      <c r="L179" t="s">
        <v>1896</v>
      </c>
      <c r="M179" t="s">
        <v>2578</v>
      </c>
      <c r="N179" t="s">
        <v>1898</v>
      </c>
      <c r="R179" t="s">
        <v>119</v>
      </c>
      <c r="S179" t="s">
        <v>1006</v>
      </c>
      <c r="T179" t="s">
        <v>117</v>
      </c>
      <c r="Z179" t="s">
        <v>3029</v>
      </c>
      <c r="AA179" t="s">
        <v>3030</v>
      </c>
      <c r="AB179">
        <v>1</v>
      </c>
      <c r="AC179">
        <v>4</v>
      </c>
      <c r="AF179" t="s">
        <v>2590</v>
      </c>
      <c r="AG179" t="s">
        <v>3176</v>
      </c>
      <c r="AH179" t="s">
        <v>1903</v>
      </c>
      <c r="AI179">
        <v>58800</v>
      </c>
      <c r="AJ179">
        <v>0</v>
      </c>
      <c r="AL179">
        <v>0</v>
      </c>
      <c r="AS179" t="b">
        <v>0</v>
      </c>
      <c r="AV179" t="s">
        <v>1006</v>
      </c>
      <c r="AX179" t="s">
        <v>1009</v>
      </c>
      <c r="BD179" t="s">
        <v>3177</v>
      </c>
      <c r="BF179" t="s">
        <v>1906</v>
      </c>
      <c r="BG179" t="s">
        <v>1907</v>
      </c>
      <c r="BI179" t="s">
        <v>1006</v>
      </c>
      <c r="BL179" t="s">
        <v>3178</v>
      </c>
      <c r="BM179" t="s">
        <v>1007</v>
      </c>
      <c r="BN179" t="s">
        <v>1007</v>
      </c>
      <c r="BO179" t="s">
        <v>1007</v>
      </c>
      <c r="BP179" t="s">
        <v>3179</v>
      </c>
      <c r="BQ179" t="s">
        <v>3029</v>
      </c>
      <c r="BR179">
        <v>1</v>
      </c>
      <c r="BS179">
        <v>4</v>
      </c>
      <c r="BU179" t="s">
        <v>1908</v>
      </c>
      <c r="BW179" t="s">
        <v>1934</v>
      </c>
      <c r="BX179" t="s">
        <v>1949</v>
      </c>
      <c r="BY179" t="s">
        <v>1911</v>
      </c>
      <c r="BZ179" t="s">
        <v>1910</v>
      </c>
      <c r="CB179" t="s">
        <v>3180</v>
      </c>
      <c r="CC179" t="s">
        <v>1996</v>
      </c>
      <c r="CD179" t="s">
        <v>1997</v>
      </c>
      <c r="CE179">
        <v>38.700000000000003</v>
      </c>
      <c r="CF179">
        <v>12</v>
      </c>
      <c r="CG179">
        <v>35.799999999999997</v>
      </c>
      <c r="CH179">
        <v>1027</v>
      </c>
      <c r="CI179">
        <v>33</v>
      </c>
      <c r="CJ179">
        <v>28.9</v>
      </c>
      <c r="CK179">
        <v>49.6</v>
      </c>
      <c r="CL179">
        <v>38.700000000000003</v>
      </c>
      <c r="CM179">
        <v>35.799999999999997</v>
      </c>
      <c r="CN179">
        <v>31680</v>
      </c>
      <c r="CO179">
        <v>4.7</v>
      </c>
      <c r="CP179">
        <v>5</v>
      </c>
      <c r="CQ179">
        <v>10</v>
      </c>
      <c r="CR179">
        <v>0</v>
      </c>
      <c r="CS179">
        <v>0</v>
      </c>
      <c r="CT179" t="s">
        <v>1915</v>
      </c>
      <c r="CU179">
        <v>176.8500061035156</v>
      </c>
      <c r="CV179">
        <v>85</v>
      </c>
      <c r="CW179">
        <v>3.8499999046325679</v>
      </c>
      <c r="CX179">
        <v>2.6500000953674321</v>
      </c>
      <c r="CY179">
        <v>4.9499998092651367</v>
      </c>
      <c r="CZ179">
        <v>5.6500000953674316</v>
      </c>
      <c r="DA179">
        <v>1</v>
      </c>
      <c r="DB179">
        <v>1</v>
      </c>
      <c r="DC179">
        <v>0</v>
      </c>
      <c r="DD179">
        <v>0</v>
      </c>
      <c r="DE179">
        <v>56.92</v>
      </c>
      <c r="DF179">
        <v>69.17</v>
      </c>
      <c r="DG179">
        <v>0</v>
      </c>
      <c r="DH179">
        <v>0</v>
      </c>
      <c r="DI179">
        <v>0</v>
      </c>
      <c r="DJ179" t="s">
        <v>2785</v>
      </c>
      <c r="DM179">
        <v>0.65</v>
      </c>
      <c r="DN179">
        <v>6573.8</v>
      </c>
      <c r="EL179">
        <v>0</v>
      </c>
      <c r="EM179" t="s">
        <v>1008</v>
      </c>
    </row>
    <row r="180" spans="1:143" x14ac:dyDescent="0.35">
      <c r="A180" t="s">
        <v>38</v>
      </c>
      <c r="B180" t="s">
        <v>1010</v>
      </c>
      <c r="C180" t="s">
        <v>116</v>
      </c>
      <c r="D180" t="s">
        <v>120</v>
      </c>
      <c r="G180" t="s">
        <v>3181</v>
      </c>
      <c r="L180" t="s">
        <v>1896</v>
      </c>
      <c r="M180" t="s">
        <v>2662</v>
      </c>
      <c r="R180" t="s">
        <v>119</v>
      </c>
      <c r="S180" t="s">
        <v>1011</v>
      </c>
      <c r="T180" t="s">
        <v>117</v>
      </c>
      <c r="Z180" t="s">
        <v>3070</v>
      </c>
      <c r="AA180" t="s">
        <v>2664</v>
      </c>
      <c r="AB180">
        <v>1</v>
      </c>
      <c r="AC180">
        <v>4</v>
      </c>
      <c r="AJ180">
        <v>0</v>
      </c>
      <c r="AL180">
        <v>0</v>
      </c>
      <c r="AS180" t="b">
        <v>0</v>
      </c>
      <c r="AV180" t="s">
        <v>1011</v>
      </c>
      <c r="AX180" t="s">
        <v>1014</v>
      </c>
      <c r="BD180" t="s">
        <v>3182</v>
      </c>
      <c r="BF180" t="s">
        <v>1906</v>
      </c>
      <c r="BG180" t="s">
        <v>1907</v>
      </c>
      <c r="BI180" t="s">
        <v>1011</v>
      </c>
      <c r="BL180" t="s">
        <v>3183</v>
      </c>
      <c r="BM180" t="s">
        <v>1012</v>
      </c>
      <c r="BN180" t="s">
        <v>1012</v>
      </c>
      <c r="BO180" t="s">
        <v>1012</v>
      </c>
      <c r="BP180" t="s">
        <v>3184</v>
      </c>
      <c r="BQ180" t="s">
        <v>3070</v>
      </c>
      <c r="BR180">
        <v>1</v>
      </c>
      <c r="BS180">
        <v>4</v>
      </c>
      <c r="BU180" t="s">
        <v>1908</v>
      </c>
      <c r="BW180" t="s">
        <v>1934</v>
      </c>
      <c r="BX180" t="s">
        <v>2530</v>
      </c>
      <c r="BY180" t="s">
        <v>1911</v>
      </c>
      <c r="BZ180" t="s">
        <v>1910</v>
      </c>
      <c r="CB180" t="s">
        <v>3185</v>
      </c>
      <c r="CC180" t="s">
        <v>1938</v>
      </c>
      <c r="CD180" t="s">
        <v>1939</v>
      </c>
      <c r="CE180">
        <v>65.5</v>
      </c>
      <c r="CF180">
        <v>57.9</v>
      </c>
      <c r="CG180">
        <v>65.5</v>
      </c>
      <c r="CH180">
        <v>1010</v>
      </c>
      <c r="CI180">
        <v>77</v>
      </c>
      <c r="CJ180">
        <v>44.8</v>
      </c>
      <c r="CK180">
        <v>69.8</v>
      </c>
      <c r="CL180">
        <v>66.400000000000006</v>
      </c>
      <c r="CM180">
        <v>65.5</v>
      </c>
      <c r="CN180">
        <v>31680</v>
      </c>
      <c r="CO180">
        <v>11.9</v>
      </c>
      <c r="CP180">
        <v>251</v>
      </c>
      <c r="CQ180">
        <v>51</v>
      </c>
      <c r="CR180">
        <v>0</v>
      </c>
      <c r="CS180">
        <v>0</v>
      </c>
      <c r="CT180" t="s">
        <v>1915</v>
      </c>
      <c r="CU180">
        <v>216.8500061035156</v>
      </c>
      <c r="CV180">
        <v>99</v>
      </c>
      <c r="CW180">
        <v>11.75</v>
      </c>
      <c r="CX180">
        <v>5.4499998092651367</v>
      </c>
      <c r="CY180">
        <v>9.5500001907348633</v>
      </c>
      <c r="CZ180">
        <v>9.9499998092651367</v>
      </c>
      <c r="DA180">
        <v>1</v>
      </c>
      <c r="DB180">
        <v>1</v>
      </c>
      <c r="DC180">
        <v>0</v>
      </c>
      <c r="DD180">
        <v>0</v>
      </c>
      <c r="DE180">
        <v>185.9</v>
      </c>
      <c r="DF180">
        <v>265.7</v>
      </c>
      <c r="DG180">
        <v>0</v>
      </c>
      <c r="DH180">
        <v>0</v>
      </c>
      <c r="DI180">
        <v>0</v>
      </c>
      <c r="DJ180" t="s">
        <v>3186</v>
      </c>
      <c r="DM180">
        <v>2.44</v>
      </c>
      <c r="DN180">
        <v>3810.7</v>
      </c>
      <c r="EL180">
        <v>0</v>
      </c>
      <c r="EM180" t="s">
        <v>1013</v>
      </c>
    </row>
    <row r="181" spans="1:143" x14ac:dyDescent="0.35">
      <c r="A181" t="s">
        <v>38</v>
      </c>
      <c r="B181" t="s">
        <v>1015</v>
      </c>
      <c r="C181" t="s">
        <v>116</v>
      </c>
      <c r="D181" t="s">
        <v>120</v>
      </c>
      <c r="E181">
        <v>101</v>
      </c>
      <c r="G181" t="s">
        <v>3187</v>
      </c>
      <c r="L181" t="s">
        <v>1896</v>
      </c>
      <c r="M181" t="s">
        <v>3188</v>
      </c>
      <c r="N181" t="s">
        <v>1898</v>
      </c>
      <c r="R181" t="s">
        <v>119</v>
      </c>
      <c r="S181" t="s">
        <v>1016</v>
      </c>
      <c r="T181" t="s">
        <v>117</v>
      </c>
      <c r="Z181" t="s">
        <v>3189</v>
      </c>
      <c r="AA181" t="s">
        <v>3190</v>
      </c>
      <c r="AB181">
        <v>2</v>
      </c>
      <c r="AC181">
        <v>7</v>
      </c>
      <c r="AE181">
        <v>1975</v>
      </c>
      <c r="AF181" t="s">
        <v>2547</v>
      </c>
      <c r="AG181" t="s">
        <v>2717</v>
      </c>
      <c r="AH181" t="s">
        <v>1929</v>
      </c>
      <c r="AI181">
        <v>1900000</v>
      </c>
      <c r="AJ181">
        <v>0</v>
      </c>
      <c r="AL181">
        <v>0</v>
      </c>
      <c r="AS181" t="b">
        <v>0</v>
      </c>
      <c r="AV181" t="s">
        <v>1016</v>
      </c>
      <c r="AX181" t="s">
        <v>1019</v>
      </c>
      <c r="BD181" t="s">
        <v>3191</v>
      </c>
      <c r="BF181" t="s">
        <v>1906</v>
      </c>
      <c r="BG181" t="s">
        <v>1907</v>
      </c>
      <c r="BI181" t="s">
        <v>1016</v>
      </c>
      <c r="BL181" t="s">
        <v>3192</v>
      </c>
      <c r="BM181" t="s">
        <v>1017</v>
      </c>
      <c r="BN181" t="s">
        <v>1017</v>
      </c>
      <c r="BO181" t="s">
        <v>1017</v>
      </c>
      <c r="BP181" t="s">
        <v>3193</v>
      </c>
      <c r="BQ181" t="s">
        <v>3189</v>
      </c>
      <c r="BR181">
        <v>2</v>
      </c>
      <c r="BS181">
        <v>7</v>
      </c>
      <c r="BU181" t="s">
        <v>1908</v>
      </c>
      <c r="BW181" t="s">
        <v>1934</v>
      </c>
      <c r="BX181" t="s">
        <v>1949</v>
      </c>
      <c r="BY181" t="s">
        <v>1911</v>
      </c>
      <c r="BZ181" t="s">
        <v>1910</v>
      </c>
      <c r="CB181" t="s">
        <v>3194</v>
      </c>
      <c r="CC181" t="s">
        <v>1961</v>
      </c>
      <c r="CD181" t="s">
        <v>1962</v>
      </c>
      <c r="CE181">
        <v>67.099999999999994</v>
      </c>
      <c r="CF181">
        <v>57.6</v>
      </c>
      <c r="CG181">
        <v>67.099999999999994</v>
      </c>
      <c r="CH181">
        <v>1010</v>
      </c>
      <c r="CI181">
        <v>71</v>
      </c>
      <c r="CJ181">
        <v>44.8</v>
      </c>
      <c r="CK181">
        <v>69.8</v>
      </c>
      <c r="CL181">
        <v>69.3</v>
      </c>
      <c r="CM181">
        <v>67.099999999999994</v>
      </c>
      <c r="CN181">
        <v>31680</v>
      </c>
      <c r="CO181">
        <v>12.1</v>
      </c>
      <c r="CP181">
        <v>245</v>
      </c>
      <c r="CQ181">
        <v>37</v>
      </c>
      <c r="CR181">
        <v>0</v>
      </c>
      <c r="CS181">
        <v>0</v>
      </c>
      <c r="CT181" t="s">
        <v>1915</v>
      </c>
      <c r="CU181">
        <v>217.8500061035156</v>
      </c>
      <c r="CV181">
        <v>101</v>
      </c>
      <c r="CW181">
        <v>10.85000038146973</v>
      </c>
      <c r="CX181">
        <v>5.5500001907348633</v>
      </c>
      <c r="CY181">
        <v>9.4499998092651367</v>
      </c>
      <c r="CZ181">
        <v>9.9499998092651367</v>
      </c>
      <c r="DA181">
        <v>1</v>
      </c>
      <c r="DB181">
        <v>1</v>
      </c>
      <c r="DC181">
        <v>0</v>
      </c>
      <c r="DD181">
        <v>0</v>
      </c>
      <c r="DE181">
        <v>201.77</v>
      </c>
      <c r="DF181">
        <v>311.43</v>
      </c>
      <c r="DG181">
        <v>0</v>
      </c>
      <c r="DH181">
        <v>0</v>
      </c>
      <c r="DI181">
        <v>0</v>
      </c>
      <c r="DJ181" t="s">
        <v>3186</v>
      </c>
      <c r="DM181">
        <v>2.44</v>
      </c>
      <c r="DN181">
        <v>3810.7</v>
      </c>
      <c r="EL181">
        <v>0</v>
      </c>
      <c r="EM181" t="s">
        <v>1018</v>
      </c>
    </row>
    <row r="182" spans="1:143" x14ac:dyDescent="0.35">
      <c r="A182" t="s">
        <v>38</v>
      </c>
      <c r="B182" t="s">
        <v>1020</v>
      </c>
      <c r="C182" t="s">
        <v>116</v>
      </c>
      <c r="D182" t="s">
        <v>120</v>
      </c>
      <c r="E182">
        <v>170</v>
      </c>
      <c r="G182" t="s">
        <v>3195</v>
      </c>
      <c r="L182" t="s">
        <v>1896</v>
      </c>
      <c r="M182" t="s">
        <v>2680</v>
      </c>
      <c r="N182" t="s">
        <v>1898</v>
      </c>
      <c r="R182" t="s">
        <v>119</v>
      </c>
      <c r="S182" t="s">
        <v>1021</v>
      </c>
      <c r="T182" t="s">
        <v>117</v>
      </c>
      <c r="Z182" t="s">
        <v>3070</v>
      </c>
      <c r="AA182" t="s">
        <v>2664</v>
      </c>
      <c r="AB182">
        <v>1</v>
      </c>
      <c r="AC182">
        <v>4</v>
      </c>
      <c r="AE182">
        <v>1980</v>
      </c>
      <c r="AF182" t="s">
        <v>2739</v>
      </c>
      <c r="AG182" t="s">
        <v>2234</v>
      </c>
      <c r="AH182" t="s">
        <v>1903</v>
      </c>
      <c r="AI182">
        <v>4255400</v>
      </c>
      <c r="AJ182">
        <v>0</v>
      </c>
      <c r="AL182">
        <v>0</v>
      </c>
      <c r="AS182" t="b">
        <v>0</v>
      </c>
      <c r="AV182" t="s">
        <v>1021</v>
      </c>
      <c r="AX182" t="s">
        <v>1024</v>
      </c>
      <c r="BD182" t="s">
        <v>3196</v>
      </c>
      <c r="BF182" t="s">
        <v>1906</v>
      </c>
      <c r="BG182" t="s">
        <v>1907</v>
      </c>
      <c r="BI182" t="s">
        <v>1021</v>
      </c>
      <c r="BL182" t="s">
        <v>3197</v>
      </c>
      <c r="BM182" t="s">
        <v>1022</v>
      </c>
      <c r="BN182" t="s">
        <v>1022</v>
      </c>
      <c r="BO182" t="s">
        <v>1022</v>
      </c>
      <c r="BP182" t="s">
        <v>3198</v>
      </c>
      <c r="BQ182" t="s">
        <v>3070</v>
      </c>
      <c r="BR182">
        <v>1</v>
      </c>
      <c r="BS182">
        <v>4</v>
      </c>
      <c r="BU182" t="s">
        <v>1908</v>
      </c>
      <c r="BW182" t="s">
        <v>1909</v>
      </c>
      <c r="BX182" t="s">
        <v>1949</v>
      </c>
      <c r="BY182" t="s">
        <v>1911</v>
      </c>
      <c r="BZ182" t="s">
        <v>1910</v>
      </c>
      <c r="CB182" t="s">
        <v>3199</v>
      </c>
      <c r="CC182" t="s">
        <v>1996</v>
      </c>
      <c r="CD182" t="s">
        <v>1997</v>
      </c>
      <c r="CE182">
        <v>68.7</v>
      </c>
      <c r="CF182">
        <v>56.7</v>
      </c>
      <c r="CG182">
        <v>68.5</v>
      </c>
      <c r="CH182">
        <v>1010</v>
      </c>
      <c r="CI182">
        <v>60</v>
      </c>
      <c r="CJ182">
        <v>44.8</v>
      </c>
      <c r="CK182">
        <v>69.8</v>
      </c>
      <c r="CL182">
        <v>71.599999999999994</v>
      </c>
      <c r="CM182">
        <v>68.5</v>
      </c>
      <c r="CN182">
        <v>31680</v>
      </c>
      <c r="CO182">
        <v>12.5</v>
      </c>
      <c r="CP182">
        <v>238</v>
      </c>
      <c r="CQ182">
        <v>8</v>
      </c>
      <c r="CR182">
        <v>0</v>
      </c>
      <c r="CS182">
        <v>0</v>
      </c>
      <c r="CT182" t="s">
        <v>1915</v>
      </c>
      <c r="CU182">
        <v>216.8500061035156</v>
      </c>
      <c r="CV182">
        <v>101</v>
      </c>
      <c r="CW182">
        <v>10.25</v>
      </c>
      <c r="CX182">
        <v>5.6500000953674316</v>
      </c>
      <c r="CY182">
        <v>10.75</v>
      </c>
      <c r="CZ182">
        <v>11.14999961853027</v>
      </c>
      <c r="DA182">
        <v>1</v>
      </c>
      <c r="DB182">
        <v>1</v>
      </c>
      <c r="DC182">
        <v>0</v>
      </c>
      <c r="DD182">
        <v>0</v>
      </c>
      <c r="DE182">
        <v>243.77</v>
      </c>
      <c r="DF182">
        <v>298.74</v>
      </c>
      <c r="DG182">
        <v>0</v>
      </c>
      <c r="DH182">
        <v>0</v>
      </c>
      <c r="DI182">
        <v>0</v>
      </c>
      <c r="DJ182" t="s">
        <v>3053</v>
      </c>
      <c r="DM182">
        <v>0.42</v>
      </c>
      <c r="DN182">
        <v>6726.2</v>
      </c>
      <c r="EL182">
        <v>0</v>
      </c>
      <c r="EM182" t="s">
        <v>1023</v>
      </c>
    </row>
    <row r="183" spans="1:143" x14ac:dyDescent="0.35">
      <c r="A183" t="s">
        <v>38</v>
      </c>
      <c r="B183" t="s">
        <v>1025</v>
      </c>
      <c r="C183" t="s">
        <v>116</v>
      </c>
      <c r="D183" t="s">
        <v>120</v>
      </c>
      <c r="E183">
        <v>505</v>
      </c>
      <c r="G183" t="s">
        <v>3092</v>
      </c>
      <c r="L183" t="s">
        <v>1896</v>
      </c>
      <c r="M183" t="s">
        <v>2680</v>
      </c>
      <c r="N183" t="s">
        <v>1898</v>
      </c>
      <c r="R183" t="s">
        <v>119</v>
      </c>
      <c r="S183" t="s">
        <v>1026</v>
      </c>
      <c r="T183" t="s">
        <v>117</v>
      </c>
      <c r="Z183" t="s">
        <v>2951</v>
      </c>
      <c r="AA183" t="s">
        <v>2559</v>
      </c>
      <c r="AB183">
        <v>1</v>
      </c>
      <c r="AC183">
        <v>4</v>
      </c>
      <c r="AE183">
        <v>2004</v>
      </c>
      <c r="AF183" t="s">
        <v>2739</v>
      </c>
      <c r="AG183" t="s">
        <v>3093</v>
      </c>
      <c r="AH183" t="s">
        <v>1903</v>
      </c>
      <c r="AI183">
        <v>9350000</v>
      </c>
      <c r="AJ183">
        <v>0</v>
      </c>
      <c r="AL183">
        <v>0</v>
      </c>
      <c r="AS183" t="b">
        <v>0</v>
      </c>
      <c r="AV183" t="s">
        <v>1026</v>
      </c>
      <c r="AX183" t="s">
        <v>1029</v>
      </c>
      <c r="BD183" t="s">
        <v>3200</v>
      </c>
      <c r="BF183" t="s">
        <v>1906</v>
      </c>
      <c r="BG183" t="s">
        <v>1907</v>
      </c>
      <c r="BI183" t="s">
        <v>1026</v>
      </c>
      <c r="BL183" t="s">
        <v>3201</v>
      </c>
      <c r="BM183" t="s">
        <v>1027</v>
      </c>
      <c r="BN183" t="s">
        <v>1027</v>
      </c>
      <c r="BO183" t="s">
        <v>1027</v>
      </c>
      <c r="BP183" t="s">
        <v>3202</v>
      </c>
      <c r="BQ183" t="s">
        <v>2951</v>
      </c>
      <c r="BR183">
        <v>1</v>
      </c>
      <c r="BS183">
        <v>4</v>
      </c>
      <c r="BU183" t="s">
        <v>1908</v>
      </c>
      <c r="BW183" t="s">
        <v>1934</v>
      </c>
      <c r="BX183" t="s">
        <v>1949</v>
      </c>
      <c r="BY183" t="s">
        <v>1911</v>
      </c>
      <c r="BZ183" t="s">
        <v>1995</v>
      </c>
      <c r="CB183" t="s">
        <v>3203</v>
      </c>
      <c r="CC183" t="s">
        <v>1938</v>
      </c>
      <c r="CD183" t="s">
        <v>1939</v>
      </c>
      <c r="CE183">
        <v>64.599999999999994</v>
      </c>
      <c r="CF183">
        <v>58.3</v>
      </c>
      <c r="CG183">
        <v>64.599999999999994</v>
      </c>
      <c r="CH183">
        <v>1010</v>
      </c>
      <c r="CI183">
        <v>82</v>
      </c>
      <c r="CJ183">
        <v>44.8</v>
      </c>
      <c r="CK183">
        <v>69.8</v>
      </c>
      <c r="CL183">
        <v>65.099999999999994</v>
      </c>
      <c r="CM183">
        <v>64.599999999999994</v>
      </c>
      <c r="CN183">
        <v>31680</v>
      </c>
      <c r="CO183">
        <v>11.2</v>
      </c>
      <c r="CP183">
        <v>250</v>
      </c>
      <c r="CQ183">
        <v>65</v>
      </c>
      <c r="CR183">
        <v>0</v>
      </c>
      <c r="CS183">
        <v>0</v>
      </c>
      <c r="CT183" t="s">
        <v>2415</v>
      </c>
      <c r="CU183">
        <v>221.3500061035156</v>
      </c>
      <c r="CV183">
        <v>98</v>
      </c>
      <c r="CW183">
        <v>12.14999961853027</v>
      </c>
      <c r="CX183">
        <v>5.4499998092651367</v>
      </c>
      <c r="CY183">
        <v>11.25</v>
      </c>
      <c r="CZ183">
        <v>11.55000019073486</v>
      </c>
      <c r="DA183">
        <v>1</v>
      </c>
      <c r="DB183">
        <v>1</v>
      </c>
      <c r="DC183">
        <v>0</v>
      </c>
      <c r="DD183">
        <v>0</v>
      </c>
      <c r="DE183">
        <v>147.36000000000001</v>
      </c>
      <c r="DF183">
        <v>226.77</v>
      </c>
      <c r="DG183">
        <v>0</v>
      </c>
      <c r="DH183">
        <v>0</v>
      </c>
      <c r="DI183">
        <v>0</v>
      </c>
      <c r="DJ183" t="s">
        <v>2688</v>
      </c>
      <c r="DM183">
        <v>2.44</v>
      </c>
      <c r="DN183">
        <v>1782</v>
      </c>
      <c r="EL183">
        <v>0</v>
      </c>
      <c r="EM183" t="s">
        <v>1028</v>
      </c>
    </row>
    <row r="184" spans="1:143" x14ac:dyDescent="0.35">
      <c r="A184" t="s">
        <v>38</v>
      </c>
      <c r="B184" t="s">
        <v>1030</v>
      </c>
      <c r="C184" t="s">
        <v>116</v>
      </c>
      <c r="D184" t="s">
        <v>120</v>
      </c>
      <c r="E184">
        <v>211</v>
      </c>
      <c r="G184" t="s">
        <v>3204</v>
      </c>
      <c r="L184" t="s">
        <v>1896</v>
      </c>
      <c r="M184" t="s">
        <v>2761</v>
      </c>
      <c r="N184" t="s">
        <v>1898</v>
      </c>
      <c r="R184" t="s">
        <v>119</v>
      </c>
      <c r="S184" t="s">
        <v>1031</v>
      </c>
      <c r="T184" t="s">
        <v>117</v>
      </c>
      <c r="Z184" t="s">
        <v>3205</v>
      </c>
      <c r="AA184" t="s">
        <v>3206</v>
      </c>
      <c r="AB184">
        <v>5</v>
      </c>
      <c r="AC184">
        <v>14</v>
      </c>
      <c r="AE184">
        <v>1960</v>
      </c>
      <c r="AF184" t="s">
        <v>2547</v>
      </c>
      <c r="AG184" t="s">
        <v>2234</v>
      </c>
      <c r="AH184" t="s">
        <v>1903</v>
      </c>
      <c r="AI184">
        <v>2731800</v>
      </c>
      <c r="AJ184">
        <v>0</v>
      </c>
      <c r="AL184">
        <v>0</v>
      </c>
      <c r="AS184" t="b">
        <v>0</v>
      </c>
      <c r="AV184" t="s">
        <v>1031</v>
      </c>
      <c r="AX184" t="s">
        <v>1034</v>
      </c>
      <c r="BD184" t="s">
        <v>3207</v>
      </c>
      <c r="BF184" t="s">
        <v>1906</v>
      </c>
      <c r="BG184" t="s">
        <v>3208</v>
      </c>
      <c r="BI184" t="s">
        <v>1031</v>
      </c>
      <c r="BL184" t="s">
        <v>3209</v>
      </c>
      <c r="BM184" t="s">
        <v>1032</v>
      </c>
      <c r="BN184" t="s">
        <v>1032</v>
      </c>
      <c r="BO184" t="s">
        <v>1032</v>
      </c>
      <c r="BP184" t="s">
        <v>3210</v>
      </c>
      <c r="BQ184" t="s">
        <v>3205</v>
      </c>
      <c r="BR184">
        <v>5</v>
      </c>
      <c r="BS184">
        <v>14</v>
      </c>
      <c r="BU184" t="s">
        <v>1908</v>
      </c>
      <c r="BW184" t="s">
        <v>1934</v>
      </c>
      <c r="BX184" t="s">
        <v>1949</v>
      </c>
      <c r="BY184" t="s">
        <v>1911</v>
      </c>
      <c r="BZ184" t="s">
        <v>1910</v>
      </c>
      <c r="CB184" t="s">
        <v>1971</v>
      </c>
      <c r="CC184" t="s">
        <v>1972</v>
      </c>
      <c r="CD184" t="s">
        <v>1973</v>
      </c>
      <c r="CE184">
        <v>46.9</v>
      </c>
      <c r="CF184">
        <v>29.8</v>
      </c>
      <c r="CG184">
        <v>42.4</v>
      </c>
      <c r="CH184">
        <v>1028</v>
      </c>
      <c r="CI184">
        <v>52</v>
      </c>
      <c r="CJ184">
        <v>39.4</v>
      </c>
      <c r="CK184">
        <v>50</v>
      </c>
      <c r="CL184">
        <v>46.9</v>
      </c>
      <c r="CM184">
        <v>42.4</v>
      </c>
      <c r="CN184">
        <v>31680</v>
      </c>
      <c r="CO184">
        <v>6.5</v>
      </c>
      <c r="CP184">
        <v>202</v>
      </c>
      <c r="CQ184">
        <v>100</v>
      </c>
      <c r="CR184">
        <v>0</v>
      </c>
      <c r="CS184">
        <v>0</v>
      </c>
      <c r="CT184" t="s">
        <v>1915</v>
      </c>
      <c r="CU184">
        <v>196.8500061035156</v>
      </c>
      <c r="CV184">
        <v>109</v>
      </c>
      <c r="CW184">
        <v>4.9499998092651367</v>
      </c>
      <c r="CX184">
        <v>2.1500000953674321</v>
      </c>
      <c r="CY184">
        <v>4.9499998092651367</v>
      </c>
      <c r="CZ184">
        <v>5.5500001907348633</v>
      </c>
      <c r="DA184">
        <v>1</v>
      </c>
      <c r="DB184">
        <v>1</v>
      </c>
      <c r="DC184">
        <v>0</v>
      </c>
      <c r="DD184">
        <v>0</v>
      </c>
      <c r="DE184">
        <v>136.19999999999999</v>
      </c>
      <c r="DF184">
        <v>201.37</v>
      </c>
      <c r="DG184">
        <v>0</v>
      </c>
      <c r="DH184">
        <v>0</v>
      </c>
      <c r="DI184">
        <v>0</v>
      </c>
      <c r="DJ184" t="s">
        <v>3211</v>
      </c>
      <c r="DM184">
        <v>2.16</v>
      </c>
      <c r="DN184">
        <v>2138.9</v>
      </c>
      <c r="EL184">
        <v>0</v>
      </c>
      <c r="EM184" t="s">
        <v>1033</v>
      </c>
    </row>
    <row r="185" spans="1:143" x14ac:dyDescent="0.35">
      <c r="A185" t="s">
        <v>38</v>
      </c>
      <c r="B185" t="s">
        <v>1035</v>
      </c>
      <c r="C185" t="s">
        <v>116</v>
      </c>
      <c r="D185" t="s">
        <v>120</v>
      </c>
      <c r="G185" t="s">
        <v>3212</v>
      </c>
      <c r="L185" t="s">
        <v>1896</v>
      </c>
      <c r="M185" t="s">
        <v>2680</v>
      </c>
      <c r="R185" t="s">
        <v>119</v>
      </c>
      <c r="S185" t="s">
        <v>1036</v>
      </c>
      <c r="T185" t="s">
        <v>117</v>
      </c>
      <c r="Z185" t="s">
        <v>2999</v>
      </c>
      <c r="AA185" t="s">
        <v>2682</v>
      </c>
      <c r="AB185">
        <v>1</v>
      </c>
      <c r="AC185">
        <v>4</v>
      </c>
      <c r="AJ185">
        <v>0</v>
      </c>
      <c r="AL185">
        <v>0</v>
      </c>
      <c r="AS185" t="b">
        <v>0</v>
      </c>
      <c r="AV185" t="s">
        <v>1036</v>
      </c>
      <c r="AX185" t="s">
        <v>1039</v>
      </c>
      <c r="BD185" t="s">
        <v>3213</v>
      </c>
      <c r="BF185" t="s">
        <v>1906</v>
      </c>
      <c r="BG185" t="s">
        <v>3214</v>
      </c>
      <c r="BI185" t="s">
        <v>1036</v>
      </c>
      <c r="BL185" t="s">
        <v>3215</v>
      </c>
      <c r="BM185" t="s">
        <v>1037</v>
      </c>
      <c r="BN185" t="s">
        <v>1037</v>
      </c>
      <c r="BO185" t="s">
        <v>1037</v>
      </c>
      <c r="BP185" t="s">
        <v>3216</v>
      </c>
      <c r="BQ185" t="s">
        <v>2999</v>
      </c>
      <c r="BR185">
        <v>1</v>
      </c>
      <c r="BS185">
        <v>4</v>
      </c>
      <c r="BU185" t="s">
        <v>1908</v>
      </c>
      <c r="BW185" t="s">
        <v>1948</v>
      </c>
      <c r="BX185" t="s">
        <v>1949</v>
      </c>
      <c r="BY185" t="s">
        <v>1970</v>
      </c>
      <c r="BZ185" t="s">
        <v>1910</v>
      </c>
      <c r="CB185" t="s">
        <v>1971</v>
      </c>
      <c r="CC185" t="s">
        <v>1972</v>
      </c>
      <c r="CD185" t="s">
        <v>1973</v>
      </c>
      <c r="CE185">
        <v>46.9</v>
      </c>
      <c r="CF185">
        <v>29.8</v>
      </c>
      <c r="CG185">
        <v>42.4</v>
      </c>
      <c r="CH185">
        <v>1028</v>
      </c>
      <c r="CI185">
        <v>52</v>
      </c>
      <c r="CJ185">
        <v>39.4</v>
      </c>
      <c r="CK185">
        <v>50</v>
      </c>
      <c r="CL185">
        <v>46.9</v>
      </c>
      <c r="CM185">
        <v>42.4</v>
      </c>
      <c r="CN185">
        <v>31680</v>
      </c>
      <c r="CO185">
        <v>6.5</v>
      </c>
      <c r="CP185">
        <v>202</v>
      </c>
      <c r="CQ185">
        <v>100</v>
      </c>
      <c r="CR185">
        <v>0</v>
      </c>
      <c r="CS185">
        <v>0</v>
      </c>
      <c r="CT185" t="s">
        <v>1915</v>
      </c>
      <c r="CU185">
        <v>196.8500061035156</v>
      </c>
      <c r="CV185">
        <v>109</v>
      </c>
      <c r="CW185">
        <v>4.9499998092651367</v>
      </c>
      <c r="CX185">
        <v>2.1500000953674321</v>
      </c>
      <c r="CY185">
        <v>4.9499998092651367</v>
      </c>
      <c r="CZ185">
        <v>5.5500001907348633</v>
      </c>
      <c r="DA185">
        <v>1</v>
      </c>
      <c r="DB185">
        <v>1</v>
      </c>
      <c r="DC185">
        <v>0</v>
      </c>
      <c r="DD185">
        <v>0</v>
      </c>
      <c r="DE185">
        <v>136.33000000000001</v>
      </c>
      <c r="DF185">
        <v>210.42</v>
      </c>
      <c r="DG185">
        <v>0</v>
      </c>
      <c r="DH185">
        <v>0</v>
      </c>
      <c r="DI185">
        <v>0</v>
      </c>
      <c r="DJ185" t="s">
        <v>3217</v>
      </c>
      <c r="DM185">
        <v>0.28000000000000003</v>
      </c>
      <c r="DN185">
        <v>7378.6</v>
      </c>
      <c r="EL185">
        <v>0</v>
      </c>
      <c r="EM185" t="s">
        <v>1038</v>
      </c>
    </row>
    <row r="186" spans="1:143" x14ac:dyDescent="0.35">
      <c r="A186" t="s">
        <v>38</v>
      </c>
      <c r="B186" t="s">
        <v>1040</v>
      </c>
      <c r="C186" t="s">
        <v>116</v>
      </c>
      <c r="D186" t="s">
        <v>120</v>
      </c>
      <c r="E186">
        <v>48</v>
      </c>
      <c r="G186" t="s">
        <v>3218</v>
      </c>
      <c r="L186" t="s">
        <v>1896</v>
      </c>
      <c r="M186" t="s">
        <v>3219</v>
      </c>
      <c r="N186" t="s">
        <v>1898</v>
      </c>
      <c r="R186" t="s">
        <v>119</v>
      </c>
      <c r="S186" t="s">
        <v>1041</v>
      </c>
      <c r="T186" t="s">
        <v>117</v>
      </c>
      <c r="Z186" t="s">
        <v>3220</v>
      </c>
      <c r="AA186" t="s">
        <v>3221</v>
      </c>
      <c r="AB186">
        <v>1</v>
      </c>
      <c r="AC186">
        <v>4</v>
      </c>
      <c r="AE186">
        <v>1950</v>
      </c>
      <c r="AF186" t="s">
        <v>2641</v>
      </c>
      <c r="AG186" t="s">
        <v>1928</v>
      </c>
      <c r="AH186" t="s">
        <v>1929</v>
      </c>
      <c r="AI186">
        <v>118700</v>
      </c>
      <c r="AJ186">
        <v>0</v>
      </c>
      <c r="AL186">
        <v>0</v>
      </c>
      <c r="AS186" t="b">
        <v>0</v>
      </c>
      <c r="AV186" t="s">
        <v>1041</v>
      </c>
      <c r="AX186" t="s">
        <v>1044</v>
      </c>
      <c r="BD186" t="s">
        <v>3222</v>
      </c>
      <c r="BF186" t="s">
        <v>1906</v>
      </c>
      <c r="BG186" t="s">
        <v>2235</v>
      </c>
      <c r="BI186" t="s">
        <v>1041</v>
      </c>
      <c r="BL186" t="s">
        <v>3223</v>
      </c>
      <c r="BM186" t="s">
        <v>1042</v>
      </c>
      <c r="BN186" t="s">
        <v>1042</v>
      </c>
      <c r="BO186" t="s">
        <v>1042</v>
      </c>
      <c r="BP186" t="s">
        <v>3224</v>
      </c>
      <c r="BQ186" t="s">
        <v>3220</v>
      </c>
      <c r="BR186">
        <v>1</v>
      </c>
      <c r="BS186">
        <v>4</v>
      </c>
      <c r="BU186" t="s">
        <v>1908</v>
      </c>
      <c r="BW186" t="s">
        <v>1948</v>
      </c>
      <c r="BX186" t="s">
        <v>1910</v>
      </c>
      <c r="BY186" t="s">
        <v>1911</v>
      </c>
      <c r="BZ186" t="s">
        <v>1910</v>
      </c>
      <c r="CB186" t="s">
        <v>3225</v>
      </c>
      <c r="CC186" t="s">
        <v>1996</v>
      </c>
      <c r="CD186" t="s">
        <v>1997</v>
      </c>
      <c r="CE186">
        <v>54.7</v>
      </c>
      <c r="CF186">
        <v>29.1</v>
      </c>
      <c r="CG186">
        <v>51.3</v>
      </c>
      <c r="CH186">
        <v>1025</v>
      </c>
      <c r="CI186">
        <v>37</v>
      </c>
      <c r="CJ186">
        <v>42.3</v>
      </c>
      <c r="CK186">
        <v>54.7</v>
      </c>
      <c r="CL186">
        <v>54.7</v>
      </c>
      <c r="CM186">
        <v>51.3</v>
      </c>
      <c r="CN186">
        <v>31680</v>
      </c>
      <c r="CO186">
        <v>12.8</v>
      </c>
      <c r="CP186">
        <v>317</v>
      </c>
      <c r="CQ186">
        <v>0</v>
      </c>
      <c r="CR186">
        <v>0</v>
      </c>
      <c r="CS186">
        <v>0</v>
      </c>
      <c r="CT186" t="s">
        <v>1915</v>
      </c>
      <c r="CU186">
        <v>161.8500061035156</v>
      </c>
      <c r="CV186">
        <v>106</v>
      </c>
      <c r="CW186">
        <v>1.549999952316284</v>
      </c>
      <c r="CX186">
        <v>1.549999952316284</v>
      </c>
      <c r="CY186">
        <v>3.0499999523162842</v>
      </c>
      <c r="CZ186">
        <v>3.3499999046325679</v>
      </c>
      <c r="DA186">
        <v>1</v>
      </c>
      <c r="DB186">
        <v>1</v>
      </c>
      <c r="DC186">
        <v>0</v>
      </c>
      <c r="DD186">
        <v>0.35</v>
      </c>
      <c r="DE186">
        <v>177.54</v>
      </c>
      <c r="DF186">
        <v>222.44</v>
      </c>
      <c r="DG186">
        <v>0</v>
      </c>
      <c r="DH186">
        <v>0</v>
      </c>
      <c r="DI186">
        <v>0</v>
      </c>
      <c r="DJ186" t="s">
        <v>3226</v>
      </c>
      <c r="DM186">
        <v>0.78</v>
      </c>
      <c r="DN186">
        <v>5661.5</v>
      </c>
      <c r="EL186">
        <v>0</v>
      </c>
      <c r="EM186" t="s">
        <v>1043</v>
      </c>
    </row>
    <row r="187" spans="1:143" x14ac:dyDescent="0.35">
      <c r="A187" t="s">
        <v>38</v>
      </c>
      <c r="B187" t="s">
        <v>1045</v>
      </c>
      <c r="C187" t="s">
        <v>116</v>
      </c>
      <c r="D187" t="s">
        <v>120</v>
      </c>
      <c r="E187">
        <v>44</v>
      </c>
      <c r="G187" t="s">
        <v>3227</v>
      </c>
      <c r="L187" t="s">
        <v>1896</v>
      </c>
      <c r="M187" t="s">
        <v>3228</v>
      </c>
      <c r="N187" t="s">
        <v>1898</v>
      </c>
      <c r="R187" t="s">
        <v>119</v>
      </c>
      <c r="S187" t="s">
        <v>1046</v>
      </c>
      <c r="T187" t="s">
        <v>117</v>
      </c>
      <c r="Z187" t="s">
        <v>3229</v>
      </c>
      <c r="AA187" t="s">
        <v>3230</v>
      </c>
      <c r="AB187">
        <v>3</v>
      </c>
      <c r="AC187">
        <v>12</v>
      </c>
      <c r="AE187">
        <v>1970</v>
      </c>
      <c r="AF187" t="s">
        <v>2641</v>
      </c>
      <c r="AG187" t="s">
        <v>1945</v>
      </c>
      <c r="AH187" t="s">
        <v>1903</v>
      </c>
      <c r="AI187">
        <v>97900</v>
      </c>
      <c r="AJ187">
        <v>0</v>
      </c>
      <c r="AL187">
        <v>0</v>
      </c>
      <c r="AS187" t="b">
        <v>0</v>
      </c>
      <c r="AV187" t="s">
        <v>1046</v>
      </c>
      <c r="AX187" t="s">
        <v>1049</v>
      </c>
      <c r="BD187" t="s">
        <v>3231</v>
      </c>
      <c r="BF187" t="s">
        <v>1906</v>
      </c>
      <c r="BG187" t="s">
        <v>1907</v>
      </c>
      <c r="BI187" t="s">
        <v>1046</v>
      </c>
      <c r="BL187" t="s">
        <v>3232</v>
      </c>
      <c r="BM187" t="s">
        <v>1047</v>
      </c>
      <c r="BN187" t="s">
        <v>1047</v>
      </c>
      <c r="BO187" t="s">
        <v>1047</v>
      </c>
      <c r="BP187" t="s">
        <v>3233</v>
      </c>
      <c r="BQ187" t="s">
        <v>3229</v>
      </c>
      <c r="BR187">
        <v>3</v>
      </c>
      <c r="BS187">
        <v>12</v>
      </c>
      <c r="BU187" t="s">
        <v>1908</v>
      </c>
      <c r="BW187" t="s">
        <v>1934</v>
      </c>
      <c r="BX187" t="s">
        <v>1949</v>
      </c>
      <c r="BY187" t="s">
        <v>1911</v>
      </c>
      <c r="BZ187" t="s">
        <v>1910</v>
      </c>
      <c r="CB187" t="s">
        <v>2241</v>
      </c>
      <c r="CC187" t="s">
        <v>1996</v>
      </c>
      <c r="CD187" t="s">
        <v>1997</v>
      </c>
      <c r="CE187">
        <v>54.1</v>
      </c>
      <c r="CF187">
        <v>29.7</v>
      </c>
      <c r="CG187">
        <v>50.2</v>
      </c>
      <c r="CH187">
        <v>1024</v>
      </c>
      <c r="CI187">
        <v>38</v>
      </c>
      <c r="CJ187">
        <v>42.3</v>
      </c>
      <c r="CK187">
        <v>54.7</v>
      </c>
      <c r="CL187">
        <v>54.1</v>
      </c>
      <c r="CM187">
        <v>50.2</v>
      </c>
      <c r="CN187">
        <v>31680</v>
      </c>
      <c r="CO187">
        <v>13.9</v>
      </c>
      <c r="CP187">
        <v>315</v>
      </c>
      <c r="CQ187">
        <v>0</v>
      </c>
      <c r="CR187">
        <v>0</v>
      </c>
      <c r="CS187">
        <v>0</v>
      </c>
      <c r="CT187" t="s">
        <v>1915</v>
      </c>
      <c r="CU187">
        <v>162.8500061035156</v>
      </c>
      <c r="CV187">
        <v>104</v>
      </c>
      <c r="CW187">
        <v>1.6499999761581421</v>
      </c>
      <c r="CX187">
        <v>1.450000047683716</v>
      </c>
      <c r="CY187">
        <v>2.75</v>
      </c>
      <c r="CZ187">
        <v>3.0499999523162842</v>
      </c>
      <c r="DA187">
        <v>1</v>
      </c>
      <c r="DB187">
        <v>1</v>
      </c>
      <c r="DC187">
        <v>0</v>
      </c>
      <c r="DD187">
        <v>0.3</v>
      </c>
      <c r="DE187">
        <v>177.85</v>
      </c>
      <c r="DF187">
        <v>217.96</v>
      </c>
      <c r="DG187">
        <v>0</v>
      </c>
      <c r="DH187">
        <v>0</v>
      </c>
      <c r="DI187">
        <v>0</v>
      </c>
      <c r="DJ187" t="s">
        <v>2658</v>
      </c>
      <c r="DM187">
        <v>1.17</v>
      </c>
      <c r="DN187">
        <v>6052.1</v>
      </c>
      <c r="EL187">
        <v>0</v>
      </c>
      <c r="EM187" t="s">
        <v>1048</v>
      </c>
    </row>
    <row r="188" spans="1:143" x14ac:dyDescent="0.35">
      <c r="A188" t="s">
        <v>38</v>
      </c>
      <c r="B188" t="s">
        <v>1050</v>
      </c>
      <c r="C188" t="s">
        <v>116</v>
      </c>
      <c r="D188" t="s">
        <v>120</v>
      </c>
      <c r="E188">
        <v>95</v>
      </c>
      <c r="G188" t="s">
        <v>2691</v>
      </c>
      <c r="L188" t="s">
        <v>1896</v>
      </c>
      <c r="M188" t="s">
        <v>2680</v>
      </c>
      <c r="N188" t="s">
        <v>1898</v>
      </c>
      <c r="R188" t="s">
        <v>119</v>
      </c>
      <c r="S188" t="s">
        <v>1051</v>
      </c>
      <c r="T188" t="s">
        <v>117</v>
      </c>
      <c r="Z188" t="s">
        <v>2793</v>
      </c>
      <c r="AA188" t="s">
        <v>2794</v>
      </c>
      <c r="AB188">
        <v>1</v>
      </c>
      <c r="AC188">
        <v>4</v>
      </c>
      <c r="AE188">
        <v>1950</v>
      </c>
      <c r="AF188" t="s">
        <v>2683</v>
      </c>
      <c r="AG188" t="s">
        <v>3234</v>
      </c>
      <c r="AH188" t="s">
        <v>1903</v>
      </c>
      <c r="AI188">
        <v>1292600</v>
      </c>
      <c r="AJ188">
        <v>0</v>
      </c>
      <c r="AL188">
        <v>0</v>
      </c>
      <c r="AS188" t="b">
        <v>0</v>
      </c>
      <c r="AV188" t="s">
        <v>1051</v>
      </c>
      <c r="AX188" t="s">
        <v>1054</v>
      </c>
      <c r="BD188" t="s">
        <v>3235</v>
      </c>
      <c r="BF188" t="s">
        <v>1906</v>
      </c>
      <c r="BG188" t="s">
        <v>1907</v>
      </c>
      <c r="BI188" t="s">
        <v>1051</v>
      </c>
      <c r="BL188" t="s">
        <v>3236</v>
      </c>
      <c r="BM188" t="s">
        <v>1052</v>
      </c>
      <c r="BN188" t="s">
        <v>1052</v>
      </c>
      <c r="BO188" t="s">
        <v>1052</v>
      </c>
      <c r="BP188" t="s">
        <v>3237</v>
      </c>
      <c r="BQ188" t="s">
        <v>2793</v>
      </c>
      <c r="BR188">
        <v>1</v>
      </c>
      <c r="BS188">
        <v>4</v>
      </c>
      <c r="BU188" t="s">
        <v>1908</v>
      </c>
      <c r="BW188" t="s">
        <v>2128</v>
      </c>
      <c r="BX188" t="s">
        <v>3238</v>
      </c>
      <c r="BY188" t="s">
        <v>1911</v>
      </c>
      <c r="BZ188" t="s">
        <v>3239</v>
      </c>
      <c r="CB188" t="s">
        <v>2241</v>
      </c>
      <c r="CC188" t="s">
        <v>1996</v>
      </c>
      <c r="CD188" t="s">
        <v>1997</v>
      </c>
      <c r="CE188">
        <v>54.1</v>
      </c>
      <c r="CF188">
        <v>29.7</v>
      </c>
      <c r="CG188">
        <v>50.2</v>
      </c>
      <c r="CH188">
        <v>1024</v>
      </c>
      <c r="CI188">
        <v>38</v>
      </c>
      <c r="CJ188">
        <v>42.3</v>
      </c>
      <c r="CK188">
        <v>54.7</v>
      </c>
      <c r="CL188">
        <v>54.1</v>
      </c>
      <c r="CM188">
        <v>50.2</v>
      </c>
      <c r="CN188">
        <v>31680</v>
      </c>
      <c r="CO188">
        <v>13.9</v>
      </c>
      <c r="CP188">
        <v>315</v>
      </c>
      <c r="CQ188">
        <v>0</v>
      </c>
      <c r="CR188">
        <v>0</v>
      </c>
      <c r="CS188">
        <v>0</v>
      </c>
      <c r="CT188" t="s">
        <v>1915</v>
      </c>
      <c r="CU188">
        <v>165.8500061035156</v>
      </c>
      <c r="CV188">
        <v>104</v>
      </c>
      <c r="CW188">
        <v>1.6499999761581421</v>
      </c>
      <c r="CX188">
        <v>1.450000047683716</v>
      </c>
      <c r="CY188">
        <v>2.75</v>
      </c>
      <c r="CZ188">
        <v>3.0499999523162842</v>
      </c>
      <c r="DA188">
        <v>1</v>
      </c>
      <c r="DB188">
        <v>1</v>
      </c>
      <c r="DC188">
        <v>0</v>
      </c>
      <c r="DD188">
        <v>0.34</v>
      </c>
      <c r="DE188">
        <v>173.48</v>
      </c>
      <c r="DF188">
        <v>217.35</v>
      </c>
      <c r="DG188">
        <v>0</v>
      </c>
      <c r="DH188">
        <v>0</v>
      </c>
      <c r="DI188">
        <v>0</v>
      </c>
      <c r="DJ188" t="s">
        <v>3240</v>
      </c>
      <c r="DM188">
        <v>0.42</v>
      </c>
      <c r="DN188">
        <v>15121.4</v>
      </c>
      <c r="EL188">
        <v>0</v>
      </c>
      <c r="EM188" t="s">
        <v>1053</v>
      </c>
    </row>
    <row r="189" spans="1:143" x14ac:dyDescent="0.35">
      <c r="A189" t="s">
        <v>38</v>
      </c>
      <c r="B189" t="s">
        <v>1055</v>
      </c>
      <c r="C189" t="s">
        <v>116</v>
      </c>
      <c r="D189" t="s">
        <v>120</v>
      </c>
      <c r="G189" t="s">
        <v>3241</v>
      </c>
      <c r="L189" t="s">
        <v>1896</v>
      </c>
      <c r="M189" t="s">
        <v>2557</v>
      </c>
      <c r="R189" t="s">
        <v>119</v>
      </c>
      <c r="S189" t="s">
        <v>1056</v>
      </c>
      <c r="T189" t="s">
        <v>117</v>
      </c>
      <c r="Z189" t="s">
        <v>2588</v>
      </c>
      <c r="AA189" t="s">
        <v>2589</v>
      </c>
      <c r="AB189">
        <v>1</v>
      </c>
      <c r="AC189">
        <v>4</v>
      </c>
      <c r="AJ189">
        <v>0</v>
      </c>
      <c r="AL189">
        <v>0</v>
      </c>
      <c r="AS189" t="b">
        <v>0</v>
      </c>
      <c r="AV189" t="s">
        <v>1056</v>
      </c>
      <c r="AX189" t="s">
        <v>1059</v>
      </c>
      <c r="BD189" t="s">
        <v>3242</v>
      </c>
      <c r="BF189" t="s">
        <v>1906</v>
      </c>
      <c r="BG189" t="s">
        <v>1907</v>
      </c>
      <c r="BI189" t="s">
        <v>1056</v>
      </c>
      <c r="BL189" t="s">
        <v>3243</v>
      </c>
      <c r="BM189" t="s">
        <v>1057</v>
      </c>
      <c r="BN189" t="s">
        <v>1057</v>
      </c>
      <c r="BO189" t="s">
        <v>1057</v>
      </c>
      <c r="BP189" t="s">
        <v>3244</v>
      </c>
      <c r="BQ189" t="s">
        <v>2588</v>
      </c>
      <c r="BR189">
        <v>1</v>
      </c>
      <c r="BS189">
        <v>4</v>
      </c>
      <c r="BU189" t="s">
        <v>1908</v>
      </c>
      <c r="BW189" t="s">
        <v>2128</v>
      </c>
      <c r="BX189" t="s">
        <v>1949</v>
      </c>
      <c r="BY189" t="s">
        <v>1911</v>
      </c>
      <c r="BZ189" t="s">
        <v>1910</v>
      </c>
      <c r="CB189" t="s">
        <v>3245</v>
      </c>
      <c r="CC189" t="s">
        <v>1996</v>
      </c>
      <c r="CD189" t="s">
        <v>1997</v>
      </c>
      <c r="CE189">
        <v>52.2</v>
      </c>
      <c r="CF189">
        <v>30.6</v>
      </c>
      <c r="CG189">
        <v>47.7</v>
      </c>
      <c r="CH189">
        <v>1024</v>
      </c>
      <c r="CI189">
        <v>43</v>
      </c>
      <c r="CJ189">
        <v>42.3</v>
      </c>
      <c r="CK189">
        <v>54.7</v>
      </c>
      <c r="CL189">
        <v>52.2</v>
      </c>
      <c r="CM189">
        <v>47.7</v>
      </c>
      <c r="CN189">
        <v>31680</v>
      </c>
      <c r="CO189">
        <v>14.3</v>
      </c>
      <c r="CP189">
        <v>314</v>
      </c>
      <c r="CQ189">
        <v>0</v>
      </c>
      <c r="CR189">
        <v>0</v>
      </c>
      <c r="CS189">
        <v>0</v>
      </c>
      <c r="CT189" t="s">
        <v>1915</v>
      </c>
      <c r="CU189">
        <v>171.8500061035156</v>
      </c>
      <c r="CV189">
        <v>98</v>
      </c>
      <c r="CW189">
        <v>1.75</v>
      </c>
      <c r="CX189">
        <v>1.3500000238418579</v>
      </c>
      <c r="CY189">
        <v>2.3499999046325679</v>
      </c>
      <c r="CZ189">
        <v>2.5499999523162842</v>
      </c>
      <c r="DA189">
        <v>1</v>
      </c>
      <c r="DB189">
        <v>1</v>
      </c>
      <c r="DC189">
        <v>0</v>
      </c>
      <c r="DD189">
        <v>0.24</v>
      </c>
      <c r="DE189">
        <v>119.64</v>
      </c>
      <c r="DF189">
        <v>184.11</v>
      </c>
      <c r="DG189">
        <v>0</v>
      </c>
      <c r="DH189">
        <v>0</v>
      </c>
      <c r="DI189">
        <v>0</v>
      </c>
      <c r="DJ189" t="s">
        <v>2605</v>
      </c>
      <c r="DM189">
        <v>0.49</v>
      </c>
      <c r="DN189">
        <v>8283.7000000000007</v>
      </c>
      <c r="EL189">
        <v>0</v>
      </c>
      <c r="EM189" t="s">
        <v>1058</v>
      </c>
    </row>
    <row r="190" spans="1:143" x14ac:dyDescent="0.35">
      <c r="A190" t="s">
        <v>38</v>
      </c>
      <c r="B190" t="s">
        <v>1060</v>
      </c>
      <c r="C190" t="s">
        <v>116</v>
      </c>
      <c r="D190" t="s">
        <v>120</v>
      </c>
      <c r="G190" t="s">
        <v>2998</v>
      </c>
      <c r="L190" t="s">
        <v>1896</v>
      </c>
      <c r="M190" t="s">
        <v>2680</v>
      </c>
      <c r="R190" t="s">
        <v>119</v>
      </c>
      <c r="S190" t="s">
        <v>1061</v>
      </c>
      <c r="T190" t="s">
        <v>117</v>
      </c>
      <c r="Z190" t="s">
        <v>2999</v>
      </c>
      <c r="AA190" t="s">
        <v>2682</v>
      </c>
      <c r="AB190">
        <v>1</v>
      </c>
      <c r="AC190">
        <v>4</v>
      </c>
      <c r="AJ190">
        <v>0</v>
      </c>
      <c r="AL190">
        <v>0</v>
      </c>
      <c r="AS190" t="b">
        <v>0</v>
      </c>
      <c r="AV190" t="s">
        <v>1061</v>
      </c>
      <c r="AX190" t="s">
        <v>1064</v>
      </c>
      <c r="BD190" t="s">
        <v>3246</v>
      </c>
      <c r="BF190" t="s">
        <v>1906</v>
      </c>
      <c r="BG190" t="s">
        <v>1907</v>
      </c>
      <c r="BI190" t="s">
        <v>1061</v>
      </c>
      <c r="BL190" t="s">
        <v>3247</v>
      </c>
      <c r="BM190" t="s">
        <v>1062</v>
      </c>
      <c r="BN190" t="s">
        <v>1062</v>
      </c>
      <c r="BO190" t="s">
        <v>1062</v>
      </c>
      <c r="BP190" t="s">
        <v>3248</v>
      </c>
      <c r="BQ190" t="s">
        <v>2999</v>
      </c>
      <c r="BR190">
        <v>1</v>
      </c>
      <c r="BS190">
        <v>4</v>
      </c>
      <c r="BU190" t="s">
        <v>1908</v>
      </c>
      <c r="BW190" t="s">
        <v>1909</v>
      </c>
      <c r="BX190" t="s">
        <v>1949</v>
      </c>
      <c r="BY190" t="s">
        <v>1911</v>
      </c>
      <c r="BZ190" t="s">
        <v>1995</v>
      </c>
      <c r="CB190" t="s">
        <v>3249</v>
      </c>
      <c r="CC190" t="s">
        <v>1996</v>
      </c>
      <c r="CD190" t="s">
        <v>2414</v>
      </c>
      <c r="CE190">
        <v>45.3</v>
      </c>
      <c r="CF190">
        <v>23.4</v>
      </c>
      <c r="CG190">
        <v>41.7</v>
      </c>
      <c r="CH190">
        <v>1028</v>
      </c>
      <c r="CI190">
        <v>42</v>
      </c>
      <c r="CJ190">
        <v>42.3</v>
      </c>
      <c r="CK190">
        <v>54.7</v>
      </c>
      <c r="CL190">
        <v>45.3</v>
      </c>
      <c r="CM190">
        <v>41.7</v>
      </c>
      <c r="CN190">
        <v>31680</v>
      </c>
      <c r="CO190">
        <v>4.5</v>
      </c>
      <c r="CP190">
        <v>341</v>
      </c>
      <c r="CQ190">
        <v>0</v>
      </c>
      <c r="CR190">
        <v>0</v>
      </c>
      <c r="CS190">
        <v>0</v>
      </c>
      <c r="CT190" t="s">
        <v>2415</v>
      </c>
      <c r="DJ190" t="s">
        <v>2688</v>
      </c>
      <c r="DM190">
        <v>2.44</v>
      </c>
      <c r="DN190">
        <v>1782</v>
      </c>
      <c r="EL190">
        <v>0</v>
      </c>
      <c r="EM190" t="s">
        <v>1063</v>
      </c>
    </row>
    <row r="191" spans="1:143" x14ac:dyDescent="0.35">
      <c r="A191" t="s">
        <v>38</v>
      </c>
      <c r="B191" t="s">
        <v>1065</v>
      </c>
      <c r="C191" t="s">
        <v>116</v>
      </c>
      <c r="D191" t="s">
        <v>120</v>
      </c>
      <c r="G191" t="s">
        <v>3250</v>
      </c>
      <c r="L191" t="s">
        <v>1896</v>
      </c>
      <c r="M191" t="s">
        <v>2629</v>
      </c>
      <c r="R191" t="s">
        <v>119</v>
      </c>
      <c r="S191" t="s">
        <v>1066</v>
      </c>
      <c r="T191" t="s">
        <v>117</v>
      </c>
      <c r="Z191" t="s">
        <v>3020</v>
      </c>
      <c r="AA191" t="s">
        <v>2652</v>
      </c>
      <c r="AB191">
        <v>1</v>
      </c>
      <c r="AC191">
        <v>4</v>
      </c>
      <c r="AJ191">
        <v>0</v>
      </c>
      <c r="AL191">
        <v>0</v>
      </c>
      <c r="AS191" t="b">
        <v>0</v>
      </c>
      <c r="AV191" t="s">
        <v>1066</v>
      </c>
      <c r="AX191" t="s">
        <v>1069</v>
      </c>
      <c r="BD191" t="s">
        <v>3251</v>
      </c>
      <c r="BF191" t="s">
        <v>1906</v>
      </c>
      <c r="BG191" t="s">
        <v>1907</v>
      </c>
      <c r="BI191" t="s">
        <v>1066</v>
      </c>
      <c r="BL191" t="s">
        <v>3252</v>
      </c>
      <c r="BM191" t="s">
        <v>1067</v>
      </c>
      <c r="BN191" t="s">
        <v>1067</v>
      </c>
      <c r="BO191" t="s">
        <v>1067</v>
      </c>
      <c r="BP191" t="s">
        <v>3253</v>
      </c>
      <c r="BQ191" t="s">
        <v>3020</v>
      </c>
      <c r="BR191">
        <v>1</v>
      </c>
      <c r="BS191">
        <v>4</v>
      </c>
      <c r="BU191" t="s">
        <v>1908</v>
      </c>
      <c r="BW191" t="s">
        <v>1948</v>
      </c>
      <c r="BX191" t="s">
        <v>1910</v>
      </c>
      <c r="BY191" t="s">
        <v>1911</v>
      </c>
      <c r="BZ191" t="s">
        <v>1910</v>
      </c>
      <c r="CB191" t="s">
        <v>3254</v>
      </c>
      <c r="CC191" t="s">
        <v>1961</v>
      </c>
      <c r="CD191" t="s">
        <v>1962</v>
      </c>
      <c r="CE191">
        <v>34.299999999999997</v>
      </c>
      <c r="CF191">
        <v>31.6</v>
      </c>
      <c r="CG191">
        <v>28.2</v>
      </c>
      <c r="CH191">
        <v>1027</v>
      </c>
      <c r="CI191">
        <v>90</v>
      </c>
      <c r="CJ191">
        <v>34</v>
      </c>
      <c r="CK191">
        <v>59</v>
      </c>
      <c r="CL191">
        <v>34.299999999999997</v>
      </c>
      <c r="CM191">
        <v>28.2</v>
      </c>
      <c r="CN191">
        <v>31680</v>
      </c>
      <c r="CO191">
        <v>7.6</v>
      </c>
      <c r="CP191">
        <v>223</v>
      </c>
      <c r="CQ191">
        <v>63</v>
      </c>
      <c r="CR191">
        <v>0</v>
      </c>
      <c r="CS191">
        <v>0</v>
      </c>
      <c r="CT191" t="s">
        <v>2415</v>
      </c>
      <c r="DJ191" t="s">
        <v>3111</v>
      </c>
      <c r="DM191">
        <v>0.68</v>
      </c>
      <c r="DN191">
        <v>3982.4</v>
      </c>
      <c r="EL191">
        <v>0</v>
      </c>
      <c r="EM191" t="s">
        <v>1068</v>
      </c>
    </row>
    <row r="192" spans="1:143" x14ac:dyDescent="0.35">
      <c r="A192" t="s">
        <v>38</v>
      </c>
      <c r="B192" t="s">
        <v>1070</v>
      </c>
      <c r="C192" t="s">
        <v>116</v>
      </c>
      <c r="D192" t="s">
        <v>120</v>
      </c>
      <c r="E192">
        <v>58</v>
      </c>
      <c r="G192" t="s">
        <v>3255</v>
      </c>
      <c r="L192" t="s">
        <v>1896</v>
      </c>
      <c r="M192" t="s">
        <v>2578</v>
      </c>
      <c r="N192" t="s">
        <v>1898</v>
      </c>
      <c r="R192" t="s">
        <v>119</v>
      </c>
      <c r="S192" t="s">
        <v>1071</v>
      </c>
      <c r="T192" t="s">
        <v>117</v>
      </c>
      <c r="Z192" t="s">
        <v>3029</v>
      </c>
      <c r="AA192" t="s">
        <v>3030</v>
      </c>
      <c r="AB192">
        <v>1</v>
      </c>
      <c r="AC192">
        <v>4</v>
      </c>
      <c r="AE192">
        <v>2021</v>
      </c>
      <c r="AF192" t="s">
        <v>2590</v>
      </c>
      <c r="AG192" t="s">
        <v>3256</v>
      </c>
      <c r="AH192" t="s">
        <v>1903</v>
      </c>
      <c r="AI192">
        <v>674200</v>
      </c>
      <c r="AJ192">
        <v>0</v>
      </c>
      <c r="AL192">
        <v>0</v>
      </c>
      <c r="AS192" t="b">
        <v>0</v>
      </c>
      <c r="AV192" t="s">
        <v>1071</v>
      </c>
      <c r="AX192" t="s">
        <v>1074</v>
      </c>
      <c r="BD192" t="s">
        <v>3257</v>
      </c>
      <c r="BF192" t="s">
        <v>1906</v>
      </c>
      <c r="BG192" t="s">
        <v>3258</v>
      </c>
      <c r="BI192" t="s">
        <v>1071</v>
      </c>
      <c r="BL192" t="s">
        <v>3259</v>
      </c>
      <c r="BM192" t="s">
        <v>1072</v>
      </c>
      <c r="BN192" t="s">
        <v>1072</v>
      </c>
      <c r="BO192" t="s">
        <v>1072</v>
      </c>
      <c r="BP192" t="s">
        <v>3260</v>
      </c>
      <c r="BQ192" t="s">
        <v>3029</v>
      </c>
      <c r="BR192">
        <v>1</v>
      </c>
      <c r="BS192">
        <v>4</v>
      </c>
      <c r="BU192" t="s">
        <v>1908</v>
      </c>
      <c r="BW192" t="s">
        <v>1909</v>
      </c>
      <c r="BX192" t="s">
        <v>1949</v>
      </c>
      <c r="BY192" t="s">
        <v>1911</v>
      </c>
      <c r="BZ192" t="s">
        <v>1910</v>
      </c>
      <c r="CB192" t="s">
        <v>3261</v>
      </c>
      <c r="CC192" t="s">
        <v>1996</v>
      </c>
      <c r="CD192" t="s">
        <v>1997</v>
      </c>
      <c r="CE192">
        <v>55.9</v>
      </c>
      <c r="CF192">
        <v>27.3</v>
      </c>
      <c r="CG192">
        <v>53.2</v>
      </c>
      <c r="CH192">
        <v>1031</v>
      </c>
      <c r="CI192">
        <v>33</v>
      </c>
      <c r="CJ192">
        <v>33.299999999999997</v>
      </c>
      <c r="CK192">
        <v>55.9</v>
      </c>
      <c r="CL192">
        <v>55.9</v>
      </c>
      <c r="CM192">
        <v>53.2</v>
      </c>
      <c r="CN192">
        <v>31680</v>
      </c>
      <c r="CO192">
        <v>11</v>
      </c>
      <c r="CP192">
        <v>191</v>
      </c>
      <c r="CQ192">
        <v>0</v>
      </c>
      <c r="CR192">
        <v>0</v>
      </c>
      <c r="CS192">
        <v>0</v>
      </c>
      <c r="CT192" t="s">
        <v>1915</v>
      </c>
      <c r="DJ192" t="s">
        <v>2745</v>
      </c>
      <c r="DM192">
        <v>0.28999999999999998</v>
      </c>
      <c r="DN192">
        <v>15251.7</v>
      </c>
      <c r="EL192">
        <v>0</v>
      </c>
      <c r="EM192" t="s">
        <v>1073</v>
      </c>
    </row>
    <row r="193" spans="1:143" x14ac:dyDescent="0.35">
      <c r="A193" t="s">
        <v>38</v>
      </c>
      <c r="B193" t="s">
        <v>1075</v>
      </c>
      <c r="C193" t="s">
        <v>116</v>
      </c>
      <c r="D193" t="s">
        <v>120</v>
      </c>
      <c r="G193" t="s">
        <v>2998</v>
      </c>
      <c r="L193" t="s">
        <v>1896</v>
      </c>
      <c r="M193" t="s">
        <v>2680</v>
      </c>
      <c r="R193" t="s">
        <v>119</v>
      </c>
      <c r="S193" t="s">
        <v>1076</v>
      </c>
      <c r="T193" t="s">
        <v>117</v>
      </c>
      <c r="Z193" t="s">
        <v>2999</v>
      </c>
      <c r="AA193" t="s">
        <v>2682</v>
      </c>
      <c r="AB193">
        <v>1</v>
      </c>
      <c r="AC193">
        <v>4</v>
      </c>
      <c r="AJ193">
        <v>0</v>
      </c>
      <c r="AL193">
        <v>0</v>
      </c>
      <c r="AS193" t="b">
        <v>0</v>
      </c>
      <c r="AV193" t="s">
        <v>1076</v>
      </c>
      <c r="AX193" t="s">
        <v>1079</v>
      </c>
      <c r="BD193" t="s">
        <v>3262</v>
      </c>
      <c r="BF193" t="s">
        <v>1906</v>
      </c>
      <c r="BG193" t="s">
        <v>3214</v>
      </c>
      <c r="BI193" t="s">
        <v>1076</v>
      </c>
      <c r="BL193" t="s">
        <v>3263</v>
      </c>
      <c r="BM193" t="s">
        <v>1077</v>
      </c>
      <c r="BN193" t="s">
        <v>1077</v>
      </c>
      <c r="BO193" t="s">
        <v>1077</v>
      </c>
      <c r="BP193" t="s">
        <v>3264</v>
      </c>
      <c r="BQ193" t="s">
        <v>2999</v>
      </c>
      <c r="BR193">
        <v>1</v>
      </c>
      <c r="BS193">
        <v>4</v>
      </c>
      <c r="BU193" t="s">
        <v>1908</v>
      </c>
      <c r="BW193" t="s">
        <v>1909</v>
      </c>
      <c r="BX193" t="s">
        <v>1949</v>
      </c>
      <c r="BY193" t="s">
        <v>1970</v>
      </c>
      <c r="BZ193" t="s">
        <v>1910</v>
      </c>
      <c r="CB193" t="s">
        <v>3261</v>
      </c>
      <c r="CC193" t="s">
        <v>1996</v>
      </c>
      <c r="CD193" t="s">
        <v>1997</v>
      </c>
      <c r="CE193">
        <v>55.9</v>
      </c>
      <c r="CF193">
        <v>27.3</v>
      </c>
      <c r="CG193">
        <v>53.2</v>
      </c>
      <c r="CH193">
        <v>1031</v>
      </c>
      <c r="CI193">
        <v>33</v>
      </c>
      <c r="CJ193">
        <v>33.299999999999997</v>
      </c>
      <c r="CK193">
        <v>55.9</v>
      </c>
      <c r="CL193">
        <v>55.9</v>
      </c>
      <c r="CM193">
        <v>53.2</v>
      </c>
      <c r="CN193">
        <v>31680</v>
      </c>
      <c r="CO193">
        <v>11</v>
      </c>
      <c r="CP193">
        <v>191</v>
      </c>
      <c r="CQ193">
        <v>0</v>
      </c>
      <c r="CR193">
        <v>0</v>
      </c>
      <c r="CS193">
        <v>0</v>
      </c>
      <c r="CT193" t="s">
        <v>1915</v>
      </c>
      <c r="DJ193" t="s">
        <v>2688</v>
      </c>
      <c r="DM193">
        <v>2.44</v>
      </c>
      <c r="DN193">
        <v>1782</v>
      </c>
      <c r="EL193">
        <v>0</v>
      </c>
      <c r="EM193" t="s">
        <v>1078</v>
      </c>
    </row>
    <row r="194" spans="1:143" x14ac:dyDescent="0.35">
      <c r="A194" t="s">
        <v>38</v>
      </c>
      <c r="B194" t="s">
        <v>1080</v>
      </c>
      <c r="C194" t="s">
        <v>116</v>
      </c>
      <c r="D194" t="s">
        <v>120</v>
      </c>
      <c r="E194">
        <v>20</v>
      </c>
      <c r="G194" t="s">
        <v>3265</v>
      </c>
      <c r="L194" t="s">
        <v>1896</v>
      </c>
      <c r="M194" t="s">
        <v>3266</v>
      </c>
      <c r="N194" t="s">
        <v>1898</v>
      </c>
      <c r="R194" t="s">
        <v>119</v>
      </c>
      <c r="S194" t="s">
        <v>1081</v>
      </c>
      <c r="T194" t="s">
        <v>117</v>
      </c>
      <c r="Z194" t="s">
        <v>3220</v>
      </c>
      <c r="AA194" t="s">
        <v>3221</v>
      </c>
      <c r="AB194">
        <v>1</v>
      </c>
      <c r="AC194">
        <v>4</v>
      </c>
      <c r="AE194">
        <v>1920</v>
      </c>
      <c r="AF194" t="s">
        <v>2547</v>
      </c>
      <c r="AG194" t="s">
        <v>1928</v>
      </c>
      <c r="AH194" t="s">
        <v>1929</v>
      </c>
      <c r="AI194">
        <v>81200</v>
      </c>
      <c r="AJ194">
        <v>0</v>
      </c>
      <c r="AL194">
        <v>0</v>
      </c>
      <c r="AS194" t="b">
        <v>0</v>
      </c>
      <c r="AV194" t="s">
        <v>1081</v>
      </c>
      <c r="AX194" t="s">
        <v>1084</v>
      </c>
      <c r="BD194" t="s">
        <v>3267</v>
      </c>
      <c r="BF194" t="s">
        <v>1906</v>
      </c>
      <c r="BG194" t="s">
        <v>2235</v>
      </c>
      <c r="BI194" t="s">
        <v>1081</v>
      </c>
      <c r="BL194" t="s">
        <v>3268</v>
      </c>
      <c r="BM194" t="s">
        <v>1082</v>
      </c>
      <c r="BN194" t="s">
        <v>1082</v>
      </c>
      <c r="BO194" t="s">
        <v>1082</v>
      </c>
      <c r="BP194" t="s">
        <v>3269</v>
      </c>
      <c r="BQ194" t="s">
        <v>3220</v>
      </c>
      <c r="BR194">
        <v>1</v>
      </c>
      <c r="BS194">
        <v>4</v>
      </c>
      <c r="BU194" t="s">
        <v>1908</v>
      </c>
      <c r="BW194" t="s">
        <v>2093</v>
      </c>
      <c r="BX194" t="s">
        <v>1949</v>
      </c>
      <c r="BY194" t="s">
        <v>1911</v>
      </c>
      <c r="BZ194" t="s">
        <v>1995</v>
      </c>
      <c r="CB194" t="s">
        <v>3270</v>
      </c>
      <c r="CC194" t="s">
        <v>1996</v>
      </c>
      <c r="CD194" t="s">
        <v>1997</v>
      </c>
      <c r="CE194">
        <v>50.5</v>
      </c>
      <c r="CF194">
        <v>20.100000000000001</v>
      </c>
      <c r="CG194">
        <v>47.1</v>
      </c>
      <c r="CH194">
        <v>1035</v>
      </c>
      <c r="CI194">
        <v>29</v>
      </c>
      <c r="CJ194">
        <v>33.299999999999997</v>
      </c>
      <c r="CK194">
        <v>55.9</v>
      </c>
      <c r="CL194">
        <v>50.5</v>
      </c>
      <c r="CM194">
        <v>47.1</v>
      </c>
      <c r="CN194">
        <v>31680</v>
      </c>
      <c r="CO194">
        <v>7.6</v>
      </c>
      <c r="CP194">
        <v>182</v>
      </c>
      <c r="CQ194">
        <v>0</v>
      </c>
      <c r="CR194">
        <v>0</v>
      </c>
      <c r="CS194">
        <v>0</v>
      </c>
      <c r="CT194" t="s">
        <v>1915</v>
      </c>
      <c r="DJ194" t="s">
        <v>3271</v>
      </c>
      <c r="DM194">
        <v>0.4</v>
      </c>
      <c r="DN194">
        <v>5555</v>
      </c>
      <c r="EL194">
        <v>0</v>
      </c>
      <c r="EM194" t="s">
        <v>1083</v>
      </c>
    </row>
    <row r="195" spans="1:143" x14ac:dyDescent="0.35">
      <c r="A195" t="s">
        <v>38</v>
      </c>
      <c r="B195" t="s">
        <v>1085</v>
      </c>
      <c r="C195" t="s">
        <v>116</v>
      </c>
      <c r="D195" t="s">
        <v>120</v>
      </c>
      <c r="G195" t="s">
        <v>3272</v>
      </c>
      <c r="L195" t="s">
        <v>1896</v>
      </c>
      <c r="M195" t="s">
        <v>2680</v>
      </c>
      <c r="R195" t="s">
        <v>119</v>
      </c>
      <c r="S195" t="s">
        <v>1086</v>
      </c>
      <c r="T195" t="s">
        <v>117</v>
      </c>
      <c r="Z195" t="s">
        <v>2793</v>
      </c>
      <c r="AA195" t="s">
        <v>2794</v>
      </c>
      <c r="AB195">
        <v>1</v>
      </c>
      <c r="AC195">
        <v>4</v>
      </c>
      <c r="AJ195">
        <v>0</v>
      </c>
      <c r="AL195">
        <v>0</v>
      </c>
      <c r="AS195" t="b">
        <v>0</v>
      </c>
      <c r="AV195" t="s">
        <v>1086</v>
      </c>
      <c r="AX195" t="s">
        <v>1089</v>
      </c>
      <c r="BD195" t="s">
        <v>3273</v>
      </c>
      <c r="BF195" t="s">
        <v>1906</v>
      </c>
      <c r="BG195" t="s">
        <v>1907</v>
      </c>
      <c r="BI195" t="s">
        <v>1086</v>
      </c>
      <c r="BL195" t="s">
        <v>3274</v>
      </c>
      <c r="BM195" t="s">
        <v>1087</v>
      </c>
      <c r="BN195" t="s">
        <v>1087</v>
      </c>
      <c r="BO195" t="s">
        <v>1087</v>
      </c>
      <c r="BP195" t="s">
        <v>3275</v>
      </c>
      <c r="BQ195" t="s">
        <v>2793</v>
      </c>
      <c r="BR195">
        <v>1</v>
      </c>
      <c r="BS195">
        <v>4</v>
      </c>
      <c r="BU195" t="s">
        <v>1908</v>
      </c>
      <c r="BW195" t="s">
        <v>1948</v>
      </c>
      <c r="BX195" t="s">
        <v>1949</v>
      </c>
      <c r="BY195" t="s">
        <v>1911</v>
      </c>
      <c r="BZ195" t="s">
        <v>1910</v>
      </c>
      <c r="CB195" t="s">
        <v>3270</v>
      </c>
      <c r="CC195" t="s">
        <v>1996</v>
      </c>
      <c r="CD195" t="s">
        <v>1997</v>
      </c>
      <c r="CE195">
        <v>50.5</v>
      </c>
      <c r="CF195">
        <v>20.100000000000001</v>
      </c>
      <c r="CG195">
        <v>47.1</v>
      </c>
      <c r="CH195">
        <v>1035</v>
      </c>
      <c r="CI195">
        <v>29</v>
      </c>
      <c r="CJ195">
        <v>33.299999999999997</v>
      </c>
      <c r="CK195">
        <v>55.9</v>
      </c>
      <c r="CL195">
        <v>50.5</v>
      </c>
      <c r="CM195">
        <v>47.1</v>
      </c>
      <c r="CN195">
        <v>31680</v>
      </c>
      <c r="CO195">
        <v>7.6</v>
      </c>
      <c r="CP195">
        <v>182</v>
      </c>
      <c r="CQ195">
        <v>0</v>
      </c>
      <c r="CR195">
        <v>0</v>
      </c>
      <c r="CS195">
        <v>0</v>
      </c>
      <c r="CT195" t="s">
        <v>1915</v>
      </c>
      <c r="DJ195" t="s">
        <v>3240</v>
      </c>
      <c r="DM195">
        <v>0.42</v>
      </c>
      <c r="DN195">
        <v>15121.4</v>
      </c>
      <c r="EL195">
        <v>0</v>
      </c>
      <c r="EM195" t="s">
        <v>1088</v>
      </c>
    </row>
    <row r="196" spans="1:143" x14ac:dyDescent="0.35">
      <c r="A196" t="s">
        <v>38</v>
      </c>
      <c r="B196" t="s">
        <v>1090</v>
      </c>
      <c r="C196" t="s">
        <v>116</v>
      </c>
      <c r="D196" t="s">
        <v>120</v>
      </c>
      <c r="G196" t="s">
        <v>3102</v>
      </c>
      <c r="L196" t="s">
        <v>1896</v>
      </c>
      <c r="M196" t="s">
        <v>2557</v>
      </c>
      <c r="R196" t="s">
        <v>119</v>
      </c>
      <c r="S196" t="s">
        <v>1091</v>
      </c>
      <c r="T196" t="s">
        <v>117</v>
      </c>
      <c r="Z196" t="s">
        <v>2588</v>
      </c>
      <c r="AA196" t="s">
        <v>2589</v>
      </c>
      <c r="AB196">
        <v>1</v>
      </c>
      <c r="AC196">
        <v>4</v>
      </c>
      <c r="AJ196">
        <v>0</v>
      </c>
      <c r="AL196">
        <v>0</v>
      </c>
      <c r="AS196" t="b">
        <v>0</v>
      </c>
      <c r="AV196" t="s">
        <v>1091</v>
      </c>
      <c r="AX196" t="s">
        <v>1094</v>
      </c>
      <c r="BD196" t="s">
        <v>3276</v>
      </c>
      <c r="BF196" t="s">
        <v>1906</v>
      </c>
      <c r="BG196" t="s">
        <v>1907</v>
      </c>
      <c r="BI196" t="s">
        <v>1091</v>
      </c>
      <c r="BL196" t="s">
        <v>3277</v>
      </c>
      <c r="BM196" t="s">
        <v>1092</v>
      </c>
      <c r="BN196" t="s">
        <v>1092</v>
      </c>
      <c r="BO196" t="s">
        <v>1092</v>
      </c>
      <c r="BP196" t="s">
        <v>3278</v>
      </c>
      <c r="BQ196" t="s">
        <v>2588</v>
      </c>
      <c r="BR196">
        <v>1</v>
      </c>
      <c r="BS196">
        <v>4</v>
      </c>
      <c r="BU196" t="s">
        <v>1908</v>
      </c>
      <c r="BW196" t="s">
        <v>1934</v>
      </c>
      <c r="BX196" t="s">
        <v>1949</v>
      </c>
      <c r="BY196" t="s">
        <v>1911</v>
      </c>
      <c r="BZ196" t="s">
        <v>1995</v>
      </c>
      <c r="CB196" t="s">
        <v>3279</v>
      </c>
      <c r="CC196" t="s">
        <v>1961</v>
      </c>
      <c r="CD196" t="s">
        <v>1962</v>
      </c>
      <c r="CE196">
        <v>44.2</v>
      </c>
      <c r="CF196">
        <v>24.8</v>
      </c>
      <c r="CG196">
        <v>37.6</v>
      </c>
      <c r="CH196">
        <v>1014</v>
      </c>
      <c r="CI196">
        <v>46</v>
      </c>
      <c r="CJ196">
        <v>35.1</v>
      </c>
      <c r="CK196">
        <v>44.2</v>
      </c>
      <c r="CL196">
        <v>44.2</v>
      </c>
      <c r="CM196">
        <v>37.6</v>
      </c>
      <c r="CN196">
        <v>31680</v>
      </c>
      <c r="CO196">
        <v>13</v>
      </c>
      <c r="CP196">
        <v>284</v>
      </c>
      <c r="CQ196">
        <v>53</v>
      </c>
      <c r="CR196">
        <v>0</v>
      </c>
      <c r="CS196">
        <v>0</v>
      </c>
      <c r="CT196" t="s">
        <v>1915</v>
      </c>
      <c r="DJ196" t="s">
        <v>2605</v>
      </c>
      <c r="DM196">
        <v>0.49</v>
      </c>
      <c r="DN196">
        <v>8283.7000000000007</v>
      </c>
      <c r="EL196">
        <v>0</v>
      </c>
      <c r="EM196" t="s">
        <v>1093</v>
      </c>
    </row>
    <row r="197" spans="1:143" x14ac:dyDescent="0.35">
      <c r="A197" t="s">
        <v>38</v>
      </c>
      <c r="B197" t="s">
        <v>1095</v>
      </c>
      <c r="C197" t="s">
        <v>116</v>
      </c>
      <c r="D197" t="s">
        <v>120</v>
      </c>
      <c r="E197">
        <v>40</v>
      </c>
      <c r="G197" t="s">
        <v>3280</v>
      </c>
      <c r="L197" t="s">
        <v>1896</v>
      </c>
      <c r="M197" t="s">
        <v>3281</v>
      </c>
      <c r="N197" t="s">
        <v>1898</v>
      </c>
      <c r="R197" t="s">
        <v>119</v>
      </c>
      <c r="S197" t="s">
        <v>1096</v>
      </c>
      <c r="T197" t="s">
        <v>117</v>
      </c>
      <c r="Z197" t="s">
        <v>3070</v>
      </c>
      <c r="AA197" t="s">
        <v>2664</v>
      </c>
      <c r="AB197">
        <v>1</v>
      </c>
      <c r="AC197">
        <v>4</v>
      </c>
      <c r="AE197">
        <v>1979</v>
      </c>
      <c r="AF197" t="s">
        <v>2641</v>
      </c>
      <c r="AG197" t="s">
        <v>1928</v>
      </c>
      <c r="AH197" t="s">
        <v>1929</v>
      </c>
      <c r="AI197">
        <v>119600</v>
      </c>
      <c r="AJ197">
        <v>0</v>
      </c>
      <c r="AL197">
        <v>0</v>
      </c>
      <c r="AS197" t="b">
        <v>0</v>
      </c>
      <c r="AV197" t="s">
        <v>1096</v>
      </c>
      <c r="AX197" t="s">
        <v>1099</v>
      </c>
      <c r="BD197" t="s">
        <v>3282</v>
      </c>
      <c r="BF197" t="s">
        <v>1906</v>
      </c>
      <c r="BG197" t="s">
        <v>1907</v>
      </c>
      <c r="BI197" t="s">
        <v>1096</v>
      </c>
      <c r="BL197" t="s">
        <v>3283</v>
      </c>
      <c r="BM197" t="s">
        <v>1097</v>
      </c>
      <c r="BN197" t="s">
        <v>1097</v>
      </c>
      <c r="BO197" t="s">
        <v>1097</v>
      </c>
      <c r="BP197" t="s">
        <v>3284</v>
      </c>
      <c r="BQ197" t="s">
        <v>3070</v>
      </c>
      <c r="BR197">
        <v>1</v>
      </c>
      <c r="BS197">
        <v>4</v>
      </c>
      <c r="BU197" t="s">
        <v>1908</v>
      </c>
      <c r="BW197" t="s">
        <v>1993</v>
      </c>
      <c r="BX197" t="s">
        <v>1910</v>
      </c>
      <c r="BY197" t="s">
        <v>1970</v>
      </c>
      <c r="BZ197" t="s">
        <v>1995</v>
      </c>
      <c r="CB197" t="s">
        <v>3285</v>
      </c>
      <c r="CC197" t="s">
        <v>1972</v>
      </c>
      <c r="CD197" t="s">
        <v>1973</v>
      </c>
      <c r="CE197">
        <v>36.5</v>
      </c>
      <c r="CF197">
        <v>33.1</v>
      </c>
      <c r="CG197">
        <v>30</v>
      </c>
      <c r="CH197">
        <v>1023</v>
      </c>
      <c r="CI197">
        <v>91</v>
      </c>
      <c r="CJ197">
        <v>33.1</v>
      </c>
      <c r="CK197">
        <v>60.8</v>
      </c>
      <c r="CL197">
        <v>36.5</v>
      </c>
      <c r="CM197">
        <v>30</v>
      </c>
      <c r="CN197">
        <v>31680</v>
      </c>
      <c r="CO197">
        <v>11.4</v>
      </c>
      <c r="CP197">
        <v>245</v>
      </c>
      <c r="CQ197">
        <v>100</v>
      </c>
      <c r="CR197">
        <v>0</v>
      </c>
      <c r="CS197">
        <v>0</v>
      </c>
      <c r="CT197" t="s">
        <v>1915</v>
      </c>
      <c r="DJ197" t="s">
        <v>2647</v>
      </c>
      <c r="DM197">
        <v>3.32</v>
      </c>
      <c r="DN197">
        <v>2219</v>
      </c>
      <c r="EK197" t="s">
        <v>3286</v>
      </c>
      <c r="EL197">
        <v>0</v>
      </c>
      <c r="EM197" t="s">
        <v>1098</v>
      </c>
    </row>
    <row r="198" spans="1:143" x14ac:dyDescent="0.35">
      <c r="A198" t="s">
        <v>38</v>
      </c>
      <c r="B198" t="s">
        <v>1100</v>
      </c>
      <c r="C198" t="s">
        <v>116</v>
      </c>
      <c r="D198" t="s">
        <v>120</v>
      </c>
      <c r="E198">
        <v>11</v>
      </c>
      <c r="G198" t="s">
        <v>3287</v>
      </c>
      <c r="L198" t="s">
        <v>1896</v>
      </c>
      <c r="M198" t="s">
        <v>3288</v>
      </c>
      <c r="N198" t="s">
        <v>1898</v>
      </c>
      <c r="R198" t="s">
        <v>119</v>
      </c>
      <c r="S198" t="s">
        <v>1101</v>
      </c>
      <c r="T198" t="s">
        <v>117</v>
      </c>
      <c r="Z198" t="s">
        <v>3070</v>
      </c>
      <c r="AA198" t="s">
        <v>2664</v>
      </c>
      <c r="AB198">
        <v>1</v>
      </c>
      <c r="AC198">
        <v>4</v>
      </c>
      <c r="AE198">
        <v>1896</v>
      </c>
      <c r="AF198" t="s">
        <v>2641</v>
      </c>
      <c r="AG198" t="s">
        <v>1928</v>
      </c>
      <c r="AH198" t="s">
        <v>1929</v>
      </c>
      <c r="AI198">
        <v>118900</v>
      </c>
      <c r="AJ198">
        <v>0</v>
      </c>
      <c r="AL198">
        <v>0</v>
      </c>
      <c r="AS198" t="b">
        <v>0</v>
      </c>
      <c r="AV198" t="s">
        <v>1101</v>
      </c>
      <c r="AX198" t="s">
        <v>1104</v>
      </c>
      <c r="BD198" t="s">
        <v>3289</v>
      </c>
      <c r="BF198" t="s">
        <v>1906</v>
      </c>
      <c r="BG198" t="s">
        <v>2702</v>
      </c>
      <c r="BI198" t="s">
        <v>1101</v>
      </c>
      <c r="BL198" t="s">
        <v>3290</v>
      </c>
      <c r="BM198" t="s">
        <v>1102</v>
      </c>
      <c r="BN198" t="s">
        <v>1102</v>
      </c>
      <c r="BO198" t="s">
        <v>1102</v>
      </c>
      <c r="BP198" t="s">
        <v>3291</v>
      </c>
      <c r="BQ198" t="s">
        <v>3070</v>
      </c>
      <c r="BR198">
        <v>1</v>
      </c>
      <c r="BS198">
        <v>4</v>
      </c>
      <c r="BU198" t="s">
        <v>1908</v>
      </c>
      <c r="BW198" t="s">
        <v>1948</v>
      </c>
      <c r="BX198" t="s">
        <v>1949</v>
      </c>
      <c r="BY198" t="s">
        <v>1911</v>
      </c>
      <c r="BZ198" t="s">
        <v>1910</v>
      </c>
      <c r="CB198" t="s">
        <v>3292</v>
      </c>
      <c r="CC198" t="s">
        <v>1961</v>
      </c>
      <c r="CD198" t="s">
        <v>1962</v>
      </c>
      <c r="CE198">
        <v>42.4</v>
      </c>
      <c r="CF198">
        <v>23.9</v>
      </c>
      <c r="CG198">
        <v>35.200000000000003</v>
      </c>
      <c r="CH198">
        <v>1028</v>
      </c>
      <c r="CI198">
        <v>48</v>
      </c>
      <c r="CJ198">
        <v>25.2</v>
      </c>
      <c r="CK198">
        <v>42.4</v>
      </c>
      <c r="CL198">
        <v>42.4</v>
      </c>
      <c r="CM198">
        <v>35.200000000000003</v>
      </c>
      <c r="CN198">
        <v>31680</v>
      </c>
      <c r="CO198">
        <v>12.3</v>
      </c>
      <c r="CP198">
        <v>235</v>
      </c>
      <c r="CQ198">
        <v>14</v>
      </c>
      <c r="CR198">
        <v>0</v>
      </c>
      <c r="CS198">
        <v>0</v>
      </c>
      <c r="CT198" t="s">
        <v>1915</v>
      </c>
      <c r="DJ198" t="s">
        <v>3271</v>
      </c>
      <c r="DM198">
        <v>0.4</v>
      </c>
      <c r="DN198">
        <v>5555</v>
      </c>
      <c r="EL198">
        <v>0</v>
      </c>
      <c r="EM198" t="s">
        <v>1103</v>
      </c>
    </row>
    <row r="199" spans="1:143" x14ac:dyDescent="0.35">
      <c r="A199" t="s">
        <v>40</v>
      </c>
      <c r="B199" t="s">
        <v>1105</v>
      </c>
      <c r="C199" t="s">
        <v>116</v>
      </c>
      <c r="D199" t="s">
        <v>120</v>
      </c>
      <c r="G199" t="s">
        <v>3293</v>
      </c>
      <c r="H199" t="s">
        <v>1920</v>
      </c>
      <c r="L199" t="s">
        <v>1896</v>
      </c>
      <c r="M199" t="s">
        <v>3294</v>
      </c>
      <c r="N199" t="s">
        <v>1898</v>
      </c>
      <c r="R199" t="s">
        <v>119</v>
      </c>
      <c r="S199" t="s">
        <v>1106</v>
      </c>
      <c r="T199" t="s">
        <v>295</v>
      </c>
      <c r="U199" t="s">
        <v>117</v>
      </c>
      <c r="V199" t="s">
        <v>2014</v>
      </c>
      <c r="W199" t="s">
        <v>1923</v>
      </c>
      <c r="X199" t="s">
        <v>52</v>
      </c>
      <c r="Z199" t="s">
        <v>3295</v>
      </c>
      <c r="AB199">
        <v>1</v>
      </c>
      <c r="AC199">
        <v>8</v>
      </c>
      <c r="AE199">
        <v>1950</v>
      </c>
      <c r="AF199" t="s">
        <v>3296</v>
      </c>
      <c r="AG199" t="s">
        <v>2234</v>
      </c>
      <c r="AH199" t="s">
        <v>1903</v>
      </c>
      <c r="AI199">
        <v>64400</v>
      </c>
      <c r="AJ199">
        <v>0</v>
      </c>
      <c r="AL199">
        <v>0</v>
      </c>
      <c r="AV199" t="s">
        <v>1106</v>
      </c>
      <c r="AX199" t="s">
        <v>1109</v>
      </c>
      <c r="BD199" t="s">
        <v>3297</v>
      </c>
      <c r="BF199" t="s">
        <v>2016</v>
      </c>
      <c r="BI199" t="s">
        <v>1106</v>
      </c>
      <c r="BM199" t="s">
        <v>3298</v>
      </c>
      <c r="BN199" t="s">
        <v>1107</v>
      </c>
      <c r="BO199" t="s">
        <v>1107</v>
      </c>
      <c r="BQ199" t="s">
        <v>3295</v>
      </c>
      <c r="BR199">
        <v>1</v>
      </c>
      <c r="BS199">
        <v>8</v>
      </c>
      <c r="CB199" t="s">
        <v>3299</v>
      </c>
      <c r="CC199" t="s">
        <v>1996</v>
      </c>
      <c r="CD199" t="s">
        <v>2414</v>
      </c>
      <c r="CE199">
        <v>24.4</v>
      </c>
      <c r="CF199">
        <v>8.4</v>
      </c>
      <c r="CG199">
        <v>14.5</v>
      </c>
      <c r="CH199">
        <v>1021</v>
      </c>
      <c r="CI199">
        <v>49</v>
      </c>
      <c r="CJ199">
        <v>2.1</v>
      </c>
      <c r="CK199">
        <v>29.1</v>
      </c>
      <c r="CL199">
        <v>24.4</v>
      </c>
      <c r="CM199">
        <v>14.5</v>
      </c>
      <c r="CN199">
        <v>31680</v>
      </c>
      <c r="CO199">
        <v>4.5</v>
      </c>
      <c r="CP199">
        <v>297</v>
      </c>
      <c r="CQ199">
        <v>0</v>
      </c>
      <c r="CR199">
        <v>0</v>
      </c>
      <c r="CS199">
        <v>0</v>
      </c>
      <c r="CT199" t="s">
        <v>2415</v>
      </c>
      <c r="CU199">
        <v>197.8500061035156</v>
      </c>
      <c r="CV199">
        <v>72</v>
      </c>
      <c r="CW199">
        <v>10.05000019073486</v>
      </c>
      <c r="CX199">
        <v>1.950000047683716</v>
      </c>
      <c r="CY199">
        <v>5.0500001907348633</v>
      </c>
      <c r="CZ199">
        <v>5.0500001907348633</v>
      </c>
      <c r="DA199">
        <v>1</v>
      </c>
      <c r="DB199">
        <v>1</v>
      </c>
      <c r="DC199">
        <v>0</v>
      </c>
      <c r="DD199">
        <v>0</v>
      </c>
      <c r="DE199">
        <v>0</v>
      </c>
      <c r="DF199">
        <v>0</v>
      </c>
      <c r="DG199">
        <v>0</v>
      </c>
      <c r="DH199">
        <v>0</v>
      </c>
      <c r="DI199">
        <v>0</v>
      </c>
      <c r="DJ199" t="s">
        <v>3300</v>
      </c>
      <c r="DK199" t="s">
        <v>3301</v>
      </c>
      <c r="DL199" t="s">
        <v>3302</v>
      </c>
      <c r="DM199">
        <v>13.87</v>
      </c>
      <c r="DN199">
        <v>327.2</v>
      </c>
      <c r="DO199" t="s">
        <v>3303</v>
      </c>
      <c r="EL199">
        <v>0</v>
      </c>
      <c r="EM199" t="s">
        <v>1108</v>
      </c>
    </row>
    <row r="200" spans="1:143" x14ac:dyDescent="0.35">
      <c r="A200" t="s">
        <v>42</v>
      </c>
      <c r="B200" t="s">
        <v>1110</v>
      </c>
      <c r="C200" t="s">
        <v>116</v>
      </c>
      <c r="D200" t="s">
        <v>120</v>
      </c>
      <c r="E200">
        <v>20</v>
      </c>
      <c r="G200" t="s">
        <v>3304</v>
      </c>
      <c r="L200" t="s">
        <v>1896</v>
      </c>
      <c r="M200" t="s">
        <v>3305</v>
      </c>
      <c r="N200" t="s">
        <v>1898</v>
      </c>
      <c r="R200" t="s">
        <v>119</v>
      </c>
      <c r="S200" t="s">
        <v>1111</v>
      </c>
      <c r="T200" t="s">
        <v>117</v>
      </c>
      <c r="Z200" t="s">
        <v>3306</v>
      </c>
      <c r="AA200" t="s">
        <v>3307</v>
      </c>
      <c r="AB200">
        <v>3</v>
      </c>
      <c r="AC200">
        <v>9</v>
      </c>
      <c r="AE200">
        <v>1997</v>
      </c>
      <c r="AF200" t="s">
        <v>2181</v>
      </c>
      <c r="AG200" t="s">
        <v>1928</v>
      </c>
      <c r="AH200" t="s">
        <v>1929</v>
      </c>
      <c r="AI200">
        <v>155000</v>
      </c>
      <c r="AJ200">
        <v>0</v>
      </c>
      <c r="AL200">
        <v>0</v>
      </c>
      <c r="AS200" t="b">
        <v>0</v>
      </c>
      <c r="AU200">
        <v>0</v>
      </c>
      <c r="AV200" t="s">
        <v>1111</v>
      </c>
      <c r="AX200" t="s">
        <v>1114</v>
      </c>
      <c r="AY200" t="b">
        <v>1</v>
      </c>
      <c r="AZ200" t="b">
        <v>1</v>
      </c>
      <c r="BD200" t="s">
        <v>3308</v>
      </c>
      <c r="BF200" t="s">
        <v>1906</v>
      </c>
      <c r="BG200" t="s">
        <v>2702</v>
      </c>
      <c r="BI200" t="s">
        <v>1111</v>
      </c>
      <c r="BL200" t="s">
        <v>3309</v>
      </c>
      <c r="BM200" t="s">
        <v>1112</v>
      </c>
      <c r="BN200" t="s">
        <v>1112</v>
      </c>
      <c r="BO200" t="s">
        <v>1112</v>
      </c>
      <c r="BP200" t="s">
        <v>3310</v>
      </c>
      <c r="BQ200" t="s">
        <v>3306</v>
      </c>
      <c r="BR200">
        <v>3</v>
      </c>
      <c r="BS200">
        <v>9</v>
      </c>
      <c r="BU200" t="s">
        <v>1908</v>
      </c>
      <c r="BV200">
        <v>0</v>
      </c>
      <c r="BW200" t="s">
        <v>2295</v>
      </c>
      <c r="BX200" t="s">
        <v>1910</v>
      </c>
      <c r="BY200" t="s">
        <v>1970</v>
      </c>
      <c r="BZ200" t="s">
        <v>1995</v>
      </c>
      <c r="CB200" t="s">
        <v>3311</v>
      </c>
      <c r="CC200" t="s">
        <v>1938</v>
      </c>
      <c r="CD200" t="s">
        <v>1939</v>
      </c>
      <c r="CE200">
        <v>72.2</v>
      </c>
      <c r="CF200">
        <v>70.3</v>
      </c>
      <c r="CG200">
        <v>76.599999999999994</v>
      </c>
      <c r="CH200">
        <v>1015</v>
      </c>
      <c r="CI200">
        <v>94</v>
      </c>
      <c r="CJ200">
        <v>68.099999999999994</v>
      </c>
      <c r="CK200">
        <v>92</v>
      </c>
      <c r="CL200">
        <v>76.599999999999994</v>
      </c>
      <c r="CM200">
        <v>72.2</v>
      </c>
      <c r="CN200">
        <v>31680</v>
      </c>
      <c r="CO200">
        <v>6</v>
      </c>
      <c r="CP200">
        <v>236</v>
      </c>
      <c r="CQ200">
        <v>63</v>
      </c>
      <c r="CR200">
        <v>0</v>
      </c>
      <c r="CS200">
        <v>0</v>
      </c>
      <c r="CT200" t="s">
        <v>1915</v>
      </c>
      <c r="CU200">
        <v>184</v>
      </c>
      <c r="CV200">
        <v>90</v>
      </c>
      <c r="CW200">
        <v>6</v>
      </c>
      <c r="CX200">
        <v>1.2</v>
      </c>
      <c r="CY200">
        <v>8.1999999999999993</v>
      </c>
      <c r="CZ200">
        <v>8.1999999999999993</v>
      </c>
      <c r="DA200">
        <v>1</v>
      </c>
      <c r="DB200">
        <v>1</v>
      </c>
      <c r="DC200">
        <v>0</v>
      </c>
      <c r="DD200">
        <v>0</v>
      </c>
      <c r="DE200">
        <v>0</v>
      </c>
      <c r="DF200">
        <v>0</v>
      </c>
      <c r="DG200">
        <v>8.4600000000000009</v>
      </c>
      <c r="DH200">
        <v>17.59</v>
      </c>
      <c r="DI200">
        <v>0</v>
      </c>
      <c r="DJ200" t="s">
        <v>3312</v>
      </c>
      <c r="DK200" t="s">
        <v>3313</v>
      </c>
      <c r="DL200" t="s">
        <v>3314</v>
      </c>
      <c r="DM200">
        <v>26.44</v>
      </c>
      <c r="DN200">
        <v>316.60000000000002</v>
      </c>
      <c r="EL200">
        <v>0</v>
      </c>
      <c r="EM200" t="s">
        <v>1113</v>
      </c>
    </row>
    <row r="201" spans="1:143" x14ac:dyDescent="0.35">
      <c r="A201" t="s">
        <v>42</v>
      </c>
      <c r="B201" t="s">
        <v>1115</v>
      </c>
      <c r="C201" t="s">
        <v>116</v>
      </c>
      <c r="D201" t="s">
        <v>146</v>
      </c>
      <c r="G201" t="s">
        <v>3315</v>
      </c>
      <c r="I201" t="s">
        <v>2149</v>
      </c>
      <c r="K201" t="s">
        <v>3316</v>
      </c>
      <c r="L201" t="s">
        <v>1896</v>
      </c>
      <c r="M201" t="s">
        <v>3305</v>
      </c>
      <c r="N201" t="s">
        <v>1898</v>
      </c>
      <c r="R201" t="s">
        <v>119</v>
      </c>
      <c r="S201" t="s">
        <v>1116</v>
      </c>
      <c r="T201" t="s">
        <v>117</v>
      </c>
      <c r="Z201" t="s">
        <v>3317</v>
      </c>
      <c r="AA201" t="s">
        <v>3318</v>
      </c>
      <c r="AB201">
        <v>3</v>
      </c>
      <c r="AC201">
        <v>5</v>
      </c>
      <c r="AD201" t="s">
        <v>1926</v>
      </c>
      <c r="AJ201">
        <v>0</v>
      </c>
      <c r="AL201">
        <v>0</v>
      </c>
      <c r="AS201" t="b">
        <v>0</v>
      </c>
      <c r="AV201" t="s">
        <v>1116</v>
      </c>
      <c r="AX201" t="s">
        <v>1119</v>
      </c>
      <c r="BF201" t="s">
        <v>1906</v>
      </c>
      <c r="BG201" t="s">
        <v>2183</v>
      </c>
      <c r="BI201" t="s">
        <v>1116</v>
      </c>
      <c r="BL201" t="s">
        <v>3319</v>
      </c>
      <c r="BM201" t="s">
        <v>1117</v>
      </c>
      <c r="BN201" t="s">
        <v>1117</v>
      </c>
      <c r="BO201" t="s">
        <v>1117</v>
      </c>
      <c r="BQ201" t="s">
        <v>3320</v>
      </c>
      <c r="BR201">
        <v>3</v>
      </c>
      <c r="BS201">
        <v>5</v>
      </c>
      <c r="BU201" t="s">
        <v>1908</v>
      </c>
      <c r="BV201">
        <v>0</v>
      </c>
      <c r="BW201" t="s">
        <v>2295</v>
      </c>
      <c r="BX201" t="s">
        <v>1949</v>
      </c>
      <c r="BY201" t="s">
        <v>1970</v>
      </c>
      <c r="BZ201" t="s">
        <v>1910</v>
      </c>
      <c r="CB201" t="s">
        <v>3321</v>
      </c>
      <c r="CC201" t="s">
        <v>1996</v>
      </c>
      <c r="CD201" t="s">
        <v>1997</v>
      </c>
      <c r="CE201">
        <v>83.7</v>
      </c>
      <c r="CF201">
        <v>45.5</v>
      </c>
      <c r="CG201">
        <v>81.099999999999994</v>
      </c>
      <c r="CH201">
        <v>1014</v>
      </c>
      <c r="CI201">
        <v>26</v>
      </c>
      <c r="CJ201">
        <v>56.3</v>
      </c>
      <c r="CK201">
        <v>84</v>
      </c>
      <c r="CL201">
        <v>81.099999999999994</v>
      </c>
      <c r="CM201">
        <v>83.7</v>
      </c>
      <c r="CN201">
        <v>31680</v>
      </c>
      <c r="CO201">
        <v>4</v>
      </c>
      <c r="CP201">
        <v>265</v>
      </c>
      <c r="CQ201">
        <v>7</v>
      </c>
      <c r="CR201">
        <v>0</v>
      </c>
      <c r="CS201">
        <v>0</v>
      </c>
      <c r="CT201" t="s">
        <v>1915</v>
      </c>
      <c r="CU201">
        <v>103</v>
      </c>
      <c r="CV201">
        <v>90</v>
      </c>
      <c r="CW201">
        <v>1</v>
      </c>
      <c r="CX201">
        <v>0.3</v>
      </c>
      <c r="CY201">
        <v>4.7</v>
      </c>
      <c r="CZ201">
        <v>5</v>
      </c>
      <c r="DA201">
        <v>1</v>
      </c>
      <c r="DB201">
        <v>1</v>
      </c>
      <c r="DC201">
        <v>0</v>
      </c>
      <c r="DD201">
        <v>0</v>
      </c>
      <c r="DE201">
        <v>0</v>
      </c>
      <c r="DF201">
        <v>0</v>
      </c>
      <c r="DG201">
        <v>186.36</v>
      </c>
      <c r="DH201">
        <v>126.01</v>
      </c>
      <c r="DI201">
        <v>0</v>
      </c>
      <c r="DJ201" t="s">
        <v>3312</v>
      </c>
      <c r="DK201" t="s">
        <v>3313</v>
      </c>
      <c r="DL201" t="s">
        <v>3322</v>
      </c>
      <c r="DM201">
        <v>26.44</v>
      </c>
      <c r="DN201">
        <v>316.60000000000002</v>
      </c>
      <c r="EK201" t="s">
        <v>3323</v>
      </c>
      <c r="EL201">
        <v>0</v>
      </c>
      <c r="EM201" t="s">
        <v>1118</v>
      </c>
    </row>
    <row r="202" spans="1:143" x14ac:dyDescent="0.35">
      <c r="A202" t="s">
        <v>42</v>
      </c>
      <c r="B202" t="s">
        <v>1120</v>
      </c>
      <c r="C202" t="s">
        <v>116</v>
      </c>
      <c r="D202" t="s">
        <v>120</v>
      </c>
      <c r="E202">
        <v>300</v>
      </c>
      <c r="G202" t="s">
        <v>3324</v>
      </c>
      <c r="L202" t="s">
        <v>1896</v>
      </c>
      <c r="M202" t="s">
        <v>3305</v>
      </c>
      <c r="N202" t="s">
        <v>1898</v>
      </c>
      <c r="R202" t="s">
        <v>119</v>
      </c>
      <c r="S202" t="s">
        <v>1121</v>
      </c>
      <c r="T202" t="s">
        <v>117</v>
      </c>
      <c r="Z202" t="s">
        <v>3325</v>
      </c>
      <c r="AA202" t="s">
        <v>3326</v>
      </c>
      <c r="AB202">
        <v>1</v>
      </c>
      <c r="AC202">
        <v>3</v>
      </c>
      <c r="AD202" t="s">
        <v>1966</v>
      </c>
      <c r="AF202" t="s">
        <v>2181</v>
      </c>
      <c r="AG202" t="s">
        <v>2234</v>
      </c>
      <c r="AH202" t="s">
        <v>1903</v>
      </c>
      <c r="AI202">
        <v>16200</v>
      </c>
      <c r="AJ202">
        <v>0</v>
      </c>
      <c r="AL202">
        <v>0</v>
      </c>
      <c r="AS202" t="b">
        <v>0</v>
      </c>
      <c r="AV202" t="s">
        <v>1121</v>
      </c>
      <c r="AX202" t="s">
        <v>1124</v>
      </c>
      <c r="BD202" t="s">
        <v>3327</v>
      </c>
      <c r="BF202" t="s">
        <v>1906</v>
      </c>
      <c r="BG202" t="s">
        <v>2235</v>
      </c>
      <c r="BI202" t="s">
        <v>1121</v>
      </c>
      <c r="BL202" t="s">
        <v>3328</v>
      </c>
      <c r="BM202" t="s">
        <v>1122</v>
      </c>
      <c r="BN202" t="s">
        <v>1122</v>
      </c>
      <c r="BO202" t="s">
        <v>1122</v>
      </c>
      <c r="BP202" t="s">
        <v>3329</v>
      </c>
      <c r="BQ202" t="s">
        <v>3325</v>
      </c>
      <c r="BR202">
        <v>1</v>
      </c>
      <c r="BS202">
        <v>3</v>
      </c>
      <c r="BU202" t="s">
        <v>1908</v>
      </c>
      <c r="BW202" t="s">
        <v>2032</v>
      </c>
      <c r="BX202" t="s">
        <v>1910</v>
      </c>
      <c r="BY202" t="s">
        <v>1911</v>
      </c>
      <c r="BZ202" t="s">
        <v>1910</v>
      </c>
      <c r="CB202" t="s">
        <v>3330</v>
      </c>
      <c r="CC202" t="s">
        <v>1961</v>
      </c>
      <c r="CD202" t="s">
        <v>1962</v>
      </c>
      <c r="CE202">
        <v>61</v>
      </c>
      <c r="CF202">
        <v>45.1</v>
      </c>
      <c r="CG202">
        <v>60.3</v>
      </c>
      <c r="CH202">
        <v>1011</v>
      </c>
      <c r="CI202">
        <v>53</v>
      </c>
      <c r="CJ202">
        <v>50.7</v>
      </c>
      <c r="CK202">
        <v>67.099999999999994</v>
      </c>
      <c r="CL202">
        <v>61</v>
      </c>
      <c r="CM202">
        <v>60.3</v>
      </c>
      <c r="CN202">
        <v>31680</v>
      </c>
      <c r="CO202">
        <v>9.1999999999999993</v>
      </c>
      <c r="CP202">
        <v>350</v>
      </c>
      <c r="CQ202">
        <v>28</v>
      </c>
      <c r="CR202">
        <v>0</v>
      </c>
      <c r="CS202">
        <v>0</v>
      </c>
      <c r="CT202" t="s">
        <v>1915</v>
      </c>
      <c r="CU202">
        <v>142.8500061035156</v>
      </c>
      <c r="CV202">
        <v>72</v>
      </c>
      <c r="CW202">
        <v>7.0500001907348633</v>
      </c>
      <c r="CX202">
        <v>1.75</v>
      </c>
      <c r="CY202">
        <v>4.6500000953674316</v>
      </c>
      <c r="CZ202">
        <v>5.6500000953674316</v>
      </c>
      <c r="DA202">
        <v>1</v>
      </c>
      <c r="DB202">
        <v>1</v>
      </c>
      <c r="DC202">
        <v>0</v>
      </c>
      <c r="DD202">
        <v>0</v>
      </c>
      <c r="DE202">
        <v>0</v>
      </c>
      <c r="DF202">
        <v>0</v>
      </c>
      <c r="DG202">
        <v>109.15</v>
      </c>
      <c r="DH202">
        <v>0</v>
      </c>
      <c r="DI202">
        <v>0</v>
      </c>
      <c r="DJ202" t="s">
        <v>3312</v>
      </c>
      <c r="DM202">
        <v>26.44</v>
      </c>
      <c r="DN202">
        <v>316.60000000000002</v>
      </c>
      <c r="EL202">
        <v>0</v>
      </c>
      <c r="EM202" t="s">
        <v>1123</v>
      </c>
    </row>
    <row r="203" spans="1:143" x14ac:dyDescent="0.35">
      <c r="A203" t="s">
        <v>42</v>
      </c>
      <c r="B203" t="s">
        <v>1125</v>
      </c>
      <c r="C203" t="s">
        <v>116</v>
      </c>
      <c r="D203" t="s">
        <v>120</v>
      </c>
      <c r="E203">
        <v>99</v>
      </c>
      <c r="G203" t="s">
        <v>3331</v>
      </c>
      <c r="L203" t="s">
        <v>1896</v>
      </c>
      <c r="M203" t="s">
        <v>3305</v>
      </c>
      <c r="N203" t="s">
        <v>1898</v>
      </c>
      <c r="R203" t="s">
        <v>119</v>
      </c>
      <c r="S203" t="s">
        <v>1126</v>
      </c>
      <c r="T203" t="s">
        <v>117</v>
      </c>
      <c r="Z203" t="s">
        <v>3332</v>
      </c>
      <c r="AA203" t="s">
        <v>3333</v>
      </c>
      <c r="AB203">
        <v>1</v>
      </c>
      <c r="AC203">
        <v>3</v>
      </c>
      <c r="AE203">
        <v>1850</v>
      </c>
      <c r="AF203" t="s">
        <v>3334</v>
      </c>
      <c r="AG203" t="s">
        <v>3335</v>
      </c>
      <c r="AH203" t="s">
        <v>1903</v>
      </c>
      <c r="AI203">
        <v>122300</v>
      </c>
      <c r="AJ203">
        <v>0</v>
      </c>
      <c r="AL203">
        <v>0</v>
      </c>
      <c r="AS203" t="b">
        <v>0</v>
      </c>
      <c r="AV203" t="s">
        <v>1126</v>
      </c>
      <c r="AX203" t="s">
        <v>1129</v>
      </c>
      <c r="BD203" t="s">
        <v>3336</v>
      </c>
      <c r="BF203" t="s">
        <v>1906</v>
      </c>
      <c r="BG203" t="s">
        <v>1907</v>
      </c>
      <c r="BI203" t="s">
        <v>1126</v>
      </c>
      <c r="BL203" t="s">
        <v>3337</v>
      </c>
      <c r="BM203" t="s">
        <v>1127</v>
      </c>
      <c r="BN203" t="s">
        <v>1127</v>
      </c>
      <c r="BO203" t="s">
        <v>1127</v>
      </c>
      <c r="BP203" t="s">
        <v>3338</v>
      </c>
      <c r="BQ203" t="s">
        <v>3332</v>
      </c>
      <c r="BR203">
        <v>1</v>
      </c>
      <c r="BS203">
        <v>3</v>
      </c>
      <c r="BU203" t="s">
        <v>1908</v>
      </c>
      <c r="BW203" t="s">
        <v>1934</v>
      </c>
      <c r="BX203" t="s">
        <v>1910</v>
      </c>
      <c r="BY203" t="s">
        <v>1911</v>
      </c>
      <c r="BZ203" t="s">
        <v>1910</v>
      </c>
      <c r="CB203" t="s">
        <v>3339</v>
      </c>
      <c r="CC203" t="s">
        <v>1938</v>
      </c>
      <c r="CD203" t="s">
        <v>1939</v>
      </c>
      <c r="CE203">
        <v>82.4</v>
      </c>
      <c r="CF203">
        <v>52</v>
      </c>
      <c r="CG203">
        <v>80.900000000000006</v>
      </c>
      <c r="CH203">
        <v>1007</v>
      </c>
      <c r="CI203">
        <v>32</v>
      </c>
      <c r="CJ203">
        <v>60</v>
      </c>
      <c r="CK203">
        <v>84.6</v>
      </c>
      <c r="CL203">
        <v>80.900000000000006</v>
      </c>
      <c r="CM203">
        <v>82.4</v>
      </c>
      <c r="CN203">
        <v>26400</v>
      </c>
      <c r="CO203">
        <v>8.6999999999999993</v>
      </c>
      <c r="CP203">
        <v>298</v>
      </c>
      <c r="CQ203">
        <v>73</v>
      </c>
      <c r="CR203">
        <v>0</v>
      </c>
      <c r="CS203">
        <v>0</v>
      </c>
      <c r="CT203" t="s">
        <v>1915</v>
      </c>
      <c r="CU203">
        <v>145.8500061035156</v>
      </c>
      <c r="CV203">
        <v>110</v>
      </c>
      <c r="CW203">
        <v>3.0499999523162842</v>
      </c>
      <c r="CX203">
        <v>1.549999952316284</v>
      </c>
      <c r="CY203">
        <v>8.1499996185302734</v>
      </c>
      <c r="CZ203">
        <v>9.1499996185302734</v>
      </c>
      <c r="DA203">
        <v>1</v>
      </c>
      <c r="DB203">
        <v>1</v>
      </c>
      <c r="DC203">
        <v>0</v>
      </c>
      <c r="DD203">
        <v>0</v>
      </c>
      <c r="DE203">
        <v>0</v>
      </c>
      <c r="DF203">
        <v>0</v>
      </c>
      <c r="DG203">
        <v>74.760000000000005</v>
      </c>
      <c r="DH203">
        <v>0</v>
      </c>
      <c r="DI203">
        <v>0</v>
      </c>
      <c r="DJ203" t="s">
        <v>3340</v>
      </c>
      <c r="DM203">
        <v>3.82</v>
      </c>
      <c r="DN203">
        <v>1516</v>
      </c>
      <c r="EL203">
        <v>0</v>
      </c>
      <c r="EM203" t="s">
        <v>1128</v>
      </c>
    </row>
    <row r="204" spans="1:143" x14ac:dyDescent="0.35">
      <c r="A204" t="s">
        <v>42</v>
      </c>
      <c r="B204" t="s">
        <v>1130</v>
      </c>
      <c r="C204" t="s">
        <v>116</v>
      </c>
      <c r="D204" t="s">
        <v>146</v>
      </c>
      <c r="G204" t="s">
        <v>3341</v>
      </c>
      <c r="K204" t="s">
        <v>3316</v>
      </c>
      <c r="L204" t="s">
        <v>1896</v>
      </c>
      <c r="M204" t="s">
        <v>3305</v>
      </c>
      <c r="N204" t="s">
        <v>1898</v>
      </c>
      <c r="R204" t="s">
        <v>119</v>
      </c>
      <c r="S204" t="s">
        <v>1131</v>
      </c>
      <c r="T204" t="s">
        <v>117</v>
      </c>
      <c r="Z204" t="s">
        <v>3342</v>
      </c>
      <c r="AA204" t="s">
        <v>3343</v>
      </c>
      <c r="AB204">
        <v>6</v>
      </c>
      <c r="AC204">
        <v>10</v>
      </c>
      <c r="AJ204">
        <v>0</v>
      </c>
      <c r="AL204">
        <v>0</v>
      </c>
      <c r="AS204" t="b">
        <v>0</v>
      </c>
      <c r="AV204" t="s">
        <v>1131</v>
      </c>
      <c r="AX204" t="s">
        <v>1134</v>
      </c>
      <c r="BF204" t="s">
        <v>1906</v>
      </c>
      <c r="BG204" t="s">
        <v>1907</v>
      </c>
      <c r="BI204" t="s">
        <v>1131</v>
      </c>
      <c r="BL204" t="s">
        <v>3344</v>
      </c>
      <c r="BM204" t="s">
        <v>1132</v>
      </c>
      <c r="BN204" t="s">
        <v>1132</v>
      </c>
      <c r="BO204" t="s">
        <v>1132</v>
      </c>
      <c r="BQ204" t="s">
        <v>3342</v>
      </c>
      <c r="BR204">
        <v>6</v>
      </c>
      <c r="BS204">
        <v>10</v>
      </c>
      <c r="BU204" t="s">
        <v>1908</v>
      </c>
      <c r="BW204" t="s">
        <v>1909</v>
      </c>
      <c r="BX204" t="s">
        <v>1994</v>
      </c>
      <c r="BY204" t="s">
        <v>1911</v>
      </c>
      <c r="BZ204" t="s">
        <v>1995</v>
      </c>
      <c r="CB204" t="s">
        <v>3091</v>
      </c>
      <c r="CC204" t="s">
        <v>1961</v>
      </c>
      <c r="CD204" t="s">
        <v>1962</v>
      </c>
      <c r="CE204">
        <v>63.1</v>
      </c>
      <c r="CF204">
        <v>39.700000000000003</v>
      </c>
      <c r="CG204">
        <v>63.1</v>
      </c>
      <c r="CH204">
        <v>1010</v>
      </c>
      <c r="CI204">
        <v>39</v>
      </c>
      <c r="CJ204">
        <v>38.5</v>
      </c>
      <c r="CK204">
        <v>64.3</v>
      </c>
      <c r="CL204">
        <v>63.1</v>
      </c>
      <c r="CM204">
        <v>63.1</v>
      </c>
      <c r="CN204">
        <v>31680</v>
      </c>
      <c r="CO204">
        <v>12.3</v>
      </c>
      <c r="CP204">
        <v>252</v>
      </c>
      <c r="CQ204">
        <v>45</v>
      </c>
      <c r="CR204">
        <v>0</v>
      </c>
      <c r="CS204">
        <v>0</v>
      </c>
      <c r="CT204" t="s">
        <v>1915</v>
      </c>
      <c r="CU204">
        <v>166.8500061035156</v>
      </c>
      <c r="CV204">
        <v>108</v>
      </c>
      <c r="CW204">
        <v>5.6500000953674316</v>
      </c>
      <c r="CX204">
        <v>5.75</v>
      </c>
      <c r="CY204">
        <v>8.75</v>
      </c>
      <c r="CZ204">
        <v>9.25</v>
      </c>
      <c r="DA204">
        <v>1</v>
      </c>
      <c r="DB204">
        <v>1</v>
      </c>
      <c r="DC204">
        <v>0</v>
      </c>
      <c r="DD204">
        <v>0</v>
      </c>
      <c r="DE204">
        <v>304.01</v>
      </c>
      <c r="DF204">
        <v>350.61</v>
      </c>
      <c r="DG204">
        <v>0</v>
      </c>
      <c r="DH204">
        <v>0</v>
      </c>
      <c r="DI204">
        <v>0</v>
      </c>
      <c r="DJ204" t="s">
        <v>3312</v>
      </c>
      <c r="DM204">
        <v>26.44</v>
      </c>
      <c r="DN204">
        <v>316.60000000000002</v>
      </c>
      <c r="EL204">
        <v>0</v>
      </c>
      <c r="EM204" t="s">
        <v>1133</v>
      </c>
    </row>
    <row r="205" spans="1:143" x14ac:dyDescent="0.35">
      <c r="A205" t="s">
        <v>42</v>
      </c>
      <c r="B205" t="s">
        <v>1135</v>
      </c>
      <c r="C205" t="s">
        <v>116</v>
      </c>
      <c r="D205" t="s">
        <v>120</v>
      </c>
      <c r="E205">
        <v>538</v>
      </c>
      <c r="G205" t="s">
        <v>3345</v>
      </c>
      <c r="L205" t="s">
        <v>1896</v>
      </c>
      <c r="M205" t="s">
        <v>3305</v>
      </c>
      <c r="N205" t="s">
        <v>1898</v>
      </c>
      <c r="R205" t="s">
        <v>119</v>
      </c>
      <c r="S205" t="s">
        <v>1136</v>
      </c>
      <c r="T205" t="s">
        <v>117</v>
      </c>
      <c r="Z205" t="s">
        <v>3346</v>
      </c>
      <c r="AA205" t="s">
        <v>3347</v>
      </c>
      <c r="AB205">
        <v>4</v>
      </c>
      <c r="AC205">
        <v>6</v>
      </c>
      <c r="AE205">
        <v>1955</v>
      </c>
      <c r="AF205" t="s">
        <v>2181</v>
      </c>
      <c r="AG205" t="s">
        <v>1928</v>
      </c>
      <c r="AH205" t="s">
        <v>1929</v>
      </c>
      <c r="AI205">
        <v>150100</v>
      </c>
      <c r="AJ205">
        <v>0</v>
      </c>
      <c r="AL205">
        <v>0</v>
      </c>
      <c r="AS205" t="b">
        <v>0</v>
      </c>
      <c r="AV205" t="s">
        <v>1136</v>
      </c>
      <c r="AX205" t="s">
        <v>1139</v>
      </c>
      <c r="BD205" t="s">
        <v>3348</v>
      </c>
      <c r="BF205" t="s">
        <v>1906</v>
      </c>
      <c r="BG205" t="s">
        <v>1907</v>
      </c>
      <c r="BI205" t="s">
        <v>1136</v>
      </c>
      <c r="BL205" t="s">
        <v>3349</v>
      </c>
      <c r="BM205" t="s">
        <v>1137</v>
      </c>
      <c r="BN205" t="s">
        <v>1137</v>
      </c>
      <c r="BO205" t="s">
        <v>1137</v>
      </c>
      <c r="BP205" t="s">
        <v>3350</v>
      </c>
      <c r="BQ205" t="s">
        <v>3346</v>
      </c>
      <c r="BR205">
        <v>4</v>
      </c>
      <c r="BS205">
        <v>6</v>
      </c>
      <c r="BU205" t="s">
        <v>1908</v>
      </c>
      <c r="BW205" t="s">
        <v>2114</v>
      </c>
      <c r="BX205" t="s">
        <v>1949</v>
      </c>
      <c r="BY205" t="s">
        <v>1970</v>
      </c>
      <c r="BZ205" t="s">
        <v>1995</v>
      </c>
      <c r="CB205" t="s">
        <v>3351</v>
      </c>
      <c r="CC205" t="s">
        <v>1961</v>
      </c>
      <c r="CD205" t="s">
        <v>1962</v>
      </c>
      <c r="CE205">
        <v>54.1</v>
      </c>
      <c r="CF205">
        <v>37.9</v>
      </c>
      <c r="CG205">
        <v>52</v>
      </c>
      <c r="CH205">
        <v>1010</v>
      </c>
      <c r="CI205">
        <v>53</v>
      </c>
      <c r="CJ205">
        <v>39.200000000000003</v>
      </c>
      <c r="CK205">
        <v>59.3</v>
      </c>
      <c r="CL205">
        <v>54.1</v>
      </c>
      <c r="CM205">
        <v>52</v>
      </c>
      <c r="CN205">
        <v>31680</v>
      </c>
      <c r="CO205">
        <v>7.4</v>
      </c>
      <c r="CP205">
        <v>290</v>
      </c>
      <c r="CQ205">
        <v>53</v>
      </c>
      <c r="CR205">
        <v>0</v>
      </c>
      <c r="CS205">
        <v>0</v>
      </c>
      <c r="CT205" t="s">
        <v>1915</v>
      </c>
      <c r="CU205">
        <v>151.8500061035156</v>
      </c>
      <c r="CV205">
        <v>79</v>
      </c>
      <c r="CW205">
        <v>3.4500000476837158</v>
      </c>
      <c r="CX205">
        <v>1.25</v>
      </c>
      <c r="CY205">
        <v>1.8500000238418579</v>
      </c>
      <c r="CZ205">
        <v>2.0499999523162842</v>
      </c>
      <c r="DA205">
        <v>1</v>
      </c>
      <c r="DB205">
        <v>1</v>
      </c>
      <c r="DC205">
        <v>0</v>
      </c>
      <c r="DD205">
        <v>0</v>
      </c>
      <c r="DE205">
        <v>127.36</v>
      </c>
      <c r="DF205">
        <v>133.37</v>
      </c>
      <c r="DG205">
        <v>0</v>
      </c>
      <c r="DH205">
        <v>0</v>
      </c>
      <c r="DI205">
        <v>0</v>
      </c>
      <c r="DJ205" t="s">
        <v>3312</v>
      </c>
      <c r="DM205">
        <v>26.44</v>
      </c>
      <c r="DN205">
        <v>316.60000000000002</v>
      </c>
      <c r="EL205">
        <v>0</v>
      </c>
      <c r="EM205" t="s">
        <v>1138</v>
      </c>
    </row>
    <row r="206" spans="1:143" x14ac:dyDescent="0.35">
      <c r="A206" t="s">
        <v>42</v>
      </c>
      <c r="B206" t="s">
        <v>1140</v>
      </c>
      <c r="C206" t="s">
        <v>116</v>
      </c>
      <c r="D206" t="s">
        <v>120</v>
      </c>
      <c r="E206">
        <v>6</v>
      </c>
      <c r="F206" t="s">
        <v>1903</v>
      </c>
      <c r="G206" t="s">
        <v>2706</v>
      </c>
      <c r="L206" t="s">
        <v>1896</v>
      </c>
      <c r="M206" t="s">
        <v>3305</v>
      </c>
      <c r="N206" t="s">
        <v>1898</v>
      </c>
      <c r="R206" t="s">
        <v>119</v>
      </c>
      <c r="S206" t="s">
        <v>1141</v>
      </c>
      <c r="T206" t="s">
        <v>117</v>
      </c>
      <c r="Z206" t="s">
        <v>3352</v>
      </c>
      <c r="AA206" t="s">
        <v>3353</v>
      </c>
      <c r="AB206">
        <v>2</v>
      </c>
      <c r="AC206">
        <v>4</v>
      </c>
      <c r="AE206">
        <v>1892</v>
      </c>
      <c r="AF206" t="s">
        <v>3354</v>
      </c>
      <c r="AG206" t="s">
        <v>3118</v>
      </c>
      <c r="AH206" t="s">
        <v>1903</v>
      </c>
      <c r="AI206">
        <v>140500</v>
      </c>
      <c r="AJ206">
        <v>0</v>
      </c>
      <c r="AL206">
        <v>0</v>
      </c>
      <c r="AS206" t="b">
        <v>0</v>
      </c>
      <c r="AV206" t="s">
        <v>1141</v>
      </c>
      <c r="AX206" t="s">
        <v>1144</v>
      </c>
      <c r="BD206" t="s">
        <v>3355</v>
      </c>
      <c r="BF206" t="s">
        <v>1906</v>
      </c>
      <c r="BG206" t="s">
        <v>3356</v>
      </c>
      <c r="BI206" t="s">
        <v>1141</v>
      </c>
      <c r="BL206" t="s">
        <v>3357</v>
      </c>
      <c r="BM206" t="s">
        <v>1142</v>
      </c>
      <c r="BN206" t="s">
        <v>1142</v>
      </c>
      <c r="BO206" t="s">
        <v>1142</v>
      </c>
      <c r="BP206" t="s">
        <v>3358</v>
      </c>
      <c r="BQ206" t="s">
        <v>3352</v>
      </c>
      <c r="BR206">
        <v>2</v>
      </c>
      <c r="BS206">
        <v>4</v>
      </c>
      <c r="BU206" t="s">
        <v>1908</v>
      </c>
      <c r="BW206" t="s">
        <v>1934</v>
      </c>
      <c r="BX206" t="s">
        <v>1949</v>
      </c>
      <c r="BY206" t="s">
        <v>1911</v>
      </c>
      <c r="BZ206" t="s">
        <v>1910</v>
      </c>
      <c r="CB206" t="s">
        <v>3359</v>
      </c>
      <c r="CC206" t="s">
        <v>1972</v>
      </c>
      <c r="CD206" t="s">
        <v>1973</v>
      </c>
      <c r="CE206">
        <v>76.3</v>
      </c>
      <c r="CF206">
        <v>59.4</v>
      </c>
      <c r="CG206">
        <v>78.3</v>
      </c>
      <c r="CH206">
        <v>1012</v>
      </c>
      <c r="CI206">
        <v>56</v>
      </c>
      <c r="CJ206">
        <v>60.1</v>
      </c>
      <c r="CK206">
        <v>76.3</v>
      </c>
      <c r="CL206">
        <v>78.3</v>
      </c>
      <c r="CM206">
        <v>76.3</v>
      </c>
      <c r="CN206">
        <v>31680</v>
      </c>
      <c r="CO206">
        <v>11</v>
      </c>
      <c r="CP206">
        <v>217</v>
      </c>
      <c r="CQ206">
        <v>62</v>
      </c>
      <c r="CR206">
        <v>0</v>
      </c>
      <c r="CS206">
        <v>0</v>
      </c>
      <c r="CT206" t="s">
        <v>1915</v>
      </c>
      <c r="CU206">
        <v>161.8500061035156</v>
      </c>
      <c r="CV206">
        <v>123</v>
      </c>
      <c r="CW206">
        <v>5.4499998092651367</v>
      </c>
      <c r="CX206">
        <v>4.1500000953674316</v>
      </c>
      <c r="CY206">
        <v>9.8500003814697266</v>
      </c>
      <c r="CZ206">
        <v>10.64999961853027</v>
      </c>
      <c r="DA206">
        <v>1</v>
      </c>
      <c r="DB206">
        <v>1</v>
      </c>
      <c r="DC206">
        <v>0</v>
      </c>
      <c r="DD206">
        <v>0</v>
      </c>
      <c r="DE206">
        <v>328.05</v>
      </c>
      <c r="DF206">
        <v>468.86</v>
      </c>
      <c r="DG206">
        <v>0</v>
      </c>
      <c r="DH206">
        <v>0</v>
      </c>
      <c r="DI206">
        <v>0</v>
      </c>
      <c r="DJ206" t="s">
        <v>3340</v>
      </c>
      <c r="DM206">
        <v>3.82</v>
      </c>
      <c r="DN206">
        <v>1516</v>
      </c>
      <c r="EK206" t="s">
        <v>3360</v>
      </c>
      <c r="EL206">
        <v>0</v>
      </c>
      <c r="EM206" t="s">
        <v>1143</v>
      </c>
    </row>
    <row r="207" spans="1:143" x14ac:dyDescent="0.35">
      <c r="A207" t="s">
        <v>42</v>
      </c>
      <c r="B207" t="s">
        <v>1145</v>
      </c>
      <c r="C207" t="s">
        <v>116</v>
      </c>
      <c r="D207" t="s">
        <v>146</v>
      </c>
      <c r="G207" t="s">
        <v>3315</v>
      </c>
      <c r="I207" t="s">
        <v>2149</v>
      </c>
      <c r="K207" t="s">
        <v>3316</v>
      </c>
      <c r="L207" t="s">
        <v>1896</v>
      </c>
      <c r="M207" t="s">
        <v>3305</v>
      </c>
      <c r="N207" t="s">
        <v>1898</v>
      </c>
      <c r="R207" t="s">
        <v>119</v>
      </c>
      <c r="S207" t="s">
        <v>1146</v>
      </c>
      <c r="T207" t="s">
        <v>117</v>
      </c>
      <c r="Z207" t="s">
        <v>3361</v>
      </c>
      <c r="AA207" t="s">
        <v>3362</v>
      </c>
      <c r="AB207">
        <v>3</v>
      </c>
      <c r="AC207">
        <v>4</v>
      </c>
      <c r="AJ207">
        <v>0</v>
      </c>
      <c r="AL207">
        <v>0</v>
      </c>
      <c r="AS207" t="b">
        <v>0</v>
      </c>
      <c r="AV207" t="s">
        <v>1146</v>
      </c>
      <c r="AX207" t="s">
        <v>1149</v>
      </c>
      <c r="BF207" t="s">
        <v>1906</v>
      </c>
      <c r="BG207" t="s">
        <v>3363</v>
      </c>
      <c r="BI207" t="s">
        <v>1146</v>
      </c>
      <c r="BL207" t="s">
        <v>3364</v>
      </c>
      <c r="BM207" t="s">
        <v>1147</v>
      </c>
      <c r="BN207" t="s">
        <v>1147</v>
      </c>
      <c r="BO207" t="s">
        <v>1147</v>
      </c>
      <c r="BQ207" t="s">
        <v>3361</v>
      </c>
      <c r="BR207">
        <v>3</v>
      </c>
      <c r="BS207">
        <v>4</v>
      </c>
      <c r="BU207" t="s">
        <v>1908</v>
      </c>
      <c r="BW207" t="s">
        <v>1909</v>
      </c>
      <c r="BX207" t="s">
        <v>1949</v>
      </c>
      <c r="BY207" t="s">
        <v>1911</v>
      </c>
      <c r="BZ207" t="s">
        <v>1995</v>
      </c>
      <c r="CB207" t="s">
        <v>3365</v>
      </c>
      <c r="CC207" t="s">
        <v>1938</v>
      </c>
      <c r="CD207" t="s">
        <v>1939</v>
      </c>
      <c r="CE207">
        <v>38.700000000000003</v>
      </c>
      <c r="CF207">
        <v>17.600000000000001</v>
      </c>
      <c r="CG207">
        <v>31.3</v>
      </c>
      <c r="CH207">
        <v>1018</v>
      </c>
      <c r="CI207">
        <v>39</v>
      </c>
      <c r="CJ207">
        <v>27</v>
      </c>
      <c r="CK207">
        <v>39.200000000000003</v>
      </c>
      <c r="CL207">
        <v>38.700000000000003</v>
      </c>
      <c r="CM207">
        <v>31.3</v>
      </c>
      <c r="CN207">
        <v>31680</v>
      </c>
      <c r="CO207">
        <v>11.9</v>
      </c>
      <c r="CP207">
        <v>211</v>
      </c>
      <c r="CQ207">
        <v>82</v>
      </c>
      <c r="CR207">
        <v>0</v>
      </c>
      <c r="CS207">
        <v>0</v>
      </c>
      <c r="CT207" t="s">
        <v>1915</v>
      </c>
      <c r="DJ207" t="s">
        <v>3312</v>
      </c>
      <c r="DM207">
        <v>26.44</v>
      </c>
      <c r="DN207">
        <v>316.60000000000002</v>
      </c>
      <c r="EL207">
        <v>0</v>
      </c>
      <c r="EM207" t="s">
        <v>1148</v>
      </c>
    </row>
    <row r="208" spans="1:143" x14ac:dyDescent="0.35">
      <c r="A208" t="s">
        <v>44</v>
      </c>
      <c r="B208" t="s">
        <v>1150</v>
      </c>
      <c r="C208" t="s">
        <v>116</v>
      </c>
      <c r="D208" t="s">
        <v>120</v>
      </c>
      <c r="G208" t="s">
        <v>3345</v>
      </c>
      <c r="H208" t="s">
        <v>1895</v>
      </c>
      <c r="L208" t="s">
        <v>1896</v>
      </c>
      <c r="M208" t="s">
        <v>3366</v>
      </c>
      <c r="R208" t="s">
        <v>119</v>
      </c>
      <c r="S208" t="s">
        <v>1151</v>
      </c>
      <c r="T208" t="s">
        <v>294</v>
      </c>
      <c r="U208" t="s">
        <v>117</v>
      </c>
      <c r="Z208" t="s">
        <v>3367</v>
      </c>
      <c r="AA208" t="s">
        <v>3368</v>
      </c>
      <c r="AB208">
        <v>4</v>
      </c>
      <c r="AC208">
        <v>6</v>
      </c>
      <c r="AJ208">
        <v>0</v>
      </c>
      <c r="AL208">
        <v>0</v>
      </c>
      <c r="AS208" t="b">
        <v>0</v>
      </c>
      <c r="AV208" t="s">
        <v>1151</v>
      </c>
      <c r="AX208" t="s">
        <v>1154</v>
      </c>
      <c r="AY208" t="b">
        <v>0</v>
      </c>
      <c r="BD208" t="s">
        <v>3369</v>
      </c>
      <c r="BF208" t="s">
        <v>1906</v>
      </c>
      <c r="BG208" t="s">
        <v>1907</v>
      </c>
      <c r="BI208" t="s">
        <v>1151</v>
      </c>
      <c r="BK208" t="b">
        <v>0</v>
      </c>
      <c r="BM208" t="s">
        <v>1152</v>
      </c>
      <c r="BN208" t="s">
        <v>1152</v>
      </c>
      <c r="BO208" t="s">
        <v>1152</v>
      </c>
      <c r="BP208" t="s">
        <v>3370</v>
      </c>
      <c r="BQ208" t="s">
        <v>3367</v>
      </c>
      <c r="BR208">
        <v>4</v>
      </c>
      <c r="BS208">
        <v>6</v>
      </c>
      <c r="BU208" t="s">
        <v>1908</v>
      </c>
      <c r="BV208">
        <v>0</v>
      </c>
      <c r="BW208" t="s">
        <v>1934</v>
      </c>
      <c r="BX208" t="s">
        <v>1949</v>
      </c>
      <c r="BY208" t="s">
        <v>1911</v>
      </c>
      <c r="CA208" t="s">
        <v>1950</v>
      </c>
      <c r="EL208">
        <v>0</v>
      </c>
      <c r="EM208" t="s">
        <v>1153</v>
      </c>
    </row>
    <row r="209" spans="1:143" x14ac:dyDescent="0.35">
      <c r="A209" t="s">
        <v>46</v>
      </c>
      <c r="B209" t="s">
        <v>1155</v>
      </c>
      <c r="C209" t="s">
        <v>116</v>
      </c>
      <c r="D209" t="s">
        <v>146</v>
      </c>
      <c r="G209" t="s">
        <v>3371</v>
      </c>
      <c r="K209" t="s">
        <v>3372</v>
      </c>
      <c r="L209" t="s">
        <v>1896</v>
      </c>
      <c r="M209" t="s">
        <v>3373</v>
      </c>
      <c r="N209" t="s">
        <v>1898</v>
      </c>
      <c r="R209" t="s">
        <v>119</v>
      </c>
      <c r="S209" t="s">
        <v>1156</v>
      </c>
      <c r="T209" t="s">
        <v>117</v>
      </c>
      <c r="Z209" t="s">
        <v>3374</v>
      </c>
      <c r="AA209" t="s">
        <v>3375</v>
      </c>
      <c r="AB209">
        <v>1</v>
      </c>
      <c r="AC209">
        <v>0</v>
      </c>
      <c r="AD209" t="s">
        <v>1966</v>
      </c>
      <c r="AJ209">
        <v>0</v>
      </c>
      <c r="AL209">
        <v>0</v>
      </c>
      <c r="AV209" t="s">
        <v>1156</v>
      </c>
      <c r="AX209" t="s">
        <v>1159</v>
      </c>
      <c r="BA209" t="s">
        <v>1904</v>
      </c>
      <c r="BF209" t="s">
        <v>1906</v>
      </c>
      <c r="BG209" t="s">
        <v>1907</v>
      </c>
      <c r="BI209" t="s">
        <v>1156</v>
      </c>
      <c r="BM209" t="s">
        <v>3376</v>
      </c>
      <c r="BN209" t="s">
        <v>1157</v>
      </c>
      <c r="BO209" t="s">
        <v>1157</v>
      </c>
      <c r="BQ209" t="s">
        <v>3374</v>
      </c>
      <c r="BR209">
        <v>1</v>
      </c>
      <c r="BS209">
        <v>0</v>
      </c>
      <c r="BT209" t="s">
        <v>1159</v>
      </c>
      <c r="BU209" t="s">
        <v>1908</v>
      </c>
      <c r="BW209" t="s">
        <v>2114</v>
      </c>
      <c r="BX209" t="s">
        <v>1949</v>
      </c>
      <c r="BY209" t="s">
        <v>1970</v>
      </c>
      <c r="CB209" t="s">
        <v>3377</v>
      </c>
      <c r="CC209" t="s">
        <v>1996</v>
      </c>
      <c r="CD209" t="s">
        <v>1997</v>
      </c>
      <c r="CE209">
        <v>65.3</v>
      </c>
      <c r="CF209">
        <v>53.3</v>
      </c>
      <c r="CG209">
        <v>65.3</v>
      </c>
      <c r="CH209">
        <v>1021</v>
      </c>
      <c r="CI209">
        <v>65</v>
      </c>
      <c r="CJ209">
        <v>59.4</v>
      </c>
      <c r="CK209">
        <v>76.099999999999994</v>
      </c>
      <c r="CL209">
        <v>65.3</v>
      </c>
      <c r="CM209">
        <v>65.3</v>
      </c>
      <c r="CN209">
        <v>31680</v>
      </c>
      <c r="CO209">
        <v>4</v>
      </c>
      <c r="CP209">
        <v>250</v>
      </c>
      <c r="CQ209">
        <v>1</v>
      </c>
      <c r="CR209">
        <v>0</v>
      </c>
      <c r="CS209">
        <v>0</v>
      </c>
      <c r="CT209" t="s">
        <v>1915</v>
      </c>
      <c r="CU209">
        <v>151</v>
      </c>
      <c r="CV209">
        <v>57</v>
      </c>
      <c r="CW209">
        <v>6.3</v>
      </c>
      <c r="CX209">
        <v>0.6</v>
      </c>
      <c r="CY209">
        <v>1.3</v>
      </c>
      <c r="CZ209">
        <v>1.3</v>
      </c>
      <c r="DA209">
        <v>1</v>
      </c>
      <c r="DB209">
        <v>1</v>
      </c>
      <c r="DC209">
        <v>0</v>
      </c>
      <c r="DD209">
        <v>0</v>
      </c>
      <c r="DE209">
        <v>0</v>
      </c>
      <c r="DF209">
        <v>0</v>
      </c>
      <c r="DG209">
        <v>12.64</v>
      </c>
      <c r="DH209">
        <v>17.809999999999999</v>
      </c>
      <c r="DI209">
        <v>28.01</v>
      </c>
      <c r="DJ209" t="s">
        <v>3378</v>
      </c>
      <c r="DK209" t="s">
        <v>3379</v>
      </c>
      <c r="DL209" t="s">
        <v>3380</v>
      </c>
      <c r="DM209">
        <v>17.04</v>
      </c>
      <c r="DN209">
        <v>326.10000000000002</v>
      </c>
      <c r="EL209">
        <v>0</v>
      </c>
      <c r="EM209" t="s">
        <v>1158</v>
      </c>
    </row>
    <row r="210" spans="1:143" x14ac:dyDescent="0.35">
      <c r="A210" t="s">
        <v>46</v>
      </c>
      <c r="B210" t="s">
        <v>1160</v>
      </c>
      <c r="C210" t="s">
        <v>116</v>
      </c>
      <c r="D210" t="s">
        <v>146</v>
      </c>
      <c r="G210" t="s">
        <v>3381</v>
      </c>
      <c r="J210" t="s">
        <v>3382</v>
      </c>
      <c r="K210" t="s">
        <v>3383</v>
      </c>
      <c r="L210" t="s">
        <v>1896</v>
      </c>
      <c r="M210" t="s">
        <v>3384</v>
      </c>
      <c r="N210" t="s">
        <v>1898</v>
      </c>
      <c r="R210" t="s">
        <v>119</v>
      </c>
      <c r="S210" t="s">
        <v>1161</v>
      </c>
      <c r="T210" t="s">
        <v>117</v>
      </c>
      <c r="Z210" t="s">
        <v>3385</v>
      </c>
      <c r="AA210" t="s">
        <v>3386</v>
      </c>
      <c r="AB210">
        <v>2</v>
      </c>
      <c r="AC210">
        <v>3</v>
      </c>
      <c r="AD210" t="s">
        <v>2221</v>
      </c>
      <c r="AE210">
        <v>2012</v>
      </c>
      <c r="AG210" t="s">
        <v>3093</v>
      </c>
      <c r="AH210" t="s">
        <v>1903</v>
      </c>
      <c r="AI210">
        <v>4800000</v>
      </c>
      <c r="AJ210">
        <v>0</v>
      </c>
      <c r="AL210">
        <v>0</v>
      </c>
      <c r="AV210" t="s">
        <v>1161</v>
      </c>
      <c r="AX210" t="s">
        <v>1164</v>
      </c>
      <c r="BA210" t="s">
        <v>1946</v>
      </c>
      <c r="BF210" t="s">
        <v>1906</v>
      </c>
      <c r="BG210" t="s">
        <v>1907</v>
      </c>
      <c r="BI210" t="s">
        <v>1161</v>
      </c>
      <c r="BM210" t="s">
        <v>3387</v>
      </c>
      <c r="BN210" t="s">
        <v>1162</v>
      </c>
      <c r="BO210" t="s">
        <v>1162</v>
      </c>
      <c r="BQ210" t="s">
        <v>3385</v>
      </c>
      <c r="BR210">
        <v>2</v>
      </c>
      <c r="BS210">
        <v>3</v>
      </c>
      <c r="BT210" t="s">
        <v>1164</v>
      </c>
      <c r="BU210" t="s">
        <v>1908</v>
      </c>
      <c r="BW210" t="s">
        <v>2128</v>
      </c>
      <c r="BX210" t="s">
        <v>1949</v>
      </c>
      <c r="BY210" t="s">
        <v>1911</v>
      </c>
      <c r="CB210" t="s">
        <v>2777</v>
      </c>
      <c r="CC210" t="s">
        <v>1961</v>
      </c>
      <c r="CD210" t="s">
        <v>1962</v>
      </c>
      <c r="CE210">
        <v>86.7</v>
      </c>
      <c r="CF210">
        <v>61.9</v>
      </c>
      <c r="CG210">
        <v>88</v>
      </c>
      <c r="CH210">
        <v>1011</v>
      </c>
      <c r="CI210">
        <v>44</v>
      </c>
      <c r="CJ210">
        <v>71.099999999999994</v>
      </c>
      <c r="CK210">
        <v>91.3</v>
      </c>
      <c r="CL210">
        <v>88</v>
      </c>
      <c r="CM210">
        <v>86.7</v>
      </c>
      <c r="CN210">
        <v>31680</v>
      </c>
      <c r="CO210">
        <v>12.3</v>
      </c>
      <c r="CP210">
        <v>295</v>
      </c>
      <c r="CQ210">
        <v>32</v>
      </c>
      <c r="CR210">
        <v>0</v>
      </c>
      <c r="CS210">
        <v>0</v>
      </c>
      <c r="CT210" t="s">
        <v>1915</v>
      </c>
      <c r="CU210">
        <v>125</v>
      </c>
      <c r="CV210">
        <v>106</v>
      </c>
      <c r="CW210">
        <v>0.8</v>
      </c>
      <c r="CX210">
        <v>0.7</v>
      </c>
      <c r="CY210">
        <v>6.6</v>
      </c>
      <c r="CZ210">
        <v>7.4</v>
      </c>
      <c r="DA210">
        <v>1</v>
      </c>
      <c r="DB210">
        <v>1</v>
      </c>
      <c r="DC210">
        <v>0</v>
      </c>
      <c r="DD210">
        <v>0</v>
      </c>
      <c r="DE210">
        <v>0</v>
      </c>
      <c r="DF210">
        <v>0</v>
      </c>
      <c r="DG210">
        <v>125.42</v>
      </c>
      <c r="DH210">
        <v>57.69</v>
      </c>
      <c r="DI210">
        <v>0</v>
      </c>
      <c r="DJ210" t="s">
        <v>3388</v>
      </c>
      <c r="DK210" t="s">
        <v>3389</v>
      </c>
      <c r="DL210" t="s">
        <v>2660</v>
      </c>
      <c r="DM210">
        <v>14.7</v>
      </c>
      <c r="DN210">
        <v>366.5</v>
      </c>
      <c r="EL210">
        <v>0</v>
      </c>
      <c r="EM210" t="s">
        <v>1163</v>
      </c>
    </row>
    <row r="211" spans="1:143" x14ac:dyDescent="0.35">
      <c r="A211" t="s">
        <v>46</v>
      </c>
      <c r="B211" t="s">
        <v>1165</v>
      </c>
      <c r="C211" t="s">
        <v>116</v>
      </c>
      <c r="D211" t="s">
        <v>146</v>
      </c>
      <c r="G211" t="s">
        <v>3390</v>
      </c>
      <c r="K211" t="s">
        <v>3372</v>
      </c>
      <c r="L211" t="s">
        <v>1896</v>
      </c>
      <c r="M211" t="s">
        <v>3373</v>
      </c>
      <c r="N211" t="s">
        <v>1898</v>
      </c>
      <c r="R211" t="s">
        <v>119</v>
      </c>
      <c r="S211" t="s">
        <v>1166</v>
      </c>
      <c r="T211" t="s">
        <v>117</v>
      </c>
      <c r="Z211" t="s">
        <v>3391</v>
      </c>
      <c r="AA211" t="s">
        <v>3392</v>
      </c>
      <c r="AB211">
        <v>4</v>
      </c>
      <c r="AC211">
        <v>6</v>
      </c>
      <c r="AD211" t="s">
        <v>2273</v>
      </c>
      <c r="AJ211">
        <v>0</v>
      </c>
      <c r="AL211">
        <v>0</v>
      </c>
      <c r="AV211" t="s">
        <v>1166</v>
      </c>
      <c r="AX211" t="s">
        <v>1169</v>
      </c>
      <c r="BA211" t="s">
        <v>2164</v>
      </c>
      <c r="BF211" t="s">
        <v>1906</v>
      </c>
      <c r="BG211" t="s">
        <v>1907</v>
      </c>
      <c r="BI211" t="s">
        <v>1166</v>
      </c>
      <c r="BM211" t="s">
        <v>3393</v>
      </c>
      <c r="BN211" t="s">
        <v>1167</v>
      </c>
      <c r="BO211" t="s">
        <v>1167</v>
      </c>
      <c r="BQ211" t="s">
        <v>3391</v>
      </c>
      <c r="BR211">
        <v>4</v>
      </c>
      <c r="BS211">
        <v>6</v>
      </c>
      <c r="BT211" t="s">
        <v>1169</v>
      </c>
      <c r="BU211" t="s">
        <v>1908</v>
      </c>
      <c r="BW211" t="s">
        <v>1934</v>
      </c>
      <c r="BX211" t="s">
        <v>1949</v>
      </c>
      <c r="BY211" t="s">
        <v>1911</v>
      </c>
      <c r="CB211" t="s">
        <v>2203</v>
      </c>
      <c r="CC211" t="s">
        <v>2141</v>
      </c>
      <c r="CD211" t="s">
        <v>2142</v>
      </c>
      <c r="CE211">
        <v>76.7</v>
      </c>
      <c r="CF211">
        <v>46.5</v>
      </c>
      <c r="CG211">
        <v>76.7</v>
      </c>
      <c r="CH211">
        <v>1009</v>
      </c>
      <c r="CI211">
        <v>34</v>
      </c>
      <c r="CJ211">
        <v>55.7</v>
      </c>
      <c r="CK211">
        <v>78.8</v>
      </c>
      <c r="CL211">
        <v>76.7</v>
      </c>
      <c r="CM211">
        <v>76.7</v>
      </c>
      <c r="CN211">
        <v>26400</v>
      </c>
      <c r="CO211">
        <v>9.4</v>
      </c>
      <c r="CP211">
        <v>289</v>
      </c>
      <c r="CQ211">
        <v>27</v>
      </c>
      <c r="CR211">
        <v>0</v>
      </c>
      <c r="CS211">
        <v>0</v>
      </c>
      <c r="CT211" t="s">
        <v>1915</v>
      </c>
      <c r="CU211">
        <v>105</v>
      </c>
      <c r="CV211">
        <v>85</v>
      </c>
      <c r="CW211">
        <v>0.5</v>
      </c>
      <c r="CX211">
        <v>0.4</v>
      </c>
      <c r="CY211">
        <v>2.4</v>
      </c>
      <c r="CZ211">
        <v>2.5</v>
      </c>
      <c r="DA211">
        <v>1</v>
      </c>
      <c r="DB211">
        <v>1</v>
      </c>
      <c r="DC211">
        <v>0</v>
      </c>
      <c r="DD211">
        <v>0</v>
      </c>
      <c r="DE211">
        <v>0</v>
      </c>
      <c r="DF211">
        <v>0</v>
      </c>
      <c r="DG211">
        <v>214.65</v>
      </c>
      <c r="DH211">
        <v>63.82</v>
      </c>
      <c r="DI211">
        <v>0</v>
      </c>
      <c r="DJ211" t="s">
        <v>3378</v>
      </c>
      <c r="DM211">
        <v>17.04</v>
      </c>
      <c r="DN211">
        <v>326.10000000000002</v>
      </c>
      <c r="EL211">
        <v>0</v>
      </c>
      <c r="EM211" t="s">
        <v>1168</v>
      </c>
    </row>
    <row r="212" spans="1:143" x14ac:dyDescent="0.35">
      <c r="A212" t="s">
        <v>46</v>
      </c>
      <c r="B212" t="s">
        <v>1170</v>
      </c>
      <c r="C212" t="s">
        <v>116</v>
      </c>
      <c r="D212" t="s">
        <v>146</v>
      </c>
      <c r="G212" t="s">
        <v>3394</v>
      </c>
      <c r="K212" t="s">
        <v>3383</v>
      </c>
      <c r="L212" t="s">
        <v>1896</v>
      </c>
      <c r="M212" t="s">
        <v>3384</v>
      </c>
      <c r="N212" t="s">
        <v>1898</v>
      </c>
      <c r="R212" t="s">
        <v>119</v>
      </c>
      <c r="S212" t="s">
        <v>1171</v>
      </c>
      <c r="T212" t="s">
        <v>117</v>
      </c>
      <c r="Z212" t="s">
        <v>3395</v>
      </c>
      <c r="AA212" t="s">
        <v>3396</v>
      </c>
      <c r="AB212">
        <v>3</v>
      </c>
      <c r="AC212">
        <v>5</v>
      </c>
      <c r="AJ212">
        <v>0</v>
      </c>
      <c r="AL212">
        <v>0</v>
      </c>
      <c r="AV212" t="s">
        <v>1171</v>
      </c>
      <c r="AX212" t="s">
        <v>1174</v>
      </c>
      <c r="BF212" t="s">
        <v>1906</v>
      </c>
      <c r="BG212" t="s">
        <v>2455</v>
      </c>
      <c r="BI212" t="s">
        <v>1171</v>
      </c>
      <c r="BK212" t="b">
        <v>0</v>
      </c>
      <c r="BM212" t="s">
        <v>3397</v>
      </c>
      <c r="BN212" t="s">
        <v>1172</v>
      </c>
      <c r="BO212" t="s">
        <v>1172</v>
      </c>
      <c r="BQ212" t="s">
        <v>3395</v>
      </c>
      <c r="BR212">
        <v>3</v>
      </c>
      <c r="BS212">
        <v>5</v>
      </c>
      <c r="BT212" t="s">
        <v>3398</v>
      </c>
      <c r="BU212" t="s">
        <v>1908</v>
      </c>
      <c r="BW212" t="s">
        <v>1934</v>
      </c>
      <c r="BX212" t="s">
        <v>1910</v>
      </c>
      <c r="BY212" t="s">
        <v>1911</v>
      </c>
      <c r="CB212" t="s">
        <v>3399</v>
      </c>
      <c r="CC212" t="s">
        <v>1996</v>
      </c>
      <c r="CD212" t="s">
        <v>1997</v>
      </c>
      <c r="CE212">
        <v>78.2</v>
      </c>
      <c r="CF212">
        <v>50.4</v>
      </c>
      <c r="CG212">
        <v>78.5</v>
      </c>
      <c r="CH212">
        <v>1014</v>
      </c>
      <c r="CI212">
        <v>41</v>
      </c>
      <c r="CJ212">
        <v>62.2</v>
      </c>
      <c r="CK212">
        <v>87.1</v>
      </c>
      <c r="CL212">
        <v>78.5</v>
      </c>
      <c r="CM212">
        <v>78.2</v>
      </c>
      <c r="CN212">
        <v>31680</v>
      </c>
      <c r="CO212">
        <v>8.3000000000000007</v>
      </c>
      <c r="CP212">
        <v>302</v>
      </c>
      <c r="CQ212">
        <v>0</v>
      </c>
      <c r="CR212">
        <v>0</v>
      </c>
      <c r="CS212">
        <v>0</v>
      </c>
      <c r="CT212" t="s">
        <v>1915</v>
      </c>
      <c r="CU212">
        <v>142</v>
      </c>
      <c r="CV212">
        <v>121</v>
      </c>
      <c r="CW212">
        <v>2</v>
      </c>
      <c r="CX212">
        <v>1.4</v>
      </c>
      <c r="CY212">
        <v>11.7</v>
      </c>
      <c r="CZ212">
        <v>11.7</v>
      </c>
      <c r="DA212">
        <v>1</v>
      </c>
      <c r="DB212">
        <v>1</v>
      </c>
      <c r="DC212">
        <v>0</v>
      </c>
      <c r="DD212">
        <v>0</v>
      </c>
      <c r="DE212">
        <v>0</v>
      </c>
      <c r="DF212">
        <v>30.34</v>
      </c>
      <c r="DG212">
        <v>35.770000000000003</v>
      </c>
      <c r="DH212">
        <v>3.66</v>
      </c>
      <c r="DI212">
        <v>0</v>
      </c>
      <c r="DJ212" t="s">
        <v>3400</v>
      </c>
      <c r="DM212">
        <v>2.97</v>
      </c>
      <c r="DN212">
        <v>1655.2</v>
      </c>
      <c r="EL212">
        <v>0</v>
      </c>
      <c r="EM212" t="s">
        <v>1173</v>
      </c>
    </row>
    <row r="213" spans="1:143" x14ac:dyDescent="0.35">
      <c r="A213" t="s">
        <v>46</v>
      </c>
      <c r="B213" t="s">
        <v>1175</v>
      </c>
      <c r="C213" t="s">
        <v>116</v>
      </c>
      <c r="D213" t="s">
        <v>146</v>
      </c>
      <c r="G213" t="s">
        <v>3401</v>
      </c>
      <c r="K213" t="s">
        <v>3383</v>
      </c>
      <c r="L213" t="s">
        <v>1896</v>
      </c>
      <c r="M213" t="s">
        <v>3384</v>
      </c>
      <c r="N213" t="s">
        <v>1898</v>
      </c>
      <c r="R213" t="s">
        <v>119</v>
      </c>
      <c r="S213" t="s">
        <v>1176</v>
      </c>
      <c r="T213" t="s">
        <v>117</v>
      </c>
      <c r="Z213" t="s">
        <v>3402</v>
      </c>
      <c r="AA213" t="s">
        <v>3403</v>
      </c>
      <c r="AB213">
        <v>5</v>
      </c>
      <c r="AC213">
        <v>7</v>
      </c>
      <c r="AJ213">
        <v>0</v>
      </c>
      <c r="AL213">
        <v>0</v>
      </c>
      <c r="AV213" t="s">
        <v>1176</v>
      </c>
      <c r="AX213" t="s">
        <v>1179</v>
      </c>
      <c r="BF213" t="s">
        <v>1906</v>
      </c>
      <c r="BG213" t="s">
        <v>1907</v>
      </c>
      <c r="BI213" t="s">
        <v>1176</v>
      </c>
      <c r="BM213" t="s">
        <v>3404</v>
      </c>
      <c r="BN213" t="s">
        <v>1177</v>
      </c>
      <c r="BO213" t="s">
        <v>1177</v>
      </c>
      <c r="BQ213" t="s">
        <v>3402</v>
      </c>
      <c r="BR213">
        <v>5</v>
      </c>
      <c r="BS213">
        <v>7</v>
      </c>
      <c r="BT213" t="s">
        <v>1179</v>
      </c>
      <c r="BU213" t="s">
        <v>1908</v>
      </c>
      <c r="BW213" t="s">
        <v>1948</v>
      </c>
      <c r="BX213" t="s">
        <v>1949</v>
      </c>
      <c r="BY213" t="s">
        <v>1970</v>
      </c>
      <c r="CB213" t="s">
        <v>3405</v>
      </c>
      <c r="CC213" t="s">
        <v>1996</v>
      </c>
      <c r="CD213" t="s">
        <v>1997</v>
      </c>
      <c r="CE213">
        <v>55.2</v>
      </c>
      <c r="CF213">
        <v>31.5</v>
      </c>
      <c r="CG213">
        <v>53.6</v>
      </c>
      <c r="CH213">
        <v>1024</v>
      </c>
      <c r="CI213">
        <v>40</v>
      </c>
      <c r="CJ213">
        <v>39</v>
      </c>
      <c r="CK213">
        <v>59.9</v>
      </c>
      <c r="CL213">
        <v>55.2</v>
      </c>
      <c r="CM213">
        <v>53.6</v>
      </c>
      <c r="CN213">
        <v>31680</v>
      </c>
      <c r="CO213">
        <v>6.7</v>
      </c>
      <c r="CP213">
        <v>66</v>
      </c>
      <c r="CQ213">
        <v>0</v>
      </c>
      <c r="CR213">
        <v>0</v>
      </c>
      <c r="CS213">
        <v>0</v>
      </c>
      <c r="CT213" t="s">
        <v>1915</v>
      </c>
      <c r="CU213">
        <v>170.8500061035156</v>
      </c>
      <c r="CV213">
        <v>66</v>
      </c>
      <c r="CW213">
        <v>10.05000019073486</v>
      </c>
      <c r="CX213">
        <v>3.3499999046325679</v>
      </c>
      <c r="CY213">
        <v>9.25</v>
      </c>
      <c r="CZ213">
        <v>12.25</v>
      </c>
      <c r="DA213">
        <v>1</v>
      </c>
      <c r="DB213">
        <v>1</v>
      </c>
      <c r="DC213">
        <v>0</v>
      </c>
      <c r="DD213">
        <v>0</v>
      </c>
      <c r="DE213">
        <v>164.84</v>
      </c>
      <c r="DF213">
        <v>225.21</v>
      </c>
      <c r="DG213">
        <v>0</v>
      </c>
      <c r="DH213">
        <v>0</v>
      </c>
      <c r="DI213">
        <v>0</v>
      </c>
      <c r="EL213">
        <v>0</v>
      </c>
      <c r="EM213" t="s">
        <v>1178</v>
      </c>
    </row>
    <row r="214" spans="1:143" x14ac:dyDescent="0.35">
      <c r="A214" t="s">
        <v>46</v>
      </c>
      <c r="B214" t="s">
        <v>1180</v>
      </c>
      <c r="C214" t="s">
        <v>116</v>
      </c>
      <c r="D214" t="s">
        <v>146</v>
      </c>
      <c r="G214" t="s">
        <v>2509</v>
      </c>
      <c r="K214" t="s">
        <v>3383</v>
      </c>
      <c r="L214" t="s">
        <v>1896</v>
      </c>
      <c r="M214" t="s">
        <v>3384</v>
      </c>
      <c r="N214" t="s">
        <v>1898</v>
      </c>
      <c r="R214" t="s">
        <v>119</v>
      </c>
      <c r="S214" t="s">
        <v>1181</v>
      </c>
      <c r="T214" t="s">
        <v>117</v>
      </c>
      <c r="Z214" t="s">
        <v>3406</v>
      </c>
      <c r="AA214" t="s">
        <v>3407</v>
      </c>
      <c r="AB214">
        <v>3</v>
      </c>
      <c r="AC214">
        <v>5</v>
      </c>
      <c r="AD214" t="s">
        <v>1926</v>
      </c>
      <c r="AF214" t="s">
        <v>3408</v>
      </c>
      <c r="AG214" t="s">
        <v>3055</v>
      </c>
      <c r="AH214" t="s">
        <v>1903</v>
      </c>
      <c r="AJ214">
        <v>0</v>
      </c>
      <c r="AL214">
        <v>0</v>
      </c>
      <c r="AV214" t="s">
        <v>1181</v>
      </c>
      <c r="AX214" t="s">
        <v>1184</v>
      </c>
      <c r="BA214" t="s">
        <v>1931</v>
      </c>
      <c r="BF214" t="s">
        <v>1906</v>
      </c>
      <c r="BG214" t="s">
        <v>1907</v>
      </c>
      <c r="BI214" t="s">
        <v>1181</v>
      </c>
      <c r="BM214" t="s">
        <v>3409</v>
      </c>
      <c r="BN214" t="s">
        <v>1182</v>
      </c>
      <c r="BO214" t="s">
        <v>1182</v>
      </c>
      <c r="BQ214" t="s">
        <v>3406</v>
      </c>
      <c r="BR214">
        <v>3</v>
      </c>
      <c r="BS214">
        <v>5</v>
      </c>
      <c r="BT214" t="s">
        <v>1184</v>
      </c>
      <c r="BU214" t="s">
        <v>1908</v>
      </c>
      <c r="BW214" t="s">
        <v>1934</v>
      </c>
      <c r="BX214" t="s">
        <v>1949</v>
      </c>
      <c r="BY214" t="s">
        <v>1911</v>
      </c>
      <c r="CB214" t="s">
        <v>3410</v>
      </c>
      <c r="CC214" t="s">
        <v>1961</v>
      </c>
      <c r="CD214" t="s">
        <v>1962</v>
      </c>
      <c r="CE214">
        <v>40.299999999999997</v>
      </c>
      <c r="CF214">
        <v>32</v>
      </c>
      <c r="CG214">
        <v>38.700000000000003</v>
      </c>
      <c r="CH214">
        <v>1020</v>
      </c>
      <c r="CI214">
        <v>73</v>
      </c>
      <c r="CJ214">
        <v>33.299999999999997</v>
      </c>
      <c r="CK214">
        <v>51.3</v>
      </c>
      <c r="CL214">
        <v>40.299999999999997</v>
      </c>
      <c r="CM214">
        <v>38.700000000000003</v>
      </c>
      <c r="CN214">
        <v>31680</v>
      </c>
      <c r="CO214">
        <v>2.5</v>
      </c>
      <c r="CP214">
        <v>159</v>
      </c>
      <c r="CQ214">
        <v>44</v>
      </c>
      <c r="CR214">
        <v>0</v>
      </c>
      <c r="CS214">
        <v>0</v>
      </c>
      <c r="CT214" t="s">
        <v>2415</v>
      </c>
      <c r="CU214">
        <v>215.8500061035156</v>
      </c>
      <c r="CV214">
        <v>57</v>
      </c>
      <c r="CW214">
        <v>17.14999961853027</v>
      </c>
      <c r="CX214">
        <v>2.8499999046325679</v>
      </c>
      <c r="CY214">
        <v>6.4499998092651367</v>
      </c>
      <c r="CZ214">
        <v>6.75</v>
      </c>
      <c r="DA214">
        <v>1</v>
      </c>
      <c r="DB214">
        <v>1</v>
      </c>
      <c r="DC214">
        <v>0</v>
      </c>
      <c r="DD214">
        <v>0</v>
      </c>
      <c r="DE214">
        <v>146.72999999999999</v>
      </c>
      <c r="DF214">
        <v>160.07</v>
      </c>
      <c r="DG214">
        <v>0</v>
      </c>
      <c r="DH214">
        <v>0</v>
      </c>
      <c r="DI214">
        <v>0</v>
      </c>
      <c r="DJ214" t="s">
        <v>3378</v>
      </c>
      <c r="DM214">
        <v>17.04</v>
      </c>
      <c r="DN214">
        <v>326.10000000000002</v>
      </c>
      <c r="EL214">
        <v>0</v>
      </c>
      <c r="EM214" t="s">
        <v>1183</v>
      </c>
    </row>
    <row r="215" spans="1:143" x14ac:dyDescent="0.35">
      <c r="A215" t="s">
        <v>46</v>
      </c>
      <c r="B215" t="s">
        <v>1185</v>
      </c>
      <c r="C215" t="s">
        <v>116</v>
      </c>
      <c r="D215" t="s">
        <v>146</v>
      </c>
      <c r="G215" t="s">
        <v>3411</v>
      </c>
      <c r="K215" t="s">
        <v>3383</v>
      </c>
      <c r="L215" t="s">
        <v>1896</v>
      </c>
      <c r="M215" t="s">
        <v>3384</v>
      </c>
      <c r="N215" t="s">
        <v>1898</v>
      </c>
      <c r="R215" t="s">
        <v>119</v>
      </c>
      <c r="S215" t="s">
        <v>1186</v>
      </c>
      <c r="T215" t="s">
        <v>117</v>
      </c>
      <c r="Z215" t="s">
        <v>3412</v>
      </c>
      <c r="AA215" t="s">
        <v>3413</v>
      </c>
      <c r="AB215">
        <v>2</v>
      </c>
      <c r="AC215">
        <v>3</v>
      </c>
      <c r="AD215" t="s">
        <v>2221</v>
      </c>
      <c r="AJ215">
        <v>0</v>
      </c>
      <c r="AL215">
        <v>0</v>
      </c>
      <c r="AV215" t="s">
        <v>1186</v>
      </c>
      <c r="AW215" t="s">
        <v>3414</v>
      </c>
      <c r="BA215" t="s">
        <v>1977</v>
      </c>
      <c r="BF215" t="s">
        <v>1906</v>
      </c>
      <c r="BG215" t="s">
        <v>1907</v>
      </c>
      <c r="BI215" t="s">
        <v>1186</v>
      </c>
      <c r="BM215" t="s">
        <v>3415</v>
      </c>
      <c r="BN215" t="s">
        <v>1187</v>
      </c>
      <c r="BO215" t="s">
        <v>1187</v>
      </c>
      <c r="BQ215" t="s">
        <v>3412</v>
      </c>
      <c r="BR215">
        <v>2</v>
      </c>
      <c r="BS215">
        <v>3</v>
      </c>
      <c r="BT215" t="s">
        <v>3416</v>
      </c>
      <c r="BU215" t="s">
        <v>1908</v>
      </c>
      <c r="BW215" t="s">
        <v>1948</v>
      </c>
      <c r="BX215" t="s">
        <v>1949</v>
      </c>
      <c r="BY215" t="s">
        <v>1970</v>
      </c>
      <c r="CA215" t="s">
        <v>2147</v>
      </c>
      <c r="CB215" t="s">
        <v>3417</v>
      </c>
      <c r="CC215" t="s">
        <v>2947</v>
      </c>
      <c r="CD215" t="s">
        <v>2948</v>
      </c>
      <c r="CE215">
        <v>56.7</v>
      </c>
      <c r="CF215">
        <v>52.2</v>
      </c>
      <c r="CG215">
        <v>55</v>
      </c>
      <c r="CH215">
        <v>1011</v>
      </c>
      <c r="CI215">
        <v>90</v>
      </c>
      <c r="CJ215">
        <v>53.6</v>
      </c>
      <c r="CK215">
        <v>69.8</v>
      </c>
      <c r="CL215">
        <v>57.4</v>
      </c>
      <c r="CM215">
        <v>55</v>
      </c>
      <c r="CN215">
        <v>31680</v>
      </c>
      <c r="CO215">
        <v>7.6</v>
      </c>
      <c r="CP215">
        <v>50</v>
      </c>
      <c r="CQ215">
        <v>99</v>
      </c>
      <c r="CR215">
        <v>0.05</v>
      </c>
      <c r="CS215">
        <v>0</v>
      </c>
      <c r="CT215" t="s">
        <v>1915</v>
      </c>
      <c r="CU215">
        <v>193.8500061035156</v>
      </c>
      <c r="CV215">
        <v>124</v>
      </c>
      <c r="CW215">
        <v>5.75</v>
      </c>
      <c r="CX215">
        <v>3.9500000476837158</v>
      </c>
      <c r="CY215">
        <v>9.6499996185302734</v>
      </c>
      <c r="CZ215">
        <v>10.14999961853027</v>
      </c>
      <c r="DA215">
        <v>1</v>
      </c>
      <c r="DB215">
        <v>1</v>
      </c>
      <c r="DC215">
        <v>0</v>
      </c>
      <c r="DD215">
        <v>0</v>
      </c>
      <c r="DE215">
        <v>160.72999999999999</v>
      </c>
      <c r="DF215">
        <v>245.12</v>
      </c>
      <c r="DG215">
        <v>0</v>
      </c>
      <c r="DH215">
        <v>0</v>
      </c>
      <c r="DI215">
        <v>0</v>
      </c>
      <c r="DJ215" t="s">
        <v>3388</v>
      </c>
      <c r="DM215">
        <v>14.7</v>
      </c>
      <c r="DN215">
        <v>366.5</v>
      </c>
      <c r="EL215">
        <v>0</v>
      </c>
      <c r="EM215" t="s">
        <v>1188</v>
      </c>
    </row>
    <row r="216" spans="1:143" x14ac:dyDescent="0.35">
      <c r="A216" t="s">
        <v>46</v>
      </c>
      <c r="B216" t="s">
        <v>1189</v>
      </c>
      <c r="C216" t="s">
        <v>116</v>
      </c>
      <c r="D216" t="s">
        <v>146</v>
      </c>
      <c r="G216" t="s">
        <v>3411</v>
      </c>
      <c r="K216" t="s">
        <v>3383</v>
      </c>
      <c r="L216" t="s">
        <v>1896</v>
      </c>
      <c r="M216" t="s">
        <v>3384</v>
      </c>
      <c r="N216" t="s">
        <v>1898</v>
      </c>
      <c r="R216" t="s">
        <v>119</v>
      </c>
      <c r="S216" t="s">
        <v>1190</v>
      </c>
      <c r="T216" t="s">
        <v>117</v>
      </c>
      <c r="Z216" t="s">
        <v>3418</v>
      </c>
      <c r="AA216" t="s">
        <v>3419</v>
      </c>
      <c r="AB216">
        <v>3</v>
      </c>
      <c r="AC216">
        <v>5</v>
      </c>
      <c r="AD216" t="s">
        <v>1926</v>
      </c>
      <c r="AJ216">
        <v>0</v>
      </c>
      <c r="AL216">
        <v>0</v>
      </c>
      <c r="AV216" t="s">
        <v>1190</v>
      </c>
      <c r="AW216" t="s">
        <v>3420</v>
      </c>
      <c r="BA216" t="s">
        <v>1977</v>
      </c>
      <c r="BI216" t="s">
        <v>1190</v>
      </c>
      <c r="BM216" t="s">
        <v>3421</v>
      </c>
      <c r="BN216" t="s">
        <v>1191</v>
      </c>
      <c r="BO216" t="s">
        <v>1191</v>
      </c>
      <c r="BQ216" t="s">
        <v>3418</v>
      </c>
      <c r="BR216">
        <v>3</v>
      </c>
      <c r="BS216">
        <v>5</v>
      </c>
      <c r="BT216" t="s">
        <v>3422</v>
      </c>
      <c r="BU216" t="s">
        <v>1908</v>
      </c>
      <c r="BV216">
        <v>0.1</v>
      </c>
      <c r="BW216" t="s">
        <v>1948</v>
      </c>
      <c r="BX216" t="s">
        <v>1949</v>
      </c>
      <c r="BY216" t="s">
        <v>1911</v>
      </c>
      <c r="CB216" t="s">
        <v>3423</v>
      </c>
      <c r="CC216" t="s">
        <v>1996</v>
      </c>
      <c r="CD216" t="s">
        <v>1997</v>
      </c>
      <c r="CE216">
        <v>45</v>
      </c>
      <c r="CF216">
        <v>15.3</v>
      </c>
      <c r="CG216">
        <v>43.5</v>
      </c>
      <c r="CH216">
        <v>1038</v>
      </c>
      <c r="CI216">
        <v>28</v>
      </c>
      <c r="CJ216">
        <v>26.8</v>
      </c>
      <c r="CK216">
        <v>46.2</v>
      </c>
      <c r="CL216">
        <v>45</v>
      </c>
      <c r="CM216">
        <v>43.5</v>
      </c>
      <c r="CN216">
        <v>31680</v>
      </c>
      <c r="CO216">
        <v>2</v>
      </c>
      <c r="CP216">
        <v>168</v>
      </c>
      <c r="CQ216">
        <v>0</v>
      </c>
      <c r="CR216">
        <v>0</v>
      </c>
      <c r="CS216">
        <v>0</v>
      </c>
      <c r="CT216" t="s">
        <v>1915</v>
      </c>
      <c r="DJ216" t="s">
        <v>3388</v>
      </c>
      <c r="DM216">
        <v>14.7</v>
      </c>
      <c r="DN216">
        <v>366.5</v>
      </c>
      <c r="EL216">
        <v>0</v>
      </c>
      <c r="EM216" t="s">
        <v>1192</v>
      </c>
    </row>
    <row r="217" spans="1:143" x14ac:dyDescent="0.35">
      <c r="A217" t="s">
        <v>48</v>
      </c>
      <c r="B217" t="s">
        <v>1193</v>
      </c>
      <c r="C217" t="s">
        <v>116</v>
      </c>
      <c r="D217" t="s">
        <v>146</v>
      </c>
      <c r="K217" t="s">
        <v>3424</v>
      </c>
      <c r="L217" t="s">
        <v>1896</v>
      </c>
      <c r="M217" t="s">
        <v>3425</v>
      </c>
      <c r="N217" t="s">
        <v>1898</v>
      </c>
      <c r="R217" t="s">
        <v>119</v>
      </c>
      <c r="S217" t="s">
        <v>1194</v>
      </c>
      <c r="T217" t="s">
        <v>117</v>
      </c>
      <c r="Z217" t="s">
        <v>3426</v>
      </c>
      <c r="AB217">
        <v>2</v>
      </c>
      <c r="AC217">
        <v>1</v>
      </c>
      <c r="AD217" t="s">
        <v>2221</v>
      </c>
      <c r="AE217">
        <v>1972</v>
      </c>
      <c r="AF217" t="s">
        <v>3354</v>
      </c>
      <c r="AG217" t="s">
        <v>1928</v>
      </c>
      <c r="AH217" t="s">
        <v>1929</v>
      </c>
      <c r="AI217">
        <v>55400</v>
      </c>
      <c r="AJ217">
        <v>0</v>
      </c>
      <c r="AL217">
        <v>0</v>
      </c>
      <c r="AS217" t="b">
        <v>0</v>
      </c>
      <c r="AV217" t="s">
        <v>1194</v>
      </c>
      <c r="AW217" t="s">
        <v>3427</v>
      </c>
      <c r="AX217" t="s">
        <v>1197</v>
      </c>
      <c r="BF217" t="s">
        <v>1906</v>
      </c>
      <c r="BG217" t="s">
        <v>1907</v>
      </c>
      <c r="BI217" t="s">
        <v>1194</v>
      </c>
      <c r="BL217" t="s">
        <v>3428</v>
      </c>
      <c r="BM217" t="s">
        <v>1195</v>
      </c>
      <c r="BN217" t="s">
        <v>1195</v>
      </c>
      <c r="BO217" t="s">
        <v>1195</v>
      </c>
      <c r="BQ217" t="s">
        <v>3426</v>
      </c>
      <c r="BR217">
        <v>2</v>
      </c>
      <c r="BS217">
        <v>1</v>
      </c>
      <c r="BU217" t="s">
        <v>1908</v>
      </c>
      <c r="BW217" t="s">
        <v>1909</v>
      </c>
      <c r="BX217" t="s">
        <v>1949</v>
      </c>
      <c r="BY217" t="s">
        <v>1911</v>
      </c>
      <c r="BZ217" t="s">
        <v>1995</v>
      </c>
      <c r="CB217" t="s">
        <v>3429</v>
      </c>
      <c r="CC217" t="s">
        <v>1938</v>
      </c>
      <c r="CD217" t="s">
        <v>1939</v>
      </c>
      <c r="CE217">
        <v>77</v>
      </c>
      <c r="CF217">
        <v>54.8</v>
      </c>
      <c r="CG217">
        <v>78.599999999999994</v>
      </c>
      <c r="CH217">
        <v>1023</v>
      </c>
      <c r="CI217">
        <v>51</v>
      </c>
      <c r="CJ217">
        <v>53.7</v>
      </c>
      <c r="CK217">
        <v>83.3</v>
      </c>
      <c r="CL217">
        <v>78.599999999999994</v>
      </c>
      <c r="CM217">
        <v>77</v>
      </c>
      <c r="CN217">
        <v>31680</v>
      </c>
      <c r="CO217">
        <v>7.2</v>
      </c>
      <c r="CP217">
        <v>164</v>
      </c>
      <c r="CQ217">
        <v>66</v>
      </c>
      <c r="CR217">
        <v>0</v>
      </c>
      <c r="CS217">
        <v>0</v>
      </c>
      <c r="CT217" t="s">
        <v>1915</v>
      </c>
      <c r="CU217">
        <v>128.8500061035156</v>
      </c>
      <c r="CV217">
        <v>105</v>
      </c>
      <c r="CW217">
        <v>1.8500000238418579</v>
      </c>
      <c r="CX217">
        <v>1.3500000238418579</v>
      </c>
      <c r="CY217">
        <v>5.75</v>
      </c>
      <c r="CZ217">
        <v>6.0500001907348633</v>
      </c>
      <c r="DA217">
        <v>1</v>
      </c>
      <c r="DB217">
        <v>1</v>
      </c>
      <c r="DC217">
        <v>0</v>
      </c>
      <c r="DD217">
        <v>0</v>
      </c>
      <c r="DE217">
        <v>62.8</v>
      </c>
      <c r="DF217">
        <v>477.57</v>
      </c>
      <c r="DG217">
        <v>0.49</v>
      </c>
      <c r="DH217">
        <v>0</v>
      </c>
      <c r="DI217">
        <v>0</v>
      </c>
      <c r="DJ217" t="s">
        <v>3430</v>
      </c>
      <c r="DK217" t="s">
        <v>3431</v>
      </c>
      <c r="DL217" t="s">
        <v>3432</v>
      </c>
      <c r="DM217">
        <v>24.64</v>
      </c>
      <c r="DN217">
        <v>70</v>
      </c>
      <c r="EL217">
        <v>0</v>
      </c>
      <c r="EM217" t="s">
        <v>1196</v>
      </c>
    </row>
    <row r="218" spans="1:143" x14ac:dyDescent="0.35">
      <c r="A218" t="s">
        <v>48</v>
      </c>
      <c r="B218" t="s">
        <v>1198</v>
      </c>
      <c r="C218" t="s">
        <v>116</v>
      </c>
      <c r="D218" t="s">
        <v>146</v>
      </c>
      <c r="K218" t="s">
        <v>3433</v>
      </c>
      <c r="L218" t="s">
        <v>1896</v>
      </c>
      <c r="M218" t="s">
        <v>3434</v>
      </c>
      <c r="N218" t="s">
        <v>1898</v>
      </c>
      <c r="R218" t="s">
        <v>119</v>
      </c>
      <c r="S218" t="s">
        <v>1199</v>
      </c>
      <c r="T218" t="s">
        <v>117</v>
      </c>
      <c r="Z218" t="s">
        <v>3435</v>
      </c>
      <c r="AB218">
        <v>2</v>
      </c>
      <c r="AC218">
        <v>2</v>
      </c>
      <c r="AD218" t="s">
        <v>2221</v>
      </c>
      <c r="AG218" t="s">
        <v>3436</v>
      </c>
      <c r="AH218" t="s">
        <v>1929</v>
      </c>
      <c r="AI218">
        <v>118000</v>
      </c>
      <c r="AJ218">
        <v>0</v>
      </c>
      <c r="AL218">
        <v>0</v>
      </c>
      <c r="AV218" t="s">
        <v>1199</v>
      </c>
      <c r="AW218" t="s">
        <v>3437</v>
      </c>
      <c r="AX218" t="s">
        <v>1201</v>
      </c>
      <c r="AY218" t="b">
        <v>1</v>
      </c>
      <c r="BA218" t="s">
        <v>2137</v>
      </c>
      <c r="BF218" t="s">
        <v>1906</v>
      </c>
      <c r="BG218" t="s">
        <v>3438</v>
      </c>
      <c r="BI218" t="s">
        <v>1199</v>
      </c>
      <c r="BL218" t="s">
        <v>3439</v>
      </c>
      <c r="BM218" t="s">
        <v>1195</v>
      </c>
      <c r="BN218" t="s">
        <v>1195</v>
      </c>
      <c r="BO218" t="s">
        <v>1195</v>
      </c>
      <c r="BQ218" t="s">
        <v>3435</v>
      </c>
      <c r="BR218">
        <v>2</v>
      </c>
      <c r="BS218">
        <v>2</v>
      </c>
      <c r="BU218" t="s">
        <v>1908</v>
      </c>
      <c r="BW218" t="s">
        <v>2093</v>
      </c>
      <c r="BX218" t="s">
        <v>1949</v>
      </c>
      <c r="BY218" t="s">
        <v>1911</v>
      </c>
      <c r="BZ218" t="s">
        <v>1995</v>
      </c>
      <c r="CA218" t="s">
        <v>1950</v>
      </c>
      <c r="CB218" t="s">
        <v>3429</v>
      </c>
      <c r="CC218" t="s">
        <v>1972</v>
      </c>
      <c r="CD218" t="s">
        <v>1973</v>
      </c>
      <c r="CE218">
        <v>71.2</v>
      </c>
      <c r="CF218">
        <v>52</v>
      </c>
      <c r="CG218">
        <v>71.2</v>
      </c>
      <c r="CH218">
        <v>1024</v>
      </c>
      <c r="CI218">
        <v>59</v>
      </c>
      <c r="CJ218">
        <v>55.8</v>
      </c>
      <c r="CK218">
        <v>80.7</v>
      </c>
      <c r="CL218">
        <v>76.099999999999994</v>
      </c>
      <c r="CM218">
        <v>71.2</v>
      </c>
      <c r="CN218">
        <v>31680</v>
      </c>
      <c r="CO218">
        <v>5.8</v>
      </c>
      <c r="CP218">
        <v>148</v>
      </c>
      <c r="CQ218">
        <v>86</v>
      </c>
      <c r="CR218">
        <v>0</v>
      </c>
      <c r="CS218">
        <v>0</v>
      </c>
      <c r="CT218" t="s">
        <v>1915</v>
      </c>
      <c r="CU218">
        <v>132.8500061035156</v>
      </c>
      <c r="CV218">
        <v>94</v>
      </c>
      <c r="CW218">
        <v>1.450000047683716</v>
      </c>
      <c r="CX218">
        <v>1.25</v>
      </c>
      <c r="CY218">
        <v>3.75</v>
      </c>
      <c r="CZ218">
        <v>4.0500001907348633</v>
      </c>
      <c r="DA218">
        <v>1</v>
      </c>
      <c r="DB218">
        <v>1</v>
      </c>
      <c r="DC218">
        <v>0</v>
      </c>
      <c r="DD218">
        <v>0</v>
      </c>
      <c r="DE218">
        <v>65.010000000000005</v>
      </c>
      <c r="DF218">
        <v>25.14</v>
      </c>
      <c r="DG218">
        <v>0.33</v>
      </c>
      <c r="DH218">
        <v>0</v>
      </c>
      <c r="DI218">
        <v>0</v>
      </c>
      <c r="DJ218" t="s">
        <v>3440</v>
      </c>
      <c r="DM218">
        <v>16.53</v>
      </c>
      <c r="DN218">
        <v>269.89999999999998</v>
      </c>
      <c r="EL218">
        <v>0</v>
      </c>
      <c r="EM218" t="s">
        <v>1200</v>
      </c>
    </row>
    <row r="219" spans="1:143" x14ac:dyDescent="0.35">
      <c r="A219" t="s">
        <v>50</v>
      </c>
      <c r="B219" t="s">
        <v>1202</v>
      </c>
      <c r="C219" t="s">
        <v>116</v>
      </c>
      <c r="D219" t="s">
        <v>120</v>
      </c>
      <c r="G219" t="s">
        <v>3441</v>
      </c>
      <c r="L219" t="s">
        <v>1896</v>
      </c>
      <c r="M219" t="s">
        <v>3366</v>
      </c>
      <c r="R219" t="s">
        <v>119</v>
      </c>
      <c r="S219" t="s">
        <v>1203</v>
      </c>
      <c r="T219" t="s">
        <v>117</v>
      </c>
      <c r="V219" t="s">
        <v>3442</v>
      </c>
      <c r="W219" t="s">
        <v>1923</v>
      </c>
      <c r="X219" t="s">
        <v>44</v>
      </c>
      <c r="Y219" t="s">
        <v>2136</v>
      </c>
      <c r="Z219" t="s">
        <v>3443</v>
      </c>
      <c r="AA219" t="s">
        <v>3444</v>
      </c>
      <c r="AB219">
        <v>1</v>
      </c>
      <c r="AC219">
        <v>1</v>
      </c>
      <c r="AD219" t="s">
        <v>1966</v>
      </c>
      <c r="AE219">
        <v>2010</v>
      </c>
      <c r="AF219" t="s">
        <v>3445</v>
      </c>
      <c r="AG219" t="s">
        <v>2369</v>
      </c>
      <c r="AH219" t="s">
        <v>1903</v>
      </c>
      <c r="AI219">
        <v>242300</v>
      </c>
      <c r="AJ219">
        <v>0</v>
      </c>
      <c r="AL219">
        <v>0</v>
      </c>
      <c r="AS219" t="b">
        <v>0</v>
      </c>
      <c r="AV219" t="s">
        <v>1203</v>
      </c>
      <c r="AX219" t="s">
        <v>1206</v>
      </c>
      <c r="BD219" t="s">
        <v>3446</v>
      </c>
      <c r="BF219" t="s">
        <v>1906</v>
      </c>
      <c r="BG219" t="s">
        <v>2183</v>
      </c>
      <c r="BI219" t="s">
        <v>1203</v>
      </c>
      <c r="BL219" t="s">
        <v>3447</v>
      </c>
      <c r="BM219" t="s">
        <v>3448</v>
      </c>
      <c r="BN219" t="s">
        <v>3449</v>
      </c>
      <c r="BO219" t="s">
        <v>1204</v>
      </c>
      <c r="BP219" t="s">
        <v>3450</v>
      </c>
      <c r="BQ219" t="s">
        <v>3443</v>
      </c>
      <c r="BR219">
        <v>1</v>
      </c>
      <c r="BS219">
        <v>1</v>
      </c>
      <c r="CB219" t="s">
        <v>3451</v>
      </c>
      <c r="CC219" t="s">
        <v>1996</v>
      </c>
      <c r="CD219" t="s">
        <v>1997</v>
      </c>
      <c r="CE219">
        <v>84.7</v>
      </c>
      <c r="CF219">
        <v>57</v>
      </c>
      <c r="CG219">
        <v>83.9</v>
      </c>
      <c r="CH219">
        <v>1009</v>
      </c>
      <c r="CI219">
        <v>37</v>
      </c>
      <c r="CJ219">
        <v>52.9</v>
      </c>
      <c r="CK219">
        <v>86.3</v>
      </c>
      <c r="CL219">
        <v>83.9</v>
      </c>
      <c r="CM219">
        <v>84.7</v>
      </c>
      <c r="CN219">
        <v>31680</v>
      </c>
      <c r="CO219">
        <v>1.8</v>
      </c>
      <c r="CP219">
        <v>247</v>
      </c>
      <c r="CQ219">
        <v>0</v>
      </c>
      <c r="CR219">
        <v>0</v>
      </c>
      <c r="CS219">
        <v>0</v>
      </c>
      <c r="CT219" t="s">
        <v>1915</v>
      </c>
      <c r="CU219">
        <v>124</v>
      </c>
      <c r="CV219">
        <v>141</v>
      </c>
      <c r="CW219">
        <v>2.5</v>
      </c>
      <c r="CX219">
        <v>1</v>
      </c>
      <c r="CY219">
        <v>8.4</v>
      </c>
      <c r="CZ219">
        <v>9.3000000000000007</v>
      </c>
      <c r="DA219">
        <v>1</v>
      </c>
      <c r="DB219">
        <v>1</v>
      </c>
      <c r="DC219">
        <v>0</v>
      </c>
      <c r="DD219">
        <v>0</v>
      </c>
      <c r="DE219">
        <v>0</v>
      </c>
      <c r="DF219">
        <v>0</v>
      </c>
      <c r="DG219">
        <v>121.86</v>
      </c>
      <c r="DH219">
        <v>120.66</v>
      </c>
      <c r="DI219">
        <v>0</v>
      </c>
      <c r="DJ219" t="s">
        <v>3452</v>
      </c>
      <c r="DK219" t="s">
        <v>3453</v>
      </c>
      <c r="DL219" t="s">
        <v>2649</v>
      </c>
      <c r="DM219">
        <v>5.35</v>
      </c>
      <c r="DN219">
        <v>1124.7</v>
      </c>
      <c r="EL219">
        <v>0</v>
      </c>
      <c r="EM219" t="s">
        <v>1205</v>
      </c>
    </row>
    <row r="220" spans="1:143" x14ac:dyDescent="0.35">
      <c r="A220" t="s">
        <v>50</v>
      </c>
      <c r="B220" t="s">
        <v>1207</v>
      </c>
      <c r="C220" t="s">
        <v>116</v>
      </c>
      <c r="D220" t="s">
        <v>120</v>
      </c>
      <c r="E220">
        <v>18</v>
      </c>
      <c r="G220" t="s">
        <v>3454</v>
      </c>
      <c r="L220" t="s">
        <v>1896</v>
      </c>
      <c r="M220" t="s">
        <v>3455</v>
      </c>
      <c r="N220" t="s">
        <v>1898</v>
      </c>
      <c r="R220" t="s">
        <v>119</v>
      </c>
      <c r="S220" t="s">
        <v>1208</v>
      </c>
      <c r="T220" t="s">
        <v>117</v>
      </c>
      <c r="Y220" t="s">
        <v>2136</v>
      </c>
      <c r="Z220" t="s">
        <v>3456</v>
      </c>
      <c r="AA220" t="s">
        <v>3457</v>
      </c>
      <c r="AB220">
        <v>2</v>
      </c>
      <c r="AC220">
        <v>5</v>
      </c>
      <c r="AE220">
        <v>2009</v>
      </c>
      <c r="AF220" t="s">
        <v>3458</v>
      </c>
      <c r="AG220" t="s">
        <v>3459</v>
      </c>
      <c r="AH220" t="s">
        <v>1903</v>
      </c>
      <c r="AI220">
        <v>617600</v>
      </c>
      <c r="AJ220">
        <v>0</v>
      </c>
      <c r="AL220">
        <v>0</v>
      </c>
      <c r="AS220" t="b">
        <v>0</v>
      </c>
      <c r="AV220" t="s">
        <v>1208</v>
      </c>
      <c r="AX220" t="s">
        <v>1211</v>
      </c>
      <c r="BD220" t="s">
        <v>3460</v>
      </c>
      <c r="BF220" t="s">
        <v>1906</v>
      </c>
      <c r="BG220" t="s">
        <v>2183</v>
      </c>
      <c r="BI220" t="s">
        <v>1208</v>
      </c>
      <c r="BL220" t="s">
        <v>3461</v>
      </c>
      <c r="BM220" t="s">
        <v>1209</v>
      </c>
      <c r="BN220" t="s">
        <v>1209</v>
      </c>
      <c r="BO220" t="s">
        <v>1209</v>
      </c>
      <c r="BP220" t="s">
        <v>3462</v>
      </c>
      <c r="BQ220" t="s">
        <v>3456</v>
      </c>
      <c r="BR220">
        <v>2</v>
      </c>
      <c r="BS220">
        <v>5</v>
      </c>
      <c r="BU220" t="s">
        <v>1908</v>
      </c>
      <c r="BV220">
        <v>0</v>
      </c>
      <c r="BW220" t="s">
        <v>1934</v>
      </c>
      <c r="BX220" t="s">
        <v>1949</v>
      </c>
      <c r="BY220" t="s">
        <v>2157</v>
      </c>
      <c r="BZ220" t="s">
        <v>1910</v>
      </c>
      <c r="CB220" t="s">
        <v>3463</v>
      </c>
      <c r="CC220" t="s">
        <v>1996</v>
      </c>
      <c r="CD220" t="s">
        <v>2414</v>
      </c>
      <c r="CE220">
        <v>79.7</v>
      </c>
      <c r="CF220">
        <v>65.3</v>
      </c>
      <c r="CG220">
        <v>82.1</v>
      </c>
      <c r="CH220">
        <v>1009</v>
      </c>
      <c r="CI220">
        <v>62</v>
      </c>
      <c r="CJ220">
        <v>68.400000000000006</v>
      </c>
      <c r="CK220">
        <v>91</v>
      </c>
      <c r="CL220">
        <v>82.1</v>
      </c>
      <c r="CM220">
        <v>79.7</v>
      </c>
      <c r="CN220">
        <v>31680</v>
      </c>
      <c r="CO220">
        <v>8.3000000000000007</v>
      </c>
      <c r="CP220">
        <v>262</v>
      </c>
      <c r="CQ220">
        <v>0</v>
      </c>
      <c r="CR220">
        <v>0</v>
      </c>
      <c r="CS220">
        <v>0</v>
      </c>
      <c r="CT220" t="s">
        <v>2415</v>
      </c>
      <c r="CU220">
        <v>146</v>
      </c>
      <c r="CV220">
        <v>115</v>
      </c>
      <c r="CW220">
        <v>5.3</v>
      </c>
      <c r="CX220">
        <v>1.3</v>
      </c>
      <c r="CY220">
        <v>17.7</v>
      </c>
      <c r="CZ220">
        <v>18.3</v>
      </c>
      <c r="DA220">
        <v>2</v>
      </c>
      <c r="DB220">
        <v>2</v>
      </c>
      <c r="DC220">
        <v>0</v>
      </c>
      <c r="DD220">
        <v>0</v>
      </c>
      <c r="DE220">
        <v>0</v>
      </c>
      <c r="DF220">
        <v>0</v>
      </c>
      <c r="DG220">
        <v>170.98</v>
      </c>
      <c r="DH220">
        <v>77.650000000000006</v>
      </c>
      <c r="DI220">
        <v>0</v>
      </c>
      <c r="DJ220" t="s">
        <v>3464</v>
      </c>
      <c r="DK220" t="s">
        <v>3465</v>
      </c>
      <c r="DL220" t="s">
        <v>3466</v>
      </c>
      <c r="DM220">
        <v>17.989999999999998</v>
      </c>
      <c r="DN220">
        <v>346.2</v>
      </c>
      <c r="EL220">
        <v>0</v>
      </c>
      <c r="EM220" t="s">
        <v>1210</v>
      </c>
    </row>
    <row r="221" spans="1:143" x14ac:dyDescent="0.35">
      <c r="A221" t="s">
        <v>50</v>
      </c>
      <c r="B221" t="s">
        <v>1212</v>
      </c>
      <c r="C221" t="s">
        <v>116</v>
      </c>
      <c r="D221" t="s">
        <v>120</v>
      </c>
      <c r="G221" t="s">
        <v>3467</v>
      </c>
      <c r="L221" t="s">
        <v>1896</v>
      </c>
      <c r="M221" t="s">
        <v>2151</v>
      </c>
      <c r="R221" t="s">
        <v>119</v>
      </c>
      <c r="S221" t="s">
        <v>1213</v>
      </c>
      <c r="T221" t="s">
        <v>117</v>
      </c>
      <c r="V221" t="s">
        <v>2014</v>
      </c>
      <c r="W221" t="s">
        <v>1923</v>
      </c>
      <c r="X221" t="s">
        <v>2135</v>
      </c>
      <c r="Z221" t="s">
        <v>3468</v>
      </c>
      <c r="AA221" t="s">
        <v>3469</v>
      </c>
      <c r="AB221">
        <v>2</v>
      </c>
      <c r="AC221">
        <v>3</v>
      </c>
      <c r="AD221" t="s">
        <v>2221</v>
      </c>
      <c r="AE221">
        <v>2000</v>
      </c>
      <c r="AG221" t="s">
        <v>2234</v>
      </c>
      <c r="AH221" t="s">
        <v>1903</v>
      </c>
      <c r="AI221">
        <v>4746100</v>
      </c>
      <c r="AJ221">
        <v>0</v>
      </c>
      <c r="AL221">
        <v>0</v>
      </c>
      <c r="AS221" t="b">
        <v>0</v>
      </c>
      <c r="AV221" t="s">
        <v>1213</v>
      </c>
      <c r="AX221" t="s">
        <v>1216</v>
      </c>
      <c r="BD221" t="s">
        <v>3470</v>
      </c>
      <c r="BF221" t="s">
        <v>1906</v>
      </c>
      <c r="BG221" t="s">
        <v>3471</v>
      </c>
      <c r="BI221" t="s">
        <v>1213</v>
      </c>
      <c r="BL221" t="s">
        <v>3472</v>
      </c>
      <c r="BM221" t="s">
        <v>1214</v>
      </c>
      <c r="BN221" t="s">
        <v>1214</v>
      </c>
      <c r="BO221" t="s">
        <v>1214</v>
      </c>
      <c r="BP221" t="s">
        <v>3473</v>
      </c>
      <c r="BQ221" t="s">
        <v>3468</v>
      </c>
      <c r="BR221">
        <v>2</v>
      </c>
      <c r="BS221">
        <v>3</v>
      </c>
      <c r="CB221" t="s">
        <v>2158</v>
      </c>
      <c r="CC221" t="s">
        <v>1972</v>
      </c>
      <c r="CD221" t="s">
        <v>1973</v>
      </c>
      <c r="CE221">
        <v>56.8</v>
      </c>
      <c r="CF221">
        <v>53.2</v>
      </c>
      <c r="CG221">
        <v>55.2</v>
      </c>
      <c r="CH221">
        <v>1017</v>
      </c>
      <c r="CI221">
        <v>84</v>
      </c>
      <c r="CJ221">
        <v>46.2</v>
      </c>
      <c r="CK221">
        <v>58.7</v>
      </c>
      <c r="CL221">
        <v>56.8</v>
      </c>
      <c r="CM221">
        <v>55.2</v>
      </c>
      <c r="CN221">
        <v>26400</v>
      </c>
      <c r="CO221">
        <v>7.6</v>
      </c>
      <c r="CP221">
        <v>35</v>
      </c>
      <c r="CQ221">
        <v>100</v>
      </c>
      <c r="CR221">
        <v>0</v>
      </c>
      <c r="CS221">
        <v>0</v>
      </c>
      <c r="CT221" t="s">
        <v>1915</v>
      </c>
      <c r="CU221">
        <v>116</v>
      </c>
      <c r="CV221">
        <v>88</v>
      </c>
      <c r="CW221">
        <v>1.6</v>
      </c>
      <c r="CX221">
        <v>0.6</v>
      </c>
      <c r="CY221">
        <v>6.9</v>
      </c>
      <c r="CZ221">
        <v>9.9</v>
      </c>
      <c r="DA221">
        <v>1</v>
      </c>
      <c r="DB221">
        <v>1</v>
      </c>
      <c r="DC221">
        <v>0</v>
      </c>
      <c r="DD221">
        <v>0</v>
      </c>
      <c r="DE221">
        <v>0</v>
      </c>
      <c r="DF221">
        <v>31.04</v>
      </c>
      <c r="DG221">
        <v>32.520000000000003</v>
      </c>
      <c r="DH221">
        <v>1.7</v>
      </c>
      <c r="DI221">
        <v>0</v>
      </c>
      <c r="DJ221" t="s">
        <v>3474</v>
      </c>
      <c r="DK221" t="s">
        <v>3475</v>
      </c>
      <c r="DL221" t="s">
        <v>2037</v>
      </c>
      <c r="DM221">
        <v>4.8600000000000003</v>
      </c>
      <c r="DN221">
        <v>980</v>
      </c>
      <c r="EL221">
        <v>0</v>
      </c>
      <c r="EM221" t="s">
        <v>1215</v>
      </c>
    </row>
    <row r="222" spans="1:143" x14ac:dyDescent="0.35">
      <c r="A222" t="s">
        <v>50</v>
      </c>
      <c r="B222" t="s">
        <v>1217</v>
      </c>
      <c r="C222" t="s">
        <v>116</v>
      </c>
      <c r="D222" t="s">
        <v>120</v>
      </c>
      <c r="G222" t="s">
        <v>3476</v>
      </c>
      <c r="L222" t="s">
        <v>1896</v>
      </c>
      <c r="M222" t="s">
        <v>3477</v>
      </c>
      <c r="R222" t="s">
        <v>119</v>
      </c>
      <c r="S222" t="s">
        <v>1218</v>
      </c>
      <c r="T222" t="s">
        <v>117</v>
      </c>
      <c r="V222" t="s">
        <v>2014</v>
      </c>
      <c r="W222" t="s">
        <v>1923</v>
      </c>
      <c r="X222" t="s">
        <v>71</v>
      </c>
      <c r="Z222" t="s">
        <v>3478</v>
      </c>
      <c r="AA222" t="s">
        <v>3479</v>
      </c>
      <c r="AB222">
        <v>3</v>
      </c>
      <c r="AC222">
        <v>7</v>
      </c>
      <c r="AE222">
        <v>1955</v>
      </c>
      <c r="AF222" t="s">
        <v>3480</v>
      </c>
      <c r="AG222" t="s">
        <v>3481</v>
      </c>
      <c r="AH222" t="s">
        <v>1929</v>
      </c>
      <c r="AI222">
        <v>20400</v>
      </c>
      <c r="AJ222">
        <v>0</v>
      </c>
      <c r="AL222">
        <v>0</v>
      </c>
      <c r="AS222" t="b">
        <v>0</v>
      </c>
      <c r="AV222" t="s">
        <v>1218</v>
      </c>
      <c r="AX222" t="s">
        <v>1221</v>
      </c>
      <c r="BD222" t="s">
        <v>3482</v>
      </c>
      <c r="BF222" t="s">
        <v>1906</v>
      </c>
      <c r="BG222" t="s">
        <v>3214</v>
      </c>
      <c r="BI222" t="s">
        <v>1218</v>
      </c>
      <c r="BL222" t="s">
        <v>3483</v>
      </c>
      <c r="BM222" t="s">
        <v>1219</v>
      </c>
      <c r="BN222" t="s">
        <v>1219</v>
      </c>
      <c r="BO222" t="s">
        <v>1219</v>
      </c>
      <c r="BP222" t="s">
        <v>3484</v>
      </c>
      <c r="BQ222" t="s">
        <v>3478</v>
      </c>
      <c r="BR222">
        <v>3</v>
      </c>
      <c r="BS222">
        <v>7</v>
      </c>
      <c r="CB222" t="s">
        <v>2020</v>
      </c>
      <c r="CC222" t="s">
        <v>1996</v>
      </c>
      <c r="CD222" t="s">
        <v>1997</v>
      </c>
      <c r="CE222">
        <v>50</v>
      </c>
      <c r="CF222">
        <v>25.5</v>
      </c>
      <c r="CG222">
        <v>49</v>
      </c>
      <c r="CH222">
        <v>1032</v>
      </c>
      <c r="CI222">
        <v>38</v>
      </c>
      <c r="CJ222">
        <v>37.6</v>
      </c>
      <c r="CK222">
        <v>52.2</v>
      </c>
      <c r="CL222">
        <v>50</v>
      </c>
      <c r="CM222">
        <v>49</v>
      </c>
      <c r="CN222">
        <v>31680</v>
      </c>
      <c r="CO222">
        <v>3.8</v>
      </c>
      <c r="CP222">
        <v>244</v>
      </c>
      <c r="CQ222">
        <v>25</v>
      </c>
      <c r="CR222">
        <v>0</v>
      </c>
      <c r="CS222">
        <v>0</v>
      </c>
      <c r="CT222" t="s">
        <v>1915</v>
      </c>
      <c r="CU222">
        <v>167.8500061035156</v>
      </c>
      <c r="CV222">
        <v>103</v>
      </c>
      <c r="CW222">
        <v>5.75</v>
      </c>
      <c r="CX222">
        <v>2.0499999523162842</v>
      </c>
      <c r="CY222">
        <v>5.0500001907348633</v>
      </c>
      <c r="CZ222">
        <v>6.0500001907348633</v>
      </c>
      <c r="DA222">
        <v>1</v>
      </c>
      <c r="DB222">
        <v>1</v>
      </c>
      <c r="DC222">
        <v>0</v>
      </c>
      <c r="DD222">
        <v>0.81</v>
      </c>
      <c r="DE222">
        <v>91.7</v>
      </c>
      <c r="DF222">
        <v>170.66</v>
      </c>
      <c r="DG222">
        <v>0</v>
      </c>
      <c r="DH222">
        <v>0</v>
      </c>
      <c r="DI222">
        <v>0</v>
      </c>
      <c r="DJ222" t="s">
        <v>3485</v>
      </c>
      <c r="DK222" t="s">
        <v>3486</v>
      </c>
      <c r="DL222" t="s">
        <v>1918</v>
      </c>
      <c r="DM222">
        <v>4.92</v>
      </c>
      <c r="DN222">
        <v>645.1</v>
      </c>
      <c r="EL222">
        <v>0</v>
      </c>
      <c r="EM222" t="s">
        <v>1220</v>
      </c>
    </row>
    <row r="223" spans="1:143" x14ac:dyDescent="0.35">
      <c r="A223" t="s">
        <v>50</v>
      </c>
      <c r="B223" t="s">
        <v>1222</v>
      </c>
      <c r="C223" t="s">
        <v>116</v>
      </c>
      <c r="D223" t="s">
        <v>120</v>
      </c>
      <c r="E223">
        <v>14</v>
      </c>
      <c r="G223" t="s">
        <v>3487</v>
      </c>
      <c r="L223" t="s">
        <v>1896</v>
      </c>
      <c r="M223" t="s">
        <v>3455</v>
      </c>
      <c r="N223" t="s">
        <v>1898</v>
      </c>
      <c r="R223" t="s">
        <v>119</v>
      </c>
      <c r="S223" t="s">
        <v>1223</v>
      </c>
      <c r="T223" t="s">
        <v>117</v>
      </c>
      <c r="Y223" t="s">
        <v>2136</v>
      </c>
      <c r="Z223" t="s">
        <v>3488</v>
      </c>
      <c r="AA223" t="s">
        <v>3489</v>
      </c>
      <c r="AB223">
        <v>4</v>
      </c>
      <c r="AC223">
        <v>6</v>
      </c>
      <c r="AE223">
        <v>1995</v>
      </c>
      <c r="AF223" t="s">
        <v>3490</v>
      </c>
      <c r="AG223" t="s">
        <v>1928</v>
      </c>
      <c r="AH223" t="s">
        <v>1929</v>
      </c>
      <c r="AI223">
        <v>205900</v>
      </c>
      <c r="AJ223">
        <v>0</v>
      </c>
      <c r="AL223">
        <v>0</v>
      </c>
      <c r="AS223" t="b">
        <v>0</v>
      </c>
      <c r="AV223" t="s">
        <v>1223</v>
      </c>
      <c r="AX223" t="s">
        <v>1226</v>
      </c>
      <c r="BD223" t="s">
        <v>3491</v>
      </c>
      <c r="BF223" t="s">
        <v>1906</v>
      </c>
      <c r="BG223" t="s">
        <v>3492</v>
      </c>
      <c r="BI223" t="s">
        <v>1223</v>
      </c>
      <c r="BL223" t="s">
        <v>3493</v>
      </c>
      <c r="BM223" t="s">
        <v>1224</v>
      </c>
      <c r="BN223" t="s">
        <v>1224</v>
      </c>
      <c r="BO223" t="s">
        <v>1224</v>
      </c>
      <c r="BP223" t="s">
        <v>3494</v>
      </c>
      <c r="BQ223" t="s">
        <v>3488</v>
      </c>
      <c r="BR223">
        <v>4</v>
      </c>
      <c r="BS223">
        <v>6</v>
      </c>
      <c r="BU223" t="s">
        <v>1908</v>
      </c>
      <c r="BW223" t="s">
        <v>1948</v>
      </c>
      <c r="BX223" t="s">
        <v>1994</v>
      </c>
      <c r="BY223" t="s">
        <v>1911</v>
      </c>
      <c r="BZ223" t="s">
        <v>1910</v>
      </c>
      <c r="CB223" t="s">
        <v>3495</v>
      </c>
      <c r="CC223" t="s">
        <v>1996</v>
      </c>
      <c r="CD223" t="s">
        <v>1997</v>
      </c>
      <c r="CE223">
        <v>43.2</v>
      </c>
      <c r="CF223">
        <v>28.9</v>
      </c>
      <c r="CG223">
        <v>36.5</v>
      </c>
      <c r="CH223">
        <v>1028</v>
      </c>
      <c r="CI223">
        <v>51</v>
      </c>
      <c r="CJ223">
        <v>25.7</v>
      </c>
      <c r="CK223">
        <v>44.6</v>
      </c>
      <c r="CL223">
        <v>43.2</v>
      </c>
      <c r="CM223">
        <v>36.5</v>
      </c>
      <c r="CN223">
        <v>31680</v>
      </c>
      <c r="CO223">
        <v>13.2</v>
      </c>
      <c r="CP223">
        <v>212</v>
      </c>
      <c r="CQ223">
        <v>0</v>
      </c>
      <c r="CR223">
        <v>0</v>
      </c>
      <c r="CS223">
        <v>0</v>
      </c>
      <c r="CT223" t="s">
        <v>1915</v>
      </c>
      <c r="DJ223" t="s">
        <v>3464</v>
      </c>
      <c r="DM223">
        <v>17.989999999999998</v>
      </c>
      <c r="DN223">
        <v>346.2</v>
      </c>
      <c r="EL223">
        <v>0</v>
      </c>
      <c r="EM223" t="s">
        <v>1225</v>
      </c>
    </row>
    <row r="224" spans="1:143" x14ac:dyDescent="0.35">
      <c r="A224" t="s">
        <v>50</v>
      </c>
      <c r="B224" t="s">
        <v>1227</v>
      </c>
      <c r="C224" t="s">
        <v>116</v>
      </c>
      <c r="D224" t="s">
        <v>120</v>
      </c>
      <c r="E224">
        <v>93</v>
      </c>
      <c r="G224" t="s">
        <v>3331</v>
      </c>
      <c r="L224" t="s">
        <v>1896</v>
      </c>
      <c r="M224" t="s">
        <v>3455</v>
      </c>
      <c r="N224" t="s">
        <v>1898</v>
      </c>
      <c r="R224" t="s">
        <v>119</v>
      </c>
      <c r="S224" t="s">
        <v>1228</v>
      </c>
      <c r="T224" t="s">
        <v>174</v>
      </c>
      <c r="U224" t="s">
        <v>117</v>
      </c>
      <c r="Y224" t="s">
        <v>2136</v>
      </c>
      <c r="Z224" t="s">
        <v>3496</v>
      </c>
      <c r="AA224" t="s">
        <v>3497</v>
      </c>
      <c r="AB224">
        <v>5</v>
      </c>
      <c r="AC224">
        <v>8</v>
      </c>
      <c r="AE224">
        <v>1940</v>
      </c>
      <c r="AF224" t="s">
        <v>3490</v>
      </c>
      <c r="AG224" t="s">
        <v>1928</v>
      </c>
      <c r="AH224" t="s">
        <v>1903</v>
      </c>
      <c r="AI224">
        <v>184700</v>
      </c>
      <c r="AJ224">
        <v>0</v>
      </c>
      <c r="AL224">
        <v>0</v>
      </c>
      <c r="AS224" t="b">
        <v>0</v>
      </c>
      <c r="AV224" t="s">
        <v>1228</v>
      </c>
      <c r="AX224" t="s">
        <v>1231</v>
      </c>
      <c r="BD224" t="s">
        <v>3498</v>
      </c>
      <c r="BF224" t="s">
        <v>1906</v>
      </c>
      <c r="BG224" t="s">
        <v>1907</v>
      </c>
      <c r="BI224" t="s">
        <v>1228</v>
      </c>
      <c r="BL224" t="s">
        <v>3499</v>
      </c>
      <c r="BM224" t="s">
        <v>1229</v>
      </c>
      <c r="BN224" t="s">
        <v>1229</v>
      </c>
      <c r="BO224" t="s">
        <v>1229</v>
      </c>
      <c r="BP224" t="s">
        <v>3500</v>
      </c>
      <c r="BQ224" t="s">
        <v>3496</v>
      </c>
      <c r="BR224">
        <v>5</v>
      </c>
      <c r="BS224">
        <v>8</v>
      </c>
      <c r="BU224" t="s">
        <v>1908</v>
      </c>
      <c r="BW224" t="s">
        <v>2093</v>
      </c>
      <c r="BX224" t="s">
        <v>1949</v>
      </c>
      <c r="BY224" t="s">
        <v>1911</v>
      </c>
      <c r="BZ224" t="s">
        <v>1910</v>
      </c>
      <c r="CB224" t="s">
        <v>3501</v>
      </c>
      <c r="CC224" t="s">
        <v>3502</v>
      </c>
      <c r="CD224" t="s">
        <v>3502</v>
      </c>
      <c r="CE224">
        <v>29.7</v>
      </c>
      <c r="CF224">
        <v>26.8</v>
      </c>
      <c r="CG224">
        <v>23.7</v>
      </c>
      <c r="CH224">
        <v>1010</v>
      </c>
      <c r="CI224">
        <v>88</v>
      </c>
      <c r="CJ224">
        <v>23</v>
      </c>
      <c r="CK224">
        <v>31.8</v>
      </c>
      <c r="CL224">
        <v>29.7</v>
      </c>
      <c r="CM224">
        <v>23.7</v>
      </c>
      <c r="CN224">
        <v>31680</v>
      </c>
      <c r="CO224">
        <v>12.1</v>
      </c>
      <c r="CP224">
        <v>259</v>
      </c>
      <c r="CQ224">
        <v>100</v>
      </c>
      <c r="CR224">
        <v>0</v>
      </c>
      <c r="CS224">
        <v>0</v>
      </c>
      <c r="DJ224" t="s">
        <v>3464</v>
      </c>
      <c r="DM224">
        <v>17.989999999999998</v>
      </c>
      <c r="DN224">
        <v>346.2</v>
      </c>
      <c r="EL224">
        <v>0</v>
      </c>
      <c r="EM224" t="s">
        <v>1230</v>
      </c>
    </row>
    <row r="225" spans="1:143" x14ac:dyDescent="0.35">
      <c r="A225" t="s">
        <v>50</v>
      </c>
      <c r="B225" t="s">
        <v>1232</v>
      </c>
      <c r="C225" t="s">
        <v>116</v>
      </c>
      <c r="D225" t="s">
        <v>120</v>
      </c>
      <c r="E225">
        <v>60</v>
      </c>
      <c r="G225" t="s">
        <v>3503</v>
      </c>
      <c r="L225" t="s">
        <v>1896</v>
      </c>
      <c r="M225" t="s">
        <v>3455</v>
      </c>
      <c r="N225" t="s">
        <v>1898</v>
      </c>
      <c r="R225" t="s">
        <v>119</v>
      </c>
      <c r="S225" t="s">
        <v>1233</v>
      </c>
      <c r="T225" t="s">
        <v>117</v>
      </c>
      <c r="U225" t="s">
        <v>174</v>
      </c>
      <c r="Y225" t="s">
        <v>2136</v>
      </c>
      <c r="Z225" t="s">
        <v>3504</v>
      </c>
      <c r="AA225" t="s">
        <v>3505</v>
      </c>
      <c r="AB225">
        <v>3</v>
      </c>
      <c r="AC225">
        <v>9</v>
      </c>
      <c r="AF225" t="s">
        <v>3490</v>
      </c>
      <c r="AG225" t="s">
        <v>3436</v>
      </c>
      <c r="AH225" t="s">
        <v>1929</v>
      </c>
      <c r="AI225">
        <v>185600</v>
      </c>
      <c r="AJ225">
        <v>0</v>
      </c>
      <c r="AL225">
        <v>0</v>
      </c>
      <c r="AS225" t="b">
        <v>0</v>
      </c>
      <c r="AV225" t="s">
        <v>1233</v>
      </c>
      <c r="AX225" t="s">
        <v>1236</v>
      </c>
      <c r="BD225" t="s">
        <v>3506</v>
      </c>
      <c r="BF225" t="s">
        <v>1906</v>
      </c>
      <c r="BG225" t="s">
        <v>1907</v>
      </c>
      <c r="BI225" t="s">
        <v>1233</v>
      </c>
      <c r="BL225" t="s">
        <v>3507</v>
      </c>
      <c r="BM225" t="s">
        <v>1234</v>
      </c>
      <c r="BN225" t="s">
        <v>1234</v>
      </c>
      <c r="BO225" t="s">
        <v>1234</v>
      </c>
      <c r="BP225" t="s">
        <v>3508</v>
      </c>
      <c r="BQ225" t="s">
        <v>3504</v>
      </c>
      <c r="BR225">
        <v>3</v>
      </c>
      <c r="BS225">
        <v>9</v>
      </c>
      <c r="BU225" t="s">
        <v>1908</v>
      </c>
      <c r="BW225" t="s">
        <v>2128</v>
      </c>
      <c r="BX225" t="s">
        <v>1949</v>
      </c>
      <c r="BY225" t="s">
        <v>1911</v>
      </c>
      <c r="BZ225" t="s">
        <v>1995</v>
      </c>
      <c r="CB225" t="s">
        <v>3509</v>
      </c>
      <c r="CC225" t="s">
        <v>1962</v>
      </c>
      <c r="CD225" t="s">
        <v>1962</v>
      </c>
      <c r="CE225">
        <v>37.799999999999997</v>
      </c>
      <c r="CF225">
        <v>27.9</v>
      </c>
      <c r="CG225">
        <v>33.6</v>
      </c>
      <c r="CH225">
        <v>1020</v>
      </c>
      <c r="CI225">
        <v>67</v>
      </c>
      <c r="CJ225">
        <v>30</v>
      </c>
      <c r="CK225">
        <v>37.799999999999997</v>
      </c>
      <c r="CL225">
        <v>37.799999999999997</v>
      </c>
      <c r="CM225">
        <v>33.6</v>
      </c>
      <c r="CN225">
        <v>0</v>
      </c>
      <c r="CO225">
        <v>6.7</v>
      </c>
      <c r="CP225">
        <v>203</v>
      </c>
      <c r="CQ225">
        <v>80</v>
      </c>
      <c r="CR225">
        <v>0</v>
      </c>
      <c r="CS225">
        <v>0</v>
      </c>
      <c r="DJ225" t="s">
        <v>3464</v>
      </c>
      <c r="DM225">
        <v>17.989999999999998</v>
      </c>
      <c r="DN225">
        <v>346.2</v>
      </c>
      <c r="EL225">
        <v>0</v>
      </c>
      <c r="EM225" t="s">
        <v>1235</v>
      </c>
    </row>
    <row r="226" spans="1:143" x14ac:dyDescent="0.35">
      <c r="A226" t="s">
        <v>52</v>
      </c>
      <c r="B226" t="s">
        <v>1237</v>
      </c>
      <c r="C226" t="s">
        <v>116</v>
      </c>
      <c r="D226" t="s">
        <v>120</v>
      </c>
      <c r="G226" t="s">
        <v>3510</v>
      </c>
      <c r="L226" t="s">
        <v>1896</v>
      </c>
      <c r="M226" t="s">
        <v>3294</v>
      </c>
      <c r="N226" t="s">
        <v>3511</v>
      </c>
      <c r="R226" t="s">
        <v>119</v>
      </c>
      <c r="S226" t="s">
        <v>1238</v>
      </c>
      <c r="T226" t="s">
        <v>117</v>
      </c>
      <c r="Z226" t="s">
        <v>3512</v>
      </c>
      <c r="AA226" t="s">
        <v>3513</v>
      </c>
      <c r="AB226">
        <v>2</v>
      </c>
      <c r="AC226">
        <v>3</v>
      </c>
      <c r="AD226" t="s">
        <v>2221</v>
      </c>
      <c r="AJ226">
        <v>0</v>
      </c>
      <c r="AL226">
        <v>0</v>
      </c>
      <c r="AS226" t="b">
        <v>1</v>
      </c>
      <c r="AT226">
        <v>0</v>
      </c>
      <c r="AU226">
        <v>0</v>
      </c>
      <c r="AV226" t="s">
        <v>1238</v>
      </c>
      <c r="AX226" t="s">
        <v>1241</v>
      </c>
      <c r="BA226" t="s">
        <v>2062</v>
      </c>
      <c r="BD226" t="s">
        <v>3514</v>
      </c>
      <c r="BF226" t="s">
        <v>1906</v>
      </c>
      <c r="BG226" t="s">
        <v>3515</v>
      </c>
      <c r="BI226" t="s">
        <v>1238</v>
      </c>
      <c r="BJ226" t="s">
        <v>3516</v>
      </c>
      <c r="BK226" t="b">
        <v>0</v>
      </c>
      <c r="BL226" t="s">
        <v>3517</v>
      </c>
      <c r="BM226" t="s">
        <v>1239</v>
      </c>
      <c r="BN226" t="s">
        <v>1239</v>
      </c>
      <c r="BO226" t="s">
        <v>1239</v>
      </c>
      <c r="BQ226" t="s">
        <v>3512</v>
      </c>
      <c r="BR226">
        <v>2</v>
      </c>
      <c r="BS226">
        <v>3</v>
      </c>
      <c r="BT226" t="s">
        <v>3518</v>
      </c>
      <c r="BU226" t="s">
        <v>1908</v>
      </c>
      <c r="BV226">
        <v>0</v>
      </c>
      <c r="BW226" t="s">
        <v>2128</v>
      </c>
      <c r="BX226" t="s">
        <v>1910</v>
      </c>
      <c r="BY226" t="s">
        <v>1911</v>
      </c>
      <c r="BZ226" t="s">
        <v>1910</v>
      </c>
      <c r="CA226" t="s">
        <v>1910</v>
      </c>
      <c r="CB226" t="s">
        <v>3519</v>
      </c>
      <c r="CC226" t="s">
        <v>1996</v>
      </c>
      <c r="CD226" t="s">
        <v>2414</v>
      </c>
      <c r="CE226">
        <v>62.1</v>
      </c>
      <c r="CF226">
        <v>56.2</v>
      </c>
      <c r="CG226">
        <v>62.1</v>
      </c>
      <c r="CH226">
        <v>1020</v>
      </c>
      <c r="CI226">
        <v>81</v>
      </c>
      <c r="CJ226">
        <v>61.2</v>
      </c>
      <c r="CK226">
        <v>83.1</v>
      </c>
      <c r="CL226">
        <v>62.1</v>
      </c>
      <c r="CM226">
        <v>62.1</v>
      </c>
      <c r="CN226">
        <v>31680</v>
      </c>
      <c r="CO226">
        <v>3.4</v>
      </c>
      <c r="CP226">
        <v>248</v>
      </c>
      <c r="CQ226">
        <v>0</v>
      </c>
      <c r="CR226">
        <v>0</v>
      </c>
      <c r="CS226">
        <v>0</v>
      </c>
      <c r="CT226" t="s">
        <v>2415</v>
      </c>
      <c r="CU226">
        <v>159</v>
      </c>
      <c r="CV226">
        <v>61</v>
      </c>
      <c r="CW226">
        <v>11.8</v>
      </c>
      <c r="CX226">
        <v>1.2</v>
      </c>
      <c r="CY226">
        <v>6.5</v>
      </c>
      <c r="CZ226">
        <v>7.3</v>
      </c>
      <c r="DA226">
        <v>1</v>
      </c>
      <c r="DB226">
        <v>1</v>
      </c>
      <c r="DC226">
        <v>0</v>
      </c>
      <c r="DD226">
        <v>0</v>
      </c>
      <c r="DE226">
        <v>0</v>
      </c>
      <c r="DF226">
        <v>0</v>
      </c>
      <c r="DG226">
        <v>25.18</v>
      </c>
      <c r="DH226">
        <v>44.29</v>
      </c>
      <c r="DI226">
        <v>0</v>
      </c>
      <c r="DJ226" t="s">
        <v>3300</v>
      </c>
      <c r="DK226" t="s">
        <v>3301</v>
      </c>
      <c r="DL226" t="s">
        <v>2649</v>
      </c>
      <c r="DM226">
        <v>13.87</v>
      </c>
      <c r="DN226">
        <v>327.2</v>
      </c>
      <c r="EL226">
        <v>0</v>
      </c>
      <c r="EM226" t="s">
        <v>1240</v>
      </c>
    </row>
    <row r="227" spans="1:143" x14ac:dyDescent="0.35">
      <c r="A227" t="s">
        <v>52</v>
      </c>
      <c r="B227" t="s">
        <v>1242</v>
      </c>
      <c r="C227" t="s">
        <v>116</v>
      </c>
      <c r="D227" t="s">
        <v>120</v>
      </c>
      <c r="G227" t="s">
        <v>3520</v>
      </c>
      <c r="L227" t="s">
        <v>1896</v>
      </c>
      <c r="M227" t="s">
        <v>3294</v>
      </c>
      <c r="N227" t="s">
        <v>3511</v>
      </c>
      <c r="R227" t="s">
        <v>119</v>
      </c>
      <c r="S227" t="s">
        <v>1243</v>
      </c>
      <c r="T227" t="s">
        <v>117</v>
      </c>
      <c r="Z227" t="s">
        <v>3295</v>
      </c>
      <c r="AA227" t="s">
        <v>3521</v>
      </c>
      <c r="AB227">
        <v>1</v>
      </c>
      <c r="AC227">
        <v>2</v>
      </c>
      <c r="AD227" t="s">
        <v>1966</v>
      </c>
      <c r="AJ227">
        <v>0</v>
      </c>
      <c r="AL227">
        <v>0</v>
      </c>
      <c r="AS227" t="b">
        <v>1</v>
      </c>
      <c r="AT227">
        <v>0</v>
      </c>
      <c r="AU227">
        <v>0</v>
      </c>
      <c r="AV227" t="s">
        <v>1243</v>
      </c>
      <c r="AX227" t="s">
        <v>1246</v>
      </c>
      <c r="BA227" t="s">
        <v>2062</v>
      </c>
      <c r="BD227" t="s">
        <v>3522</v>
      </c>
      <c r="BF227" t="s">
        <v>1906</v>
      </c>
      <c r="BG227" t="s">
        <v>3083</v>
      </c>
      <c r="BI227" t="s">
        <v>1243</v>
      </c>
      <c r="BJ227" t="s">
        <v>3523</v>
      </c>
      <c r="BK227" t="b">
        <v>0</v>
      </c>
      <c r="BL227" t="s">
        <v>3524</v>
      </c>
      <c r="BM227" t="s">
        <v>1244</v>
      </c>
      <c r="BN227" t="s">
        <v>1244</v>
      </c>
      <c r="BO227" t="s">
        <v>1244</v>
      </c>
      <c r="BQ227" t="s">
        <v>3295</v>
      </c>
      <c r="BR227">
        <v>1</v>
      </c>
      <c r="BS227">
        <v>2</v>
      </c>
      <c r="BT227" t="s">
        <v>3518</v>
      </c>
      <c r="BU227" t="s">
        <v>1908</v>
      </c>
      <c r="BV227">
        <v>0</v>
      </c>
      <c r="BW227" t="s">
        <v>1948</v>
      </c>
      <c r="BX227" t="s">
        <v>1910</v>
      </c>
      <c r="BY227" t="s">
        <v>1911</v>
      </c>
      <c r="BZ227" t="s">
        <v>1910</v>
      </c>
      <c r="CA227" t="s">
        <v>2129</v>
      </c>
      <c r="CB227" t="s">
        <v>3525</v>
      </c>
      <c r="CC227" t="s">
        <v>1996</v>
      </c>
      <c r="CD227" t="s">
        <v>1997</v>
      </c>
      <c r="CE227">
        <v>81.400000000000006</v>
      </c>
      <c r="CF227">
        <v>64.5</v>
      </c>
      <c r="CG227">
        <v>83.2</v>
      </c>
      <c r="CH227">
        <v>1018</v>
      </c>
      <c r="CI227">
        <v>55</v>
      </c>
      <c r="CJ227">
        <v>61.3</v>
      </c>
      <c r="CK227">
        <v>83.2</v>
      </c>
      <c r="CL227">
        <v>83.2</v>
      </c>
      <c r="CM227">
        <v>81.400000000000006</v>
      </c>
      <c r="CN227">
        <v>31680</v>
      </c>
      <c r="CO227">
        <v>6</v>
      </c>
      <c r="CP227">
        <v>249</v>
      </c>
      <c r="CQ227">
        <v>10</v>
      </c>
      <c r="CR227">
        <v>0</v>
      </c>
      <c r="CS227">
        <v>0</v>
      </c>
      <c r="CT227" t="s">
        <v>1915</v>
      </c>
      <c r="CU227">
        <v>126</v>
      </c>
      <c r="CV227">
        <v>89</v>
      </c>
      <c r="CW227">
        <v>1</v>
      </c>
      <c r="CX227">
        <v>0.6</v>
      </c>
      <c r="CY227">
        <v>2.9</v>
      </c>
      <c r="CZ227">
        <v>2.9</v>
      </c>
      <c r="DA227">
        <v>1</v>
      </c>
      <c r="DB227">
        <v>1</v>
      </c>
      <c r="DC227">
        <v>0</v>
      </c>
      <c r="DD227">
        <v>0</v>
      </c>
      <c r="DE227">
        <v>0</v>
      </c>
      <c r="DF227">
        <v>0</v>
      </c>
      <c r="DG227">
        <v>188.02</v>
      </c>
      <c r="DH227">
        <v>219.77</v>
      </c>
      <c r="DI227">
        <v>0</v>
      </c>
      <c r="DJ227" t="s">
        <v>3300</v>
      </c>
      <c r="DK227" t="s">
        <v>3301</v>
      </c>
      <c r="DL227" t="s">
        <v>2564</v>
      </c>
      <c r="DM227">
        <v>13.87</v>
      </c>
      <c r="DN227">
        <v>327.2</v>
      </c>
      <c r="EL227">
        <v>0</v>
      </c>
      <c r="EM227" t="s">
        <v>1245</v>
      </c>
    </row>
    <row r="228" spans="1:143" x14ac:dyDescent="0.35">
      <c r="A228" t="s">
        <v>52</v>
      </c>
      <c r="B228" t="s">
        <v>1247</v>
      </c>
      <c r="C228" t="s">
        <v>116</v>
      </c>
      <c r="D228" t="s">
        <v>120</v>
      </c>
      <c r="G228" t="s">
        <v>3510</v>
      </c>
      <c r="L228" t="s">
        <v>1896</v>
      </c>
      <c r="M228" t="s">
        <v>3294</v>
      </c>
      <c r="N228" t="s">
        <v>3511</v>
      </c>
      <c r="R228" t="s">
        <v>119</v>
      </c>
      <c r="S228" t="s">
        <v>1248</v>
      </c>
      <c r="T228" t="s">
        <v>117</v>
      </c>
      <c r="Z228" t="s">
        <v>3526</v>
      </c>
      <c r="AA228" t="s">
        <v>3527</v>
      </c>
      <c r="AB228">
        <v>2</v>
      </c>
      <c r="AC228">
        <v>5</v>
      </c>
      <c r="AD228" t="s">
        <v>2221</v>
      </c>
      <c r="AE228">
        <v>2022</v>
      </c>
      <c r="AF228" t="s">
        <v>3528</v>
      </c>
      <c r="AG228" t="s">
        <v>3529</v>
      </c>
      <c r="AH228" t="s">
        <v>1903</v>
      </c>
      <c r="AJ228">
        <v>0</v>
      </c>
      <c r="AL228">
        <v>0</v>
      </c>
      <c r="AS228" t="b">
        <v>1</v>
      </c>
      <c r="AT228">
        <v>0</v>
      </c>
      <c r="AU228">
        <v>0</v>
      </c>
      <c r="AV228" t="s">
        <v>1248</v>
      </c>
      <c r="AX228" t="s">
        <v>1251</v>
      </c>
      <c r="BA228" t="s">
        <v>1931</v>
      </c>
      <c r="BD228" t="s">
        <v>3530</v>
      </c>
      <c r="BF228" t="s">
        <v>1906</v>
      </c>
      <c r="BG228" t="s">
        <v>2183</v>
      </c>
      <c r="BI228" t="s">
        <v>1248</v>
      </c>
      <c r="BJ228" t="s">
        <v>3523</v>
      </c>
      <c r="BK228" t="b">
        <v>0</v>
      </c>
      <c r="BL228" t="s">
        <v>3531</v>
      </c>
      <c r="BM228" t="s">
        <v>1249</v>
      </c>
      <c r="BN228" t="s">
        <v>1249</v>
      </c>
      <c r="BO228" t="s">
        <v>1249</v>
      </c>
      <c r="BQ228" t="s">
        <v>3526</v>
      </c>
      <c r="BR228">
        <v>2</v>
      </c>
      <c r="BS228">
        <v>5</v>
      </c>
      <c r="BT228" t="s">
        <v>3518</v>
      </c>
      <c r="BU228" t="s">
        <v>1908</v>
      </c>
      <c r="BV228">
        <v>0</v>
      </c>
      <c r="BW228" t="s">
        <v>2128</v>
      </c>
      <c r="BX228" t="s">
        <v>1949</v>
      </c>
      <c r="BY228" t="s">
        <v>1911</v>
      </c>
      <c r="BZ228" t="s">
        <v>1910</v>
      </c>
      <c r="CA228" t="s">
        <v>2147</v>
      </c>
      <c r="CB228" t="s">
        <v>3532</v>
      </c>
      <c r="CC228" t="s">
        <v>1996</v>
      </c>
      <c r="CD228" t="s">
        <v>1997</v>
      </c>
      <c r="CE228">
        <v>61.3</v>
      </c>
      <c r="CF228">
        <v>57.4</v>
      </c>
      <c r="CG228">
        <v>61.3</v>
      </c>
      <c r="CH228">
        <v>1018</v>
      </c>
      <c r="CI228">
        <v>87</v>
      </c>
      <c r="CJ228">
        <v>61.3</v>
      </c>
      <c r="CK228">
        <v>83.2</v>
      </c>
      <c r="CL228">
        <v>61.3</v>
      </c>
      <c r="CM228">
        <v>61.3</v>
      </c>
      <c r="CN228">
        <v>31680</v>
      </c>
      <c r="CO228">
        <v>3.4</v>
      </c>
      <c r="CP228">
        <v>276</v>
      </c>
      <c r="CQ228">
        <v>0</v>
      </c>
      <c r="CR228">
        <v>0</v>
      </c>
      <c r="CS228">
        <v>0</v>
      </c>
      <c r="CT228" t="s">
        <v>1915</v>
      </c>
      <c r="CU228">
        <v>132</v>
      </c>
      <c r="CV228">
        <v>53</v>
      </c>
      <c r="CW228">
        <v>5</v>
      </c>
      <c r="CX228">
        <v>0.4</v>
      </c>
      <c r="CY228">
        <v>11.3</v>
      </c>
      <c r="CZ228">
        <v>11.4</v>
      </c>
      <c r="DA228">
        <v>1</v>
      </c>
      <c r="DB228">
        <v>1</v>
      </c>
      <c r="DC228">
        <v>0</v>
      </c>
      <c r="DD228">
        <v>0</v>
      </c>
      <c r="DE228">
        <v>0</v>
      </c>
      <c r="DF228">
        <v>0</v>
      </c>
      <c r="DG228">
        <v>32.159999999999997</v>
      </c>
      <c r="DH228">
        <v>49.38</v>
      </c>
      <c r="DI228">
        <v>0</v>
      </c>
      <c r="DJ228" t="s">
        <v>3300</v>
      </c>
      <c r="DK228" t="s">
        <v>3301</v>
      </c>
      <c r="DL228" t="s">
        <v>3533</v>
      </c>
      <c r="DM228">
        <v>13.87</v>
      </c>
      <c r="DN228">
        <v>327.2</v>
      </c>
      <c r="EL228">
        <v>0</v>
      </c>
      <c r="EM228" t="s">
        <v>1250</v>
      </c>
    </row>
    <row r="229" spans="1:143" x14ac:dyDescent="0.35">
      <c r="A229" t="s">
        <v>52</v>
      </c>
      <c r="B229" t="s">
        <v>1252</v>
      </c>
      <c r="C229" t="s">
        <v>116</v>
      </c>
      <c r="D229" t="s">
        <v>120</v>
      </c>
      <c r="G229" t="s">
        <v>3534</v>
      </c>
      <c r="L229" t="s">
        <v>1896</v>
      </c>
      <c r="M229" t="s">
        <v>3294</v>
      </c>
      <c r="N229" t="s">
        <v>3511</v>
      </c>
      <c r="R229" t="s">
        <v>119</v>
      </c>
      <c r="S229" t="s">
        <v>1253</v>
      </c>
      <c r="T229" t="s">
        <v>168</v>
      </c>
      <c r="U229" t="s">
        <v>117</v>
      </c>
      <c r="Z229" t="s">
        <v>3526</v>
      </c>
      <c r="AA229" t="s">
        <v>3527</v>
      </c>
      <c r="AB229">
        <v>2</v>
      </c>
      <c r="AC229">
        <v>4</v>
      </c>
      <c r="AD229" t="s">
        <v>2221</v>
      </c>
      <c r="AE229">
        <v>1960</v>
      </c>
      <c r="AF229" t="s">
        <v>3535</v>
      </c>
      <c r="AG229" t="s">
        <v>1928</v>
      </c>
      <c r="AH229" t="s">
        <v>1929</v>
      </c>
      <c r="AI229">
        <v>74000</v>
      </c>
      <c r="AJ229">
        <v>0</v>
      </c>
      <c r="AL229">
        <v>0</v>
      </c>
      <c r="AS229" t="b">
        <v>1</v>
      </c>
      <c r="AT229">
        <v>0</v>
      </c>
      <c r="AU229">
        <v>0</v>
      </c>
      <c r="AV229" t="s">
        <v>1253</v>
      </c>
      <c r="AX229" t="s">
        <v>1256</v>
      </c>
      <c r="BA229" t="s">
        <v>2062</v>
      </c>
      <c r="BD229" t="s">
        <v>3536</v>
      </c>
      <c r="BF229" t="s">
        <v>1906</v>
      </c>
      <c r="BG229" t="s">
        <v>2183</v>
      </c>
      <c r="BI229" t="s">
        <v>1253</v>
      </c>
      <c r="BJ229" t="s">
        <v>3516</v>
      </c>
      <c r="BK229" t="b">
        <v>0</v>
      </c>
      <c r="BL229" t="s">
        <v>3537</v>
      </c>
      <c r="BM229" t="s">
        <v>1254</v>
      </c>
      <c r="BN229" t="s">
        <v>1254</v>
      </c>
      <c r="BO229" t="s">
        <v>1254</v>
      </c>
      <c r="BQ229" t="s">
        <v>3526</v>
      </c>
      <c r="BR229">
        <v>2</v>
      </c>
      <c r="BS229">
        <v>4</v>
      </c>
      <c r="BT229" t="s">
        <v>3518</v>
      </c>
      <c r="BU229" t="s">
        <v>1908</v>
      </c>
      <c r="BW229" t="s">
        <v>2032</v>
      </c>
      <c r="BX229" t="s">
        <v>1949</v>
      </c>
      <c r="BY229" t="s">
        <v>1970</v>
      </c>
      <c r="BZ229" t="s">
        <v>1995</v>
      </c>
      <c r="CA229" t="s">
        <v>3538</v>
      </c>
      <c r="CB229" t="s">
        <v>3539</v>
      </c>
      <c r="CC229" t="s">
        <v>1996</v>
      </c>
      <c r="CD229" t="s">
        <v>2414</v>
      </c>
      <c r="CE229">
        <v>68.400000000000006</v>
      </c>
      <c r="CF229">
        <v>65.8</v>
      </c>
      <c r="CG229">
        <v>68.400000000000006</v>
      </c>
      <c r="CH229">
        <v>1015</v>
      </c>
      <c r="CI229">
        <v>92</v>
      </c>
      <c r="CJ229">
        <v>62.2</v>
      </c>
      <c r="CK229">
        <v>83.5</v>
      </c>
      <c r="CL229">
        <v>68.400000000000006</v>
      </c>
      <c r="CM229">
        <v>68.400000000000006</v>
      </c>
      <c r="CN229">
        <v>0</v>
      </c>
      <c r="CO229">
        <v>2.2000000000000002</v>
      </c>
      <c r="CP229">
        <v>195</v>
      </c>
      <c r="CQ229">
        <v>12</v>
      </c>
      <c r="CR229">
        <v>0</v>
      </c>
      <c r="CS229">
        <v>0</v>
      </c>
      <c r="CT229" t="s">
        <v>2415</v>
      </c>
      <c r="CU229">
        <v>196</v>
      </c>
      <c r="CV229">
        <v>67</v>
      </c>
      <c r="CW229">
        <v>14.5</v>
      </c>
      <c r="CX229">
        <v>0.7</v>
      </c>
      <c r="CY229">
        <v>13.6</v>
      </c>
      <c r="CZ229">
        <v>13.8</v>
      </c>
      <c r="DA229">
        <v>1</v>
      </c>
      <c r="DB229">
        <v>2</v>
      </c>
      <c r="DC229">
        <v>0</v>
      </c>
      <c r="DD229">
        <v>0</v>
      </c>
      <c r="DE229">
        <v>0</v>
      </c>
      <c r="DF229">
        <v>0</v>
      </c>
      <c r="DG229">
        <v>61.75</v>
      </c>
      <c r="DH229">
        <v>20.91</v>
      </c>
      <c r="DI229">
        <v>0</v>
      </c>
      <c r="DJ229" t="s">
        <v>3540</v>
      </c>
      <c r="DK229" t="s">
        <v>3541</v>
      </c>
      <c r="DL229" t="s">
        <v>3302</v>
      </c>
      <c r="DM229">
        <v>29.93</v>
      </c>
      <c r="DN229">
        <v>293.3</v>
      </c>
      <c r="DP229">
        <v>0</v>
      </c>
      <c r="DQ229" t="s">
        <v>2038</v>
      </c>
      <c r="EL229">
        <v>0</v>
      </c>
      <c r="EM229" t="s">
        <v>1255</v>
      </c>
    </row>
    <row r="230" spans="1:143" x14ac:dyDescent="0.35">
      <c r="A230" t="s">
        <v>52</v>
      </c>
      <c r="B230" t="s">
        <v>1257</v>
      </c>
      <c r="C230" t="s">
        <v>116</v>
      </c>
      <c r="D230" t="s">
        <v>120</v>
      </c>
      <c r="G230" t="s">
        <v>3542</v>
      </c>
      <c r="L230" t="s">
        <v>1896</v>
      </c>
      <c r="M230" t="s">
        <v>3294</v>
      </c>
      <c r="N230" t="s">
        <v>2556</v>
      </c>
      <c r="R230" t="s">
        <v>119</v>
      </c>
      <c r="S230" t="s">
        <v>1258</v>
      </c>
      <c r="T230" t="s">
        <v>117</v>
      </c>
      <c r="Z230" t="s">
        <v>3543</v>
      </c>
      <c r="AA230" t="s">
        <v>3544</v>
      </c>
      <c r="AB230">
        <v>3</v>
      </c>
      <c r="AC230">
        <v>6</v>
      </c>
      <c r="AD230" t="s">
        <v>1926</v>
      </c>
      <c r="AF230" t="s">
        <v>3545</v>
      </c>
      <c r="AG230" t="s">
        <v>1928</v>
      </c>
      <c r="AH230" t="s">
        <v>1929</v>
      </c>
      <c r="AI230">
        <v>75700</v>
      </c>
      <c r="AJ230">
        <v>0</v>
      </c>
      <c r="AL230">
        <v>0</v>
      </c>
      <c r="AS230" t="b">
        <v>1</v>
      </c>
      <c r="AT230">
        <v>0</v>
      </c>
      <c r="AU230">
        <v>0</v>
      </c>
      <c r="AV230" t="s">
        <v>1258</v>
      </c>
      <c r="AX230" t="s">
        <v>1261</v>
      </c>
      <c r="AY230" t="b">
        <v>1</v>
      </c>
      <c r="AZ230" t="b">
        <v>1</v>
      </c>
      <c r="BA230" t="s">
        <v>2137</v>
      </c>
      <c r="BD230" t="s">
        <v>3546</v>
      </c>
      <c r="BF230" t="s">
        <v>1906</v>
      </c>
      <c r="BG230" t="s">
        <v>3547</v>
      </c>
      <c r="BI230" t="s">
        <v>1258</v>
      </c>
      <c r="BJ230" t="s">
        <v>3516</v>
      </c>
      <c r="BK230" t="b">
        <v>0</v>
      </c>
      <c r="BL230" t="s">
        <v>3548</v>
      </c>
      <c r="BM230" t="s">
        <v>1259</v>
      </c>
      <c r="BN230" t="s">
        <v>1259</v>
      </c>
      <c r="BO230" t="s">
        <v>1259</v>
      </c>
      <c r="BQ230" t="s">
        <v>3543</v>
      </c>
      <c r="BR230">
        <v>3</v>
      </c>
      <c r="BS230">
        <v>6</v>
      </c>
      <c r="BT230" t="s">
        <v>3518</v>
      </c>
      <c r="BU230" t="s">
        <v>1908</v>
      </c>
      <c r="BV230">
        <v>0.5</v>
      </c>
      <c r="BW230" t="s">
        <v>1934</v>
      </c>
      <c r="BX230" t="s">
        <v>1949</v>
      </c>
      <c r="BY230" t="s">
        <v>1911</v>
      </c>
      <c r="BZ230" t="s">
        <v>1910</v>
      </c>
      <c r="CA230" t="s">
        <v>2147</v>
      </c>
      <c r="CB230" t="s">
        <v>3549</v>
      </c>
      <c r="CC230" t="s">
        <v>1996</v>
      </c>
      <c r="CD230" t="s">
        <v>1997</v>
      </c>
      <c r="CE230">
        <v>78.400000000000006</v>
      </c>
      <c r="CF230">
        <v>44.5</v>
      </c>
      <c r="CG230">
        <v>77.3</v>
      </c>
      <c r="CH230">
        <v>1009</v>
      </c>
      <c r="CI230">
        <v>30</v>
      </c>
      <c r="CJ230">
        <v>53</v>
      </c>
      <c r="CK230">
        <v>80.3</v>
      </c>
      <c r="CL230">
        <v>77.3</v>
      </c>
      <c r="CM230">
        <v>78.400000000000006</v>
      </c>
      <c r="CN230">
        <v>31680</v>
      </c>
      <c r="CO230">
        <v>7.2</v>
      </c>
      <c r="CP230">
        <v>221</v>
      </c>
      <c r="CQ230">
        <v>0</v>
      </c>
      <c r="CR230">
        <v>0</v>
      </c>
      <c r="CS230">
        <v>0</v>
      </c>
      <c r="CT230" t="s">
        <v>1915</v>
      </c>
      <c r="CU230">
        <v>118</v>
      </c>
      <c r="CV230">
        <v>130</v>
      </c>
      <c r="CW230">
        <v>0.7</v>
      </c>
      <c r="CX230">
        <v>1.1000000000000001</v>
      </c>
      <c r="CY230">
        <v>4.5</v>
      </c>
      <c r="CZ230">
        <v>5.8</v>
      </c>
      <c r="DA230">
        <v>1</v>
      </c>
      <c r="DB230">
        <v>1</v>
      </c>
      <c r="DC230">
        <v>0</v>
      </c>
      <c r="DD230">
        <v>0</v>
      </c>
      <c r="DE230">
        <v>0</v>
      </c>
      <c r="DF230">
        <v>0</v>
      </c>
      <c r="DG230">
        <v>178.29</v>
      </c>
      <c r="DH230">
        <v>54.96</v>
      </c>
      <c r="DI230">
        <v>0</v>
      </c>
      <c r="DJ230" t="s">
        <v>3300</v>
      </c>
      <c r="DM230">
        <v>13.87</v>
      </c>
      <c r="DN230">
        <v>327.2</v>
      </c>
      <c r="EL230">
        <v>0</v>
      </c>
      <c r="EM230" t="s">
        <v>1260</v>
      </c>
    </row>
    <row r="231" spans="1:143" x14ac:dyDescent="0.35">
      <c r="A231" t="s">
        <v>52</v>
      </c>
      <c r="B231" t="s">
        <v>1262</v>
      </c>
      <c r="C231" t="s">
        <v>116</v>
      </c>
      <c r="D231" t="s">
        <v>120</v>
      </c>
      <c r="G231" t="s">
        <v>3550</v>
      </c>
      <c r="L231" t="s">
        <v>1896</v>
      </c>
      <c r="M231" t="s">
        <v>3294</v>
      </c>
      <c r="N231" t="s">
        <v>3511</v>
      </c>
      <c r="R231" t="s">
        <v>119</v>
      </c>
      <c r="S231" t="s">
        <v>1263</v>
      </c>
      <c r="T231" t="s">
        <v>117</v>
      </c>
      <c r="V231" t="s">
        <v>2014</v>
      </c>
      <c r="W231" t="s">
        <v>2134</v>
      </c>
      <c r="X231" t="s">
        <v>3551</v>
      </c>
      <c r="Z231" t="s">
        <v>3552</v>
      </c>
      <c r="AA231" t="s">
        <v>3553</v>
      </c>
      <c r="AB231">
        <v>2</v>
      </c>
      <c r="AC231">
        <v>2</v>
      </c>
      <c r="AD231" t="s">
        <v>2221</v>
      </c>
      <c r="AE231">
        <v>1990</v>
      </c>
      <c r="AF231" t="s">
        <v>3535</v>
      </c>
      <c r="AG231" t="s">
        <v>3335</v>
      </c>
      <c r="AH231" t="s">
        <v>1903</v>
      </c>
      <c r="AI231">
        <v>540000</v>
      </c>
      <c r="AJ231">
        <v>0</v>
      </c>
      <c r="AL231">
        <v>0</v>
      </c>
      <c r="AS231" t="b">
        <v>1</v>
      </c>
      <c r="AT231">
        <v>0</v>
      </c>
      <c r="AU231">
        <v>0</v>
      </c>
      <c r="AV231" t="s">
        <v>1263</v>
      </c>
      <c r="AX231" t="s">
        <v>1266</v>
      </c>
      <c r="BA231" t="s">
        <v>2164</v>
      </c>
      <c r="BD231" t="s">
        <v>3554</v>
      </c>
      <c r="BF231" t="s">
        <v>1906</v>
      </c>
      <c r="BG231" t="s">
        <v>3555</v>
      </c>
      <c r="BI231" t="s">
        <v>1263</v>
      </c>
      <c r="BJ231" t="s">
        <v>3516</v>
      </c>
      <c r="BK231" t="b">
        <v>0</v>
      </c>
      <c r="BL231" t="s">
        <v>3556</v>
      </c>
      <c r="BM231" t="s">
        <v>1264</v>
      </c>
      <c r="BN231" t="s">
        <v>1264</v>
      </c>
      <c r="BO231" t="s">
        <v>1264</v>
      </c>
      <c r="BQ231" t="s">
        <v>3552</v>
      </c>
      <c r="BR231">
        <v>2</v>
      </c>
      <c r="BS231">
        <v>2</v>
      </c>
      <c r="BT231" t="s">
        <v>3518</v>
      </c>
      <c r="BU231" t="s">
        <v>1908</v>
      </c>
      <c r="BW231" t="s">
        <v>1934</v>
      </c>
      <c r="BX231" t="s">
        <v>1949</v>
      </c>
      <c r="BY231" t="s">
        <v>1911</v>
      </c>
      <c r="BZ231" t="s">
        <v>1995</v>
      </c>
      <c r="CB231" t="s">
        <v>3557</v>
      </c>
      <c r="CC231" t="s">
        <v>1961</v>
      </c>
      <c r="CD231" t="s">
        <v>1962</v>
      </c>
      <c r="CE231">
        <v>74.900000000000006</v>
      </c>
      <c r="CF231">
        <v>57.1</v>
      </c>
      <c r="CG231">
        <v>77.400000000000006</v>
      </c>
      <c r="CH231">
        <v>1003</v>
      </c>
      <c r="CI231">
        <v>55</v>
      </c>
      <c r="CJ231">
        <v>61.1</v>
      </c>
      <c r="CK231">
        <v>74.900000000000006</v>
      </c>
      <c r="CL231">
        <v>77.400000000000006</v>
      </c>
      <c r="CM231">
        <v>74.900000000000006</v>
      </c>
      <c r="CN231">
        <v>31680</v>
      </c>
      <c r="CO231">
        <v>10.3</v>
      </c>
      <c r="CP231">
        <v>299</v>
      </c>
      <c r="CQ231">
        <v>38</v>
      </c>
      <c r="CR231">
        <v>0</v>
      </c>
      <c r="CS231">
        <v>0</v>
      </c>
      <c r="CT231" t="s">
        <v>1915</v>
      </c>
      <c r="CU231">
        <v>113</v>
      </c>
      <c r="CV231">
        <v>88</v>
      </c>
      <c r="CW231">
        <v>0.5</v>
      </c>
      <c r="CX231">
        <v>0.1</v>
      </c>
      <c r="CY231">
        <v>7</v>
      </c>
      <c r="CZ231">
        <v>7.6</v>
      </c>
      <c r="DA231">
        <v>1</v>
      </c>
      <c r="DB231">
        <v>1</v>
      </c>
      <c r="DC231">
        <v>0</v>
      </c>
      <c r="DD231">
        <v>0</v>
      </c>
      <c r="DE231">
        <v>0</v>
      </c>
      <c r="DF231">
        <v>0</v>
      </c>
      <c r="DG231">
        <v>64.17</v>
      </c>
      <c r="DH231">
        <v>17</v>
      </c>
      <c r="DI231">
        <v>0</v>
      </c>
      <c r="DJ231" t="s">
        <v>3540</v>
      </c>
      <c r="DM231">
        <v>29.93</v>
      </c>
      <c r="DN231">
        <v>293.3</v>
      </c>
      <c r="EL231">
        <v>0</v>
      </c>
      <c r="EM231" t="s">
        <v>1265</v>
      </c>
    </row>
    <row r="232" spans="1:143" x14ac:dyDescent="0.35">
      <c r="A232" t="s">
        <v>52</v>
      </c>
      <c r="B232" t="s">
        <v>1267</v>
      </c>
      <c r="C232" t="s">
        <v>116</v>
      </c>
      <c r="D232" t="s">
        <v>120</v>
      </c>
      <c r="G232" t="s">
        <v>3558</v>
      </c>
      <c r="L232" t="s">
        <v>1896</v>
      </c>
      <c r="M232" t="s">
        <v>3294</v>
      </c>
      <c r="N232" t="s">
        <v>3511</v>
      </c>
      <c r="R232" t="s">
        <v>119</v>
      </c>
      <c r="S232" t="s">
        <v>1268</v>
      </c>
      <c r="T232" t="s">
        <v>117</v>
      </c>
      <c r="Z232" t="s">
        <v>3295</v>
      </c>
      <c r="AA232" t="s">
        <v>3521</v>
      </c>
      <c r="AB232">
        <v>1</v>
      </c>
      <c r="AC232">
        <v>2</v>
      </c>
      <c r="AD232" t="s">
        <v>1966</v>
      </c>
      <c r="AE232">
        <v>2009</v>
      </c>
      <c r="AF232" t="s">
        <v>3296</v>
      </c>
      <c r="AG232" t="s">
        <v>3021</v>
      </c>
      <c r="AH232" t="s">
        <v>1903</v>
      </c>
      <c r="AI232">
        <v>255100</v>
      </c>
      <c r="AJ232">
        <v>0</v>
      </c>
      <c r="AL232">
        <v>0</v>
      </c>
      <c r="AS232" t="b">
        <v>1</v>
      </c>
      <c r="AT232">
        <v>0</v>
      </c>
      <c r="AU232">
        <v>0</v>
      </c>
      <c r="AV232" t="s">
        <v>1268</v>
      </c>
      <c r="AX232" t="s">
        <v>1271</v>
      </c>
      <c r="BA232" t="s">
        <v>3559</v>
      </c>
      <c r="BD232" t="s">
        <v>3560</v>
      </c>
      <c r="BF232" t="s">
        <v>1906</v>
      </c>
      <c r="BG232" t="s">
        <v>1907</v>
      </c>
      <c r="BI232" t="s">
        <v>1268</v>
      </c>
      <c r="BJ232" t="s">
        <v>3523</v>
      </c>
      <c r="BK232" t="b">
        <v>0</v>
      </c>
      <c r="BM232" t="s">
        <v>1269</v>
      </c>
      <c r="BN232" t="s">
        <v>1269</v>
      </c>
      <c r="BO232" t="s">
        <v>1269</v>
      </c>
      <c r="BQ232" t="s">
        <v>3295</v>
      </c>
      <c r="BR232">
        <v>1</v>
      </c>
      <c r="BS232">
        <v>2</v>
      </c>
      <c r="BT232" t="s">
        <v>3518</v>
      </c>
      <c r="BU232" t="s">
        <v>1908</v>
      </c>
      <c r="BV232">
        <v>0</v>
      </c>
      <c r="BW232" t="s">
        <v>1934</v>
      </c>
      <c r="BX232" t="s">
        <v>1910</v>
      </c>
      <c r="BY232" t="s">
        <v>2039</v>
      </c>
      <c r="BZ232" t="s">
        <v>1910</v>
      </c>
      <c r="CA232" t="s">
        <v>2129</v>
      </c>
      <c r="CB232" t="s">
        <v>3561</v>
      </c>
      <c r="CC232" t="s">
        <v>1996</v>
      </c>
      <c r="CD232" t="s">
        <v>1997</v>
      </c>
      <c r="CE232">
        <v>76.3</v>
      </c>
      <c r="CF232">
        <v>52.8</v>
      </c>
      <c r="CG232">
        <v>77.5</v>
      </c>
      <c r="CH232">
        <v>1010</v>
      </c>
      <c r="CI232">
        <v>44</v>
      </c>
      <c r="CJ232">
        <v>66.400000000000006</v>
      </c>
      <c r="CK232">
        <v>89.4</v>
      </c>
      <c r="CL232">
        <v>77.5</v>
      </c>
      <c r="CM232">
        <v>76.3</v>
      </c>
      <c r="CN232">
        <v>31680</v>
      </c>
      <c r="CO232">
        <v>9.1999999999999993</v>
      </c>
      <c r="CP232">
        <v>326</v>
      </c>
      <c r="CQ232">
        <v>0</v>
      </c>
      <c r="CR232">
        <v>0</v>
      </c>
      <c r="CS232">
        <v>0</v>
      </c>
      <c r="CT232" t="s">
        <v>1915</v>
      </c>
      <c r="CU232">
        <v>117</v>
      </c>
      <c r="CV232">
        <v>83</v>
      </c>
      <c r="CW232">
        <v>1.2</v>
      </c>
      <c r="CX232">
        <v>0.3</v>
      </c>
      <c r="CY232">
        <v>0.3</v>
      </c>
      <c r="CZ232">
        <v>0.3</v>
      </c>
      <c r="DA232">
        <v>1</v>
      </c>
      <c r="DB232">
        <v>1</v>
      </c>
      <c r="DC232">
        <v>0</v>
      </c>
      <c r="DD232">
        <v>0</v>
      </c>
      <c r="DE232">
        <v>0</v>
      </c>
      <c r="DF232">
        <v>0</v>
      </c>
      <c r="DG232">
        <v>56.18</v>
      </c>
      <c r="DH232">
        <v>13.91</v>
      </c>
      <c r="DI232">
        <v>0</v>
      </c>
      <c r="DJ232" t="s">
        <v>3540</v>
      </c>
      <c r="DM232">
        <v>29.93</v>
      </c>
      <c r="DN232">
        <v>293.3</v>
      </c>
      <c r="EL232">
        <v>0</v>
      </c>
      <c r="EM232" t="s">
        <v>1270</v>
      </c>
    </row>
    <row r="233" spans="1:143" x14ac:dyDescent="0.35">
      <c r="A233" t="s">
        <v>52</v>
      </c>
      <c r="B233" t="s">
        <v>1272</v>
      </c>
      <c r="C233" t="s">
        <v>116</v>
      </c>
      <c r="D233" t="s">
        <v>120</v>
      </c>
      <c r="G233" t="s">
        <v>3562</v>
      </c>
      <c r="L233" t="s">
        <v>1896</v>
      </c>
      <c r="M233" t="s">
        <v>3294</v>
      </c>
      <c r="N233" t="s">
        <v>3511</v>
      </c>
      <c r="R233" t="s">
        <v>119</v>
      </c>
      <c r="S233" t="s">
        <v>1273</v>
      </c>
      <c r="T233" t="s">
        <v>117</v>
      </c>
      <c r="Z233" t="s">
        <v>3563</v>
      </c>
      <c r="AA233" t="s">
        <v>3564</v>
      </c>
      <c r="AB233">
        <v>1</v>
      </c>
      <c r="AC233">
        <v>2</v>
      </c>
      <c r="AD233" t="s">
        <v>1966</v>
      </c>
      <c r="AE233">
        <v>2015</v>
      </c>
      <c r="AF233" t="s">
        <v>3535</v>
      </c>
      <c r="AG233" t="s">
        <v>1928</v>
      </c>
      <c r="AH233" t="s">
        <v>1929</v>
      </c>
      <c r="AI233">
        <v>103800</v>
      </c>
      <c r="AJ233">
        <v>0</v>
      </c>
      <c r="AL233">
        <v>0</v>
      </c>
      <c r="AS233" t="b">
        <v>1</v>
      </c>
      <c r="AT233">
        <v>0</v>
      </c>
      <c r="AU233">
        <v>0</v>
      </c>
      <c r="AV233" t="s">
        <v>1273</v>
      </c>
      <c r="AX233" t="s">
        <v>1276</v>
      </c>
      <c r="BA233" t="s">
        <v>1931</v>
      </c>
      <c r="BD233" t="s">
        <v>3565</v>
      </c>
      <c r="BF233" t="s">
        <v>1906</v>
      </c>
      <c r="BG233" t="s">
        <v>2183</v>
      </c>
      <c r="BI233" t="s">
        <v>1273</v>
      </c>
      <c r="BJ233" t="s">
        <v>3516</v>
      </c>
      <c r="BK233" t="b">
        <v>0</v>
      </c>
      <c r="BL233" t="s">
        <v>3566</v>
      </c>
      <c r="BM233" t="s">
        <v>1274</v>
      </c>
      <c r="BN233" t="s">
        <v>1274</v>
      </c>
      <c r="BO233" t="s">
        <v>1274</v>
      </c>
      <c r="BQ233" t="s">
        <v>3563</v>
      </c>
      <c r="BR233">
        <v>1</v>
      </c>
      <c r="BS233">
        <v>2</v>
      </c>
      <c r="BT233" t="s">
        <v>3518</v>
      </c>
      <c r="BU233" t="s">
        <v>1908</v>
      </c>
      <c r="BV233">
        <v>0</v>
      </c>
      <c r="BW233" t="s">
        <v>2128</v>
      </c>
      <c r="BX233" t="s">
        <v>1949</v>
      </c>
      <c r="BY233" t="s">
        <v>1970</v>
      </c>
      <c r="BZ233" t="s">
        <v>1910</v>
      </c>
      <c r="CA233" t="s">
        <v>2147</v>
      </c>
      <c r="CB233" t="s">
        <v>3567</v>
      </c>
      <c r="CC233" t="s">
        <v>3568</v>
      </c>
      <c r="CD233" t="s">
        <v>3569</v>
      </c>
      <c r="CE233">
        <v>82.9</v>
      </c>
      <c r="CF233">
        <v>62.6</v>
      </c>
      <c r="CG233">
        <v>83.4</v>
      </c>
      <c r="CH233">
        <v>1014</v>
      </c>
      <c r="CI233">
        <v>45</v>
      </c>
      <c r="CJ233">
        <v>66.5</v>
      </c>
      <c r="CK233">
        <v>91</v>
      </c>
      <c r="CL233">
        <v>83.4</v>
      </c>
      <c r="CM233">
        <v>82.9</v>
      </c>
      <c r="CN233">
        <v>31680</v>
      </c>
      <c r="CO233">
        <v>8.3000000000000007</v>
      </c>
      <c r="CP233">
        <v>247</v>
      </c>
      <c r="CQ233">
        <v>79</v>
      </c>
      <c r="CR233">
        <v>0.02</v>
      </c>
      <c r="CS233">
        <v>0</v>
      </c>
      <c r="CT233" t="s">
        <v>1915</v>
      </c>
      <c r="CU233">
        <v>189.8500061035156</v>
      </c>
      <c r="CV233">
        <v>138</v>
      </c>
      <c r="CW233">
        <v>3.8499999046325679</v>
      </c>
      <c r="CX233">
        <v>1.8500000238418579</v>
      </c>
      <c r="CY233">
        <v>14.35000038146973</v>
      </c>
      <c r="CZ233">
        <v>17.45000076293945</v>
      </c>
      <c r="DA233">
        <v>1</v>
      </c>
      <c r="DB233">
        <v>2</v>
      </c>
      <c r="DC233">
        <v>0</v>
      </c>
      <c r="DD233">
        <v>0</v>
      </c>
      <c r="DE233">
        <v>20.309999999999999</v>
      </c>
      <c r="DF233">
        <v>1.1200000000000001</v>
      </c>
      <c r="DG233">
        <v>6.25</v>
      </c>
      <c r="DH233">
        <v>0</v>
      </c>
      <c r="DI233">
        <v>0</v>
      </c>
      <c r="DJ233" t="s">
        <v>3540</v>
      </c>
      <c r="DM233">
        <v>29.93</v>
      </c>
      <c r="DN233">
        <v>293.3</v>
      </c>
      <c r="EL233">
        <v>0</v>
      </c>
      <c r="EM233" t="s">
        <v>1275</v>
      </c>
    </row>
    <row r="234" spans="1:143" x14ac:dyDescent="0.35">
      <c r="A234" t="s">
        <v>52</v>
      </c>
      <c r="B234" t="s">
        <v>1277</v>
      </c>
      <c r="C234" t="s">
        <v>116</v>
      </c>
      <c r="D234" t="s">
        <v>120</v>
      </c>
      <c r="G234" t="s">
        <v>3570</v>
      </c>
      <c r="L234" t="s">
        <v>1896</v>
      </c>
      <c r="M234" t="s">
        <v>3294</v>
      </c>
      <c r="N234" t="s">
        <v>3511</v>
      </c>
      <c r="R234" t="s">
        <v>119</v>
      </c>
      <c r="S234" t="s">
        <v>1278</v>
      </c>
      <c r="T234" t="s">
        <v>117</v>
      </c>
      <c r="Z234" t="s">
        <v>3571</v>
      </c>
      <c r="AA234" t="s">
        <v>3572</v>
      </c>
      <c r="AB234">
        <v>1</v>
      </c>
      <c r="AC234">
        <v>2</v>
      </c>
      <c r="AD234" t="s">
        <v>1966</v>
      </c>
      <c r="AE234">
        <v>1997</v>
      </c>
      <c r="AF234" t="s">
        <v>3573</v>
      </c>
      <c r="AG234" t="s">
        <v>3256</v>
      </c>
      <c r="AH234" t="s">
        <v>1903</v>
      </c>
      <c r="AI234">
        <v>296200</v>
      </c>
      <c r="AJ234">
        <v>0</v>
      </c>
      <c r="AL234">
        <v>0</v>
      </c>
      <c r="AS234" t="b">
        <v>1</v>
      </c>
      <c r="AT234">
        <v>0</v>
      </c>
      <c r="AU234">
        <v>0</v>
      </c>
      <c r="AV234" t="s">
        <v>1278</v>
      </c>
      <c r="AX234" t="s">
        <v>1281</v>
      </c>
      <c r="BA234" t="s">
        <v>3559</v>
      </c>
      <c r="BD234" t="s">
        <v>3574</v>
      </c>
      <c r="BF234" t="s">
        <v>1906</v>
      </c>
      <c r="BG234" t="s">
        <v>3083</v>
      </c>
      <c r="BI234" t="s">
        <v>1278</v>
      </c>
      <c r="BJ234" t="s">
        <v>3516</v>
      </c>
      <c r="BK234" t="b">
        <v>0</v>
      </c>
      <c r="BM234" t="s">
        <v>1279</v>
      </c>
      <c r="BN234" t="s">
        <v>1279</v>
      </c>
      <c r="BO234" t="s">
        <v>1279</v>
      </c>
      <c r="BQ234" t="s">
        <v>3571</v>
      </c>
      <c r="BR234">
        <v>1</v>
      </c>
      <c r="BS234">
        <v>2</v>
      </c>
      <c r="BT234" t="s">
        <v>3518</v>
      </c>
      <c r="BU234" t="s">
        <v>1908</v>
      </c>
      <c r="BV234">
        <v>0</v>
      </c>
      <c r="BW234" t="s">
        <v>1934</v>
      </c>
      <c r="BX234" t="s">
        <v>1949</v>
      </c>
      <c r="BY234" t="s">
        <v>1970</v>
      </c>
      <c r="BZ234" t="s">
        <v>1910</v>
      </c>
      <c r="CA234" t="s">
        <v>2147</v>
      </c>
      <c r="CB234" t="s">
        <v>2982</v>
      </c>
      <c r="CC234" t="s">
        <v>1961</v>
      </c>
      <c r="CD234" t="s">
        <v>1962</v>
      </c>
      <c r="CE234">
        <v>88.2</v>
      </c>
      <c r="CF234">
        <v>62.7</v>
      </c>
      <c r="CG234">
        <v>90</v>
      </c>
      <c r="CH234">
        <v>1014</v>
      </c>
      <c r="CI234">
        <v>36</v>
      </c>
      <c r="CJ234">
        <v>66</v>
      </c>
      <c r="CK234">
        <v>90</v>
      </c>
      <c r="CL234">
        <v>90</v>
      </c>
      <c r="CM234">
        <v>88.2</v>
      </c>
      <c r="CN234">
        <v>31680</v>
      </c>
      <c r="CO234">
        <v>10.7</v>
      </c>
      <c r="CP234">
        <v>261</v>
      </c>
      <c r="CQ234">
        <v>35</v>
      </c>
      <c r="CR234">
        <v>0</v>
      </c>
      <c r="CS234">
        <v>0</v>
      </c>
      <c r="CT234" t="s">
        <v>1915</v>
      </c>
      <c r="CU234">
        <v>179.8500061035156</v>
      </c>
      <c r="CV234">
        <v>155</v>
      </c>
      <c r="CW234">
        <v>2.75</v>
      </c>
      <c r="CX234">
        <v>2.0499999523162842</v>
      </c>
      <c r="CY234">
        <v>15.35000038146973</v>
      </c>
      <c r="CZ234">
        <v>18.64999961853027</v>
      </c>
      <c r="DA234">
        <v>1</v>
      </c>
      <c r="DB234">
        <v>2</v>
      </c>
      <c r="DC234">
        <v>0</v>
      </c>
      <c r="DD234">
        <v>0</v>
      </c>
      <c r="DE234">
        <v>25.84</v>
      </c>
      <c r="DF234">
        <v>1.19</v>
      </c>
      <c r="DG234">
        <v>4.68</v>
      </c>
      <c r="DH234">
        <v>0</v>
      </c>
      <c r="DI234">
        <v>0</v>
      </c>
      <c r="DJ234" t="s">
        <v>3300</v>
      </c>
      <c r="DM234">
        <v>13.87</v>
      </c>
      <c r="DN234">
        <v>327.2</v>
      </c>
      <c r="EL234">
        <v>0</v>
      </c>
      <c r="EM234" t="s">
        <v>1280</v>
      </c>
    </row>
    <row r="235" spans="1:143" x14ac:dyDescent="0.35">
      <c r="A235" t="s">
        <v>52</v>
      </c>
      <c r="B235" t="s">
        <v>1282</v>
      </c>
      <c r="C235" t="s">
        <v>116</v>
      </c>
      <c r="D235" t="s">
        <v>120</v>
      </c>
      <c r="G235" t="s">
        <v>3570</v>
      </c>
      <c r="L235" t="s">
        <v>1896</v>
      </c>
      <c r="M235" t="s">
        <v>3294</v>
      </c>
      <c r="N235" t="s">
        <v>3511</v>
      </c>
      <c r="R235" t="s">
        <v>119</v>
      </c>
      <c r="S235" t="s">
        <v>1283</v>
      </c>
      <c r="T235" t="s">
        <v>117</v>
      </c>
      <c r="Z235" t="s">
        <v>3575</v>
      </c>
      <c r="AA235" t="s">
        <v>3576</v>
      </c>
      <c r="AB235">
        <v>2</v>
      </c>
      <c r="AC235">
        <v>4</v>
      </c>
      <c r="AD235" t="s">
        <v>2221</v>
      </c>
      <c r="AG235" t="s">
        <v>3335</v>
      </c>
      <c r="AH235" t="s">
        <v>1903</v>
      </c>
      <c r="AI235">
        <v>231400</v>
      </c>
      <c r="AJ235">
        <v>0</v>
      </c>
      <c r="AL235">
        <v>0</v>
      </c>
      <c r="AS235" t="b">
        <v>1</v>
      </c>
      <c r="AT235">
        <v>0</v>
      </c>
      <c r="AU235">
        <v>0</v>
      </c>
      <c r="AV235" t="s">
        <v>1283</v>
      </c>
      <c r="AX235" t="s">
        <v>1286</v>
      </c>
      <c r="BA235" t="s">
        <v>1904</v>
      </c>
      <c r="BD235" t="s">
        <v>3577</v>
      </c>
      <c r="BF235" t="s">
        <v>1906</v>
      </c>
      <c r="BG235" t="s">
        <v>3515</v>
      </c>
      <c r="BI235" t="s">
        <v>1283</v>
      </c>
      <c r="BJ235" t="s">
        <v>3516</v>
      </c>
      <c r="BK235" t="b">
        <v>0</v>
      </c>
      <c r="BL235" t="s">
        <v>3578</v>
      </c>
      <c r="BM235" t="s">
        <v>1284</v>
      </c>
      <c r="BN235" t="s">
        <v>1284</v>
      </c>
      <c r="BO235" t="s">
        <v>1284</v>
      </c>
      <c r="BQ235" t="s">
        <v>3575</v>
      </c>
      <c r="BR235">
        <v>2</v>
      </c>
      <c r="BS235">
        <v>4</v>
      </c>
      <c r="BT235" t="s">
        <v>3518</v>
      </c>
      <c r="BU235" t="s">
        <v>1908</v>
      </c>
      <c r="BV235">
        <v>0</v>
      </c>
      <c r="BW235" t="s">
        <v>1909</v>
      </c>
      <c r="BX235" t="s">
        <v>1949</v>
      </c>
      <c r="BY235" t="s">
        <v>1911</v>
      </c>
      <c r="BZ235" t="s">
        <v>1910</v>
      </c>
      <c r="CA235" t="s">
        <v>1950</v>
      </c>
      <c r="CB235" t="s">
        <v>2229</v>
      </c>
      <c r="CC235" t="s">
        <v>1996</v>
      </c>
      <c r="CD235" t="s">
        <v>1997</v>
      </c>
      <c r="CE235">
        <v>75</v>
      </c>
      <c r="CF235">
        <v>49.3</v>
      </c>
      <c r="CG235">
        <v>76.3</v>
      </c>
      <c r="CH235">
        <v>1008</v>
      </c>
      <c r="CI235">
        <v>40</v>
      </c>
      <c r="CJ235">
        <v>47.5</v>
      </c>
      <c r="CK235">
        <v>76.099999999999994</v>
      </c>
      <c r="CL235">
        <v>76.3</v>
      </c>
      <c r="CM235">
        <v>74.8</v>
      </c>
      <c r="CN235">
        <v>31680</v>
      </c>
      <c r="CO235">
        <v>15.9</v>
      </c>
      <c r="CP235">
        <v>223</v>
      </c>
      <c r="CQ235">
        <v>17</v>
      </c>
      <c r="CR235">
        <v>0</v>
      </c>
      <c r="CS235">
        <v>0</v>
      </c>
      <c r="CT235" t="s">
        <v>1915</v>
      </c>
      <c r="CU235">
        <v>161.8500061035156</v>
      </c>
      <c r="CV235">
        <v>133</v>
      </c>
      <c r="CW235">
        <v>3.75</v>
      </c>
      <c r="CX235">
        <v>4.25</v>
      </c>
      <c r="CY235">
        <v>10.64999961853027</v>
      </c>
      <c r="CZ235">
        <v>11.85000038146973</v>
      </c>
      <c r="DA235">
        <v>1</v>
      </c>
      <c r="DB235">
        <v>1</v>
      </c>
      <c r="DC235">
        <v>0</v>
      </c>
      <c r="DD235">
        <v>0</v>
      </c>
      <c r="DE235">
        <v>313.92</v>
      </c>
      <c r="DF235">
        <v>315.69</v>
      </c>
      <c r="DG235">
        <v>0</v>
      </c>
      <c r="DH235">
        <v>0</v>
      </c>
      <c r="DI235">
        <v>0</v>
      </c>
      <c r="DJ235" t="s">
        <v>3300</v>
      </c>
      <c r="DM235">
        <v>13.87</v>
      </c>
      <c r="DN235">
        <v>327.2</v>
      </c>
      <c r="EL235">
        <v>0</v>
      </c>
      <c r="EM235" t="s">
        <v>1285</v>
      </c>
    </row>
    <row r="236" spans="1:143" x14ac:dyDescent="0.35">
      <c r="A236" t="s">
        <v>52</v>
      </c>
      <c r="B236" t="s">
        <v>1287</v>
      </c>
      <c r="C236" t="s">
        <v>116</v>
      </c>
      <c r="D236" t="s">
        <v>120</v>
      </c>
      <c r="G236" t="s">
        <v>3579</v>
      </c>
      <c r="L236" t="s">
        <v>1896</v>
      </c>
      <c r="M236" t="s">
        <v>3294</v>
      </c>
      <c r="N236" t="s">
        <v>3511</v>
      </c>
      <c r="R236" t="s">
        <v>119</v>
      </c>
      <c r="S236" t="s">
        <v>1288</v>
      </c>
      <c r="T236" t="s">
        <v>117</v>
      </c>
      <c r="Z236" t="s">
        <v>3580</v>
      </c>
      <c r="AA236" t="s">
        <v>3581</v>
      </c>
      <c r="AB236">
        <v>2</v>
      </c>
      <c r="AC236">
        <v>5</v>
      </c>
      <c r="AD236" t="s">
        <v>2221</v>
      </c>
      <c r="AE236">
        <v>1947</v>
      </c>
      <c r="AF236" t="s">
        <v>3573</v>
      </c>
      <c r="AG236" t="s">
        <v>1928</v>
      </c>
      <c r="AH236" t="s">
        <v>1929</v>
      </c>
      <c r="AI236">
        <v>67300</v>
      </c>
      <c r="AJ236">
        <v>0</v>
      </c>
      <c r="AL236">
        <v>0</v>
      </c>
      <c r="AS236" t="b">
        <v>1</v>
      </c>
      <c r="AT236">
        <v>0</v>
      </c>
      <c r="AU236">
        <v>0</v>
      </c>
      <c r="AV236" t="s">
        <v>1288</v>
      </c>
      <c r="AX236" t="s">
        <v>1291</v>
      </c>
      <c r="BA236" t="s">
        <v>2164</v>
      </c>
      <c r="BD236" t="s">
        <v>3582</v>
      </c>
      <c r="BF236" t="s">
        <v>1906</v>
      </c>
      <c r="BG236" t="s">
        <v>3583</v>
      </c>
      <c r="BI236" t="s">
        <v>1288</v>
      </c>
      <c r="BJ236" t="s">
        <v>3584</v>
      </c>
      <c r="BK236" t="b">
        <v>0</v>
      </c>
      <c r="BL236" t="s">
        <v>3585</v>
      </c>
      <c r="BM236" t="s">
        <v>1289</v>
      </c>
      <c r="BN236" t="s">
        <v>1289</v>
      </c>
      <c r="BO236" t="s">
        <v>1289</v>
      </c>
      <c r="BQ236" t="s">
        <v>3580</v>
      </c>
      <c r="BR236">
        <v>2</v>
      </c>
      <c r="BS236">
        <v>5</v>
      </c>
      <c r="BT236" t="s">
        <v>3518</v>
      </c>
      <c r="BU236" t="s">
        <v>1908</v>
      </c>
      <c r="BV236">
        <v>0</v>
      </c>
      <c r="BW236" t="s">
        <v>2295</v>
      </c>
      <c r="BX236" t="s">
        <v>1949</v>
      </c>
      <c r="BY236" t="s">
        <v>1911</v>
      </c>
      <c r="BZ236" t="s">
        <v>1910</v>
      </c>
      <c r="CA236" t="s">
        <v>1950</v>
      </c>
      <c r="CB236" t="s">
        <v>3586</v>
      </c>
      <c r="CC236" t="s">
        <v>1938</v>
      </c>
      <c r="CD236" t="s">
        <v>1939</v>
      </c>
      <c r="CE236">
        <v>71.8</v>
      </c>
      <c r="CF236">
        <v>59.5</v>
      </c>
      <c r="CG236">
        <v>73.900000000000006</v>
      </c>
      <c r="CH236">
        <v>1014</v>
      </c>
      <c r="CI236">
        <v>65</v>
      </c>
      <c r="CJ236">
        <v>55.8</v>
      </c>
      <c r="CK236">
        <v>75</v>
      </c>
      <c r="CL236">
        <v>73.900000000000006</v>
      </c>
      <c r="CM236">
        <v>71.8</v>
      </c>
      <c r="CN236">
        <v>31680</v>
      </c>
      <c r="CO236">
        <v>7.2</v>
      </c>
      <c r="CP236">
        <v>239</v>
      </c>
      <c r="CQ236">
        <v>80</v>
      </c>
      <c r="CR236">
        <v>0</v>
      </c>
      <c r="CS236">
        <v>0</v>
      </c>
      <c r="CT236" t="s">
        <v>1915</v>
      </c>
      <c r="CU236">
        <v>163.8500061035156</v>
      </c>
      <c r="CV236">
        <v>107</v>
      </c>
      <c r="CW236">
        <v>2.5499999523162842</v>
      </c>
      <c r="CX236">
        <v>2.0499999523162842</v>
      </c>
      <c r="CY236">
        <v>6.9499998092651367</v>
      </c>
      <c r="CZ236">
        <v>8.75</v>
      </c>
      <c r="DA236">
        <v>1</v>
      </c>
      <c r="DB236">
        <v>1</v>
      </c>
      <c r="DC236">
        <v>0</v>
      </c>
      <c r="DD236">
        <v>0</v>
      </c>
      <c r="DE236">
        <v>254.86</v>
      </c>
      <c r="DF236">
        <v>340.22</v>
      </c>
      <c r="DG236">
        <v>0</v>
      </c>
      <c r="DH236">
        <v>0</v>
      </c>
      <c r="DI236">
        <v>0</v>
      </c>
      <c r="DJ236" t="s">
        <v>3300</v>
      </c>
      <c r="DM236">
        <v>13.87</v>
      </c>
      <c r="DN236">
        <v>327.2</v>
      </c>
      <c r="EL236">
        <v>0</v>
      </c>
      <c r="EM236" t="s">
        <v>1290</v>
      </c>
    </row>
    <row r="237" spans="1:143" x14ac:dyDescent="0.35">
      <c r="A237" t="s">
        <v>52</v>
      </c>
      <c r="B237" t="s">
        <v>1292</v>
      </c>
      <c r="C237" t="s">
        <v>116</v>
      </c>
      <c r="D237" t="s">
        <v>120</v>
      </c>
      <c r="G237" t="s">
        <v>3587</v>
      </c>
      <c r="L237" t="s">
        <v>1896</v>
      </c>
      <c r="M237" t="s">
        <v>3294</v>
      </c>
      <c r="N237" t="s">
        <v>3511</v>
      </c>
      <c r="R237" t="s">
        <v>119</v>
      </c>
      <c r="S237" t="s">
        <v>1293</v>
      </c>
      <c r="T237" t="s">
        <v>117</v>
      </c>
      <c r="Z237" t="s">
        <v>3588</v>
      </c>
      <c r="AA237" t="s">
        <v>3589</v>
      </c>
      <c r="AB237">
        <v>2</v>
      </c>
      <c r="AC237">
        <v>3</v>
      </c>
      <c r="AD237" t="s">
        <v>2221</v>
      </c>
      <c r="AF237" t="s">
        <v>3590</v>
      </c>
      <c r="AG237" t="s">
        <v>2234</v>
      </c>
      <c r="AH237" t="s">
        <v>1903</v>
      </c>
      <c r="AI237">
        <v>462000</v>
      </c>
      <c r="AJ237">
        <v>0</v>
      </c>
      <c r="AL237">
        <v>0</v>
      </c>
      <c r="AS237" t="b">
        <v>1</v>
      </c>
      <c r="AT237">
        <v>0</v>
      </c>
      <c r="AU237">
        <v>0</v>
      </c>
      <c r="AV237" t="s">
        <v>1293</v>
      </c>
      <c r="AX237" t="s">
        <v>1296</v>
      </c>
      <c r="BA237" t="s">
        <v>1956</v>
      </c>
      <c r="BD237" t="s">
        <v>3591</v>
      </c>
      <c r="BF237" t="s">
        <v>1906</v>
      </c>
      <c r="BG237" t="s">
        <v>3083</v>
      </c>
      <c r="BI237" t="s">
        <v>1293</v>
      </c>
      <c r="BJ237" t="s">
        <v>3516</v>
      </c>
      <c r="BK237" t="b">
        <v>0</v>
      </c>
      <c r="BL237" t="s">
        <v>3592</v>
      </c>
      <c r="BM237" t="s">
        <v>1294</v>
      </c>
      <c r="BN237" t="s">
        <v>1294</v>
      </c>
      <c r="BO237" t="s">
        <v>1294</v>
      </c>
      <c r="BP237" t="s">
        <v>3593</v>
      </c>
      <c r="BQ237" t="s">
        <v>3588</v>
      </c>
      <c r="BR237">
        <v>2</v>
      </c>
      <c r="BS237">
        <v>3</v>
      </c>
      <c r="BT237" t="s">
        <v>3518</v>
      </c>
      <c r="BU237" t="s">
        <v>1908</v>
      </c>
      <c r="BW237" t="s">
        <v>2114</v>
      </c>
      <c r="BX237" t="s">
        <v>1949</v>
      </c>
      <c r="BY237" t="s">
        <v>1970</v>
      </c>
      <c r="BZ237" t="s">
        <v>1995</v>
      </c>
      <c r="CB237" t="s">
        <v>2364</v>
      </c>
      <c r="CC237" t="s">
        <v>1938</v>
      </c>
      <c r="CD237" t="s">
        <v>1939</v>
      </c>
      <c r="CE237">
        <v>52.2</v>
      </c>
      <c r="CF237">
        <v>26.8</v>
      </c>
      <c r="CG237">
        <v>50.2</v>
      </c>
      <c r="CH237">
        <v>1029</v>
      </c>
      <c r="CI237">
        <v>36</v>
      </c>
      <c r="CJ237">
        <v>39</v>
      </c>
      <c r="CK237">
        <v>52.5</v>
      </c>
      <c r="CL237">
        <v>52.2</v>
      </c>
      <c r="CM237">
        <v>50.2</v>
      </c>
      <c r="CN237">
        <v>31680</v>
      </c>
      <c r="CO237">
        <v>7.4</v>
      </c>
      <c r="CP237">
        <v>229</v>
      </c>
      <c r="CQ237">
        <v>56</v>
      </c>
      <c r="CR237">
        <v>0</v>
      </c>
      <c r="CS237">
        <v>0</v>
      </c>
      <c r="CT237" t="s">
        <v>1915</v>
      </c>
      <c r="CU237">
        <v>168.8500061035156</v>
      </c>
      <c r="CV237">
        <v>100</v>
      </c>
      <c r="CW237">
        <v>10.55000019073486</v>
      </c>
      <c r="CX237">
        <v>3.4500000476837158</v>
      </c>
      <c r="CY237">
        <v>6.5500001907348633</v>
      </c>
      <c r="CZ237">
        <v>7.5500001907348633</v>
      </c>
      <c r="DA237">
        <v>1</v>
      </c>
      <c r="DB237">
        <v>1</v>
      </c>
      <c r="DC237">
        <v>0</v>
      </c>
      <c r="DD237">
        <v>0</v>
      </c>
      <c r="DE237">
        <v>159.84</v>
      </c>
      <c r="DF237">
        <v>172.59</v>
      </c>
      <c r="DG237">
        <v>0</v>
      </c>
      <c r="DH237">
        <v>0</v>
      </c>
      <c r="DI237">
        <v>0</v>
      </c>
      <c r="DJ237" t="s">
        <v>3594</v>
      </c>
      <c r="DM237">
        <v>12.05</v>
      </c>
      <c r="DN237">
        <v>657.1</v>
      </c>
      <c r="EL237">
        <v>0</v>
      </c>
      <c r="EM237" t="s">
        <v>1295</v>
      </c>
    </row>
    <row r="238" spans="1:143" x14ac:dyDescent="0.35">
      <c r="A238" t="s">
        <v>52</v>
      </c>
      <c r="B238" t="s">
        <v>1297</v>
      </c>
      <c r="C238" t="s">
        <v>116</v>
      </c>
      <c r="D238" t="s">
        <v>120</v>
      </c>
      <c r="G238" t="s">
        <v>3595</v>
      </c>
      <c r="L238" t="s">
        <v>1896</v>
      </c>
      <c r="M238" t="s">
        <v>3294</v>
      </c>
      <c r="N238" t="s">
        <v>3511</v>
      </c>
      <c r="R238" t="s">
        <v>119</v>
      </c>
      <c r="S238" t="s">
        <v>1298</v>
      </c>
      <c r="T238" t="s">
        <v>117</v>
      </c>
      <c r="U238" t="s">
        <v>1301</v>
      </c>
      <c r="Z238" t="s">
        <v>3295</v>
      </c>
      <c r="AA238" t="s">
        <v>3521</v>
      </c>
      <c r="AB238">
        <v>1</v>
      </c>
      <c r="AC238">
        <v>2</v>
      </c>
      <c r="AD238" t="s">
        <v>1966</v>
      </c>
      <c r="AE238">
        <v>1928</v>
      </c>
      <c r="AF238" t="s">
        <v>3596</v>
      </c>
      <c r="AG238" t="s">
        <v>1928</v>
      </c>
      <c r="AH238" t="s">
        <v>1903</v>
      </c>
      <c r="AI238">
        <v>130600</v>
      </c>
      <c r="AJ238">
        <v>0</v>
      </c>
      <c r="AL238">
        <v>0</v>
      </c>
      <c r="AS238" t="b">
        <v>1</v>
      </c>
      <c r="AT238">
        <v>0</v>
      </c>
      <c r="AU238">
        <v>0</v>
      </c>
      <c r="AV238" t="s">
        <v>1298</v>
      </c>
      <c r="AX238" t="s">
        <v>1302</v>
      </c>
      <c r="AY238" t="b">
        <v>1</v>
      </c>
      <c r="AZ238" t="b">
        <v>1</v>
      </c>
      <c r="BA238" t="s">
        <v>1977</v>
      </c>
      <c r="BD238" t="s">
        <v>3597</v>
      </c>
      <c r="BF238" t="s">
        <v>1906</v>
      </c>
      <c r="BG238" t="s">
        <v>3598</v>
      </c>
      <c r="BI238" t="s">
        <v>1298</v>
      </c>
      <c r="BJ238" t="s">
        <v>3599</v>
      </c>
      <c r="BK238" t="b">
        <v>0</v>
      </c>
      <c r="BL238" t="s">
        <v>3600</v>
      </c>
      <c r="BM238" t="s">
        <v>1299</v>
      </c>
      <c r="BN238" t="s">
        <v>1299</v>
      </c>
      <c r="BO238" t="s">
        <v>1299</v>
      </c>
      <c r="BP238" t="s">
        <v>3601</v>
      </c>
      <c r="BQ238" t="s">
        <v>3295</v>
      </c>
      <c r="BR238">
        <v>1</v>
      </c>
      <c r="BS238">
        <v>2</v>
      </c>
      <c r="BT238" t="s">
        <v>3518</v>
      </c>
      <c r="BU238" t="s">
        <v>1908</v>
      </c>
      <c r="BV238">
        <v>0</v>
      </c>
      <c r="BW238" t="s">
        <v>1948</v>
      </c>
      <c r="BX238" t="s">
        <v>1910</v>
      </c>
      <c r="BY238" t="s">
        <v>1970</v>
      </c>
      <c r="BZ238" t="s">
        <v>1995</v>
      </c>
      <c r="CA238" t="s">
        <v>1910</v>
      </c>
      <c r="CB238" t="s">
        <v>3602</v>
      </c>
      <c r="CC238" t="s">
        <v>1996</v>
      </c>
      <c r="CD238" t="s">
        <v>1997</v>
      </c>
      <c r="CE238">
        <v>54.5</v>
      </c>
      <c r="CF238">
        <v>43</v>
      </c>
      <c r="CG238">
        <v>52</v>
      </c>
      <c r="CH238">
        <v>1018</v>
      </c>
      <c r="CI238">
        <v>65</v>
      </c>
      <c r="CJ238">
        <v>36.700000000000003</v>
      </c>
      <c r="CK238">
        <v>59.9</v>
      </c>
      <c r="CL238">
        <v>54.5</v>
      </c>
      <c r="CM238">
        <v>52</v>
      </c>
      <c r="CN238">
        <v>31680</v>
      </c>
      <c r="CO238">
        <v>12.5</v>
      </c>
      <c r="CP238">
        <v>233</v>
      </c>
      <c r="CQ238">
        <v>6</v>
      </c>
      <c r="CR238">
        <v>0</v>
      </c>
      <c r="CS238">
        <v>0</v>
      </c>
      <c r="CT238" t="s">
        <v>1915</v>
      </c>
      <c r="DJ238" t="s">
        <v>3300</v>
      </c>
      <c r="DM238">
        <v>13.87</v>
      </c>
      <c r="DN238">
        <v>327.2</v>
      </c>
      <c r="DP238">
        <v>0</v>
      </c>
      <c r="DQ238" t="s">
        <v>2038</v>
      </c>
      <c r="EL238">
        <v>0</v>
      </c>
      <c r="EM238" t="s">
        <v>1300</v>
      </c>
    </row>
    <row r="239" spans="1:143" x14ac:dyDescent="0.35">
      <c r="A239" t="s">
        <v>52</v>
      </c>
      <c r="B239" t="s">
        <v>1303</v>
      </c>
      <c r="C239" t="s">
        <v>116</v>
      </c>
      <c r="D239" t="s">
        <v>120</v>
      </c>
      <c r="G239" t="s">
        <v>3603</v>
      </c>
      <c r="L239" t="s">
        <v>1896</v>
      </c>
      <c r="M239" t="s">
        <v>3294</v>
      </c>
      <c r="N239" t="s">
        <v>3511</v>
      </c>
      <c r="R239" t="s">
        <v>119</v>
      </c>
      <c r="S239" t="s">
        <v>1304</v>
      </c>
      <c r="T239" t="s">
        <v>117</v>
      </c>
      <c r="Z239" t="s">
        <v>3295</v>
      </c>
      <c r="AA239" t="s">
        <v>3521</v>
      </c>
      <c r="AB239">
        <v>1</v>
      </c>
      <c r="AC239">
        <v>4</v>
      </c>
      <c r="AD239" t="s">
        <v>1966</v>
      </c>
      <c r="AE239">
        <v>1996</v>
      </c>
      <c r="AF239" t="s">
        <v>3535</v>
      </c>
      <c r="AG239" t="s">
        <v>1928</v>
      </c>
      <c r="AH239" t="s">
        <v>1929</v>
      </c>
      <c r="AI239">
        <v>86400</v>
      </c>
      <c r="AJ239">
        <v>0</v>
      </c>
      <c r="AL239">
        <v>0</v>
      </c>
      <c r="AS239" t="b">
        <v>1</v>
      </c>
      <c r="AT239">
        <v>0</v>
      </c>
      <c r="AU239">
        <v>0</v>
      </c>
      <c r="AV239" t="s">
        <v>1304</v>
      </c>
      <c r="AX239" t="s">
        <v>1307</v>
      </c>
      <c r="BA239" t="s">
        <v>2062</v>
      </c>
      <c r="BD239" t="s">
        <v>3604</v>
      </c>
      <c r="BF239" t="s">
        <v>1906</v>
      </c>
      <c r="BG239" t="s">
        <v>2183</v>
      </c>
      <c r="BI239" t="s">
        <v>1304</v>
      </c>
      <c r="BJ239" t="s">
        <v>3599</v>
      </c>
      <c r="BK239" t="b">
        <v>0</v>
      </c>
      <c r="BL239" t="s">
        <v>3605</v>
      </c>
      <c r="BM239" t="s">
        <v>1305</v>
      </c>
      <c r="BN239" t="s">
        <v>1305</v>
      </c>
      <c r="BO239" t="s">
        <v>1305</v>
      </c>
      <c r="BP239" t="s">
        <v>3606</v>
      </c>
      <c r="BQ239" t="s">
        <v>3295</v>
      </c>
      <c r="BR239">
        <v>1</v>
      </c>
      <c r="BS239">
        <v>4</v>
      </c>
      <c r="BT239" t="s">
        <v>3518</v>
      </c>
      <c r="BU239" t="s">
        <v>1908</v>
      </c>
      <c r="BV239">
        <v>0</v>
      </c>
      <c r="BW239" t="s">
        <v>1948</v>
      </c>
      <c r="BX239" t="s">
        <v>1910</v>
      </c>
      <c r="BY239" t="s">
        <v>1911</v>
      </c>
      <c r="BZ239" t="s">
        <v>1910</v>
      </c>
      <c r="CA239" t="s">
        <v>1910</v>
      </c>
      <c r="CB239" t="s">
        <v>3292</v>
      </c>
      <c r="CC239" t="s">
        <v>1996</v>
      </c>
      <c r="CD239" t="s">
        <v>1997</v>
      </c>
      <c r="CE239">
        <v>45</v>
      </c>
      <c r="CF239">
        <v>26.6</v>
      </c>
      <c r="CG239">
        <v>38.700000000000003</v>
      </c>
      <c r="CH239">
        <v>1028</v>
      </c>
      <c r="CI239">
        <v>48</v>
      </c>
      <c r="CJ239">
        <v>23.5</v>
      </c>
      <c r="CK239">
        <v>45</v>
      </c>
      <c r="CL239">
        <v>45</v>
      </c>
      <c r="CM239">
        <v>38.700000000000003</v>
      </c>
      <c r="CN239">
        <v>31680</v>
      </c>
      <c r="CO239">
        <v>12.8</v>
      </c>
      <c r="CP239">
        <v>224</v>
      </c>
      <c r="CQ239">
        <v>6</v>
      </c>
      <c r="CR239">
        <v>0</v>
      </c>
      <c r="CS239">
        <v>0</v>
      </c>
      <c r="CT239" t="s">
        <v>1915</v>
      </c>
      <c r="DJ239" t="s">
        <v>3540</v>
      </c>
      <c r="DM239">
        <v>29.93</v>
      </c>
      <c r="DN239">
        <v>293.3</v>
      </c>
      <c r="EL239">
        <v>0</v>
      </c>
      <c r="EM239" t="s">
        <v>1306</v>
      </c>
    </row>
    <row r="240" spans="1:143" x14ac:dyDescent="0.35">
      <c r="A240" t="s">
        <v>54</v>
      </c>
      <c r="B240" t="s">
        <v>1308</v>
      </c>
      <c r="C240" t="s">
        <v>116</v>
      </c>
      <c r="D240" t="s">
        <v>120</v>
      </c>
      <c r="G240" t="s">
        <v>3607</v>
      </c>
      <c r="H240" t="s">
        <v>3608</v>
      </c>
      <c r="L240" t="s">
        <v>1896</v>
      </c>
      <c r="R240" t="s">
        <v>119</v>
      </c>
      <c r="S240" t="s">
        <v>1309</v>
      </c>
      <c r="T240" t="s">
        <v>117</v>
      </c>
      <c r="Z240" t="s">
        <v>3609</v>
      </c>
      <c r="AA240" t="s">
        <v>3610</v>
      </c>
      <c r="AB240">
        <v>1</v>
      </c>
      <c r="AC240">
        <v>2</v>
      </c>
      <c r="AD240" t="s">
        <v>1966</v>
      </c>
      <c r="AJ240">
        <v>0</v>
      </c>
      <c r="AL240">
        <v>0</v>
      </c>
      <c r="AV240" t="s">
        <v>1309</v>
      </c>
      <c r="AW240" t="s">
        <v>1955</v>
      </c>
      <c r="AX240" t="s">
        <v>1312</v>
      </c>
      <c r="AY240" t="b">
        <v>1</v>
      </c>
      <c r="AZ240" t="b">
        <v>1</v>
      </c>
      <c r="BA240" t="s">
        <v>1904</v>
      </c>
      <c r="BD240" t="s">
        <v>3611</v>
      </c>
      <c r="BF240" t="s">
        <v>1906</v>
      </c>
      <c r="BG240" t="s">
        <v>1907</v>
      </c>
      <c r="BI240" t="s">
        <v>1309</v>
      </c>
      <c r="BK240" t="b">
        <v>0</v>
      </c>
      <c r="BM240" t="s">
        <v>1310</v>
      </c>
      <c r="BN240" t="s">
        <v>1310</v>
      </c>
      <c r="BO240" t="s">
        <v>1310</v>
      </c>
      <c r="BP240" t="s">
        <v>3612</v>
      </c>
      <c r="BQ240" t="s">
        <v>3609</v>
      </c>
      <c r="BR240">
        <v>1</v>
      </c>
      <c r="BS240">
        <v>2</v>
      </c>
      <c r="BT240" t="s">
        <v>3613</v>
      </c>
      <c r="BU240" t="s">
        <v>1908</v>
      </c>
      <c r="BW240" t="s">
        <v>1934</v>
      </c>
      <c r="BX240" t="s">
        <v>1949</v>
      </c>
      <c r="BY240" t="s">
        <v>1911</v>
      </c>
      <c r="CB240" t="s">
        <v>3614</v>
      </c>
      <c r="CC240" t="s">
        <v>1996</v>
      </c>
      <c r="CD240" t="s">
        <v>1997</v>
      </c>
      <c r="CE240">
        <v>79.7</v>
      </c>
      <c r="CF240">
        <v>48.7</v>
      </c>
      <c r="CG240">
        <v>78.8</v>
      </c>
      <c r="CH240">
        <v>1018</v>
      </c>
      <c r="CI240">
        <v>34</v>
      </c>
      <c r="CJ240">
        <v>55.4</v>
      </c>
      <c r="CK240">
        <v>82.5</v>
      </c>
      <c r="CL240">
        <v>78.8</v>
      </c>
      <c r="CM240">
        <v>79.7</v>
      </c>
      <c r="CN240">
        <v>31680</v>
      </c>
      <c r="CO240">
        <v>9.1999999999999993</v>
      </c>
      <c r="CP240">
        <v>100</v>
      </c>
      <c r="CQ240">
        <v>8</v>
      </c>
      <c r="CR240">
        <v>0</v>
      </c>
      <c r="CS240">
        <v>0</v>
      </c>
      <c r="CT240" t="s">
        <v>1915</v>
      </c>
      <c r="CU240">
        <v>132</v>
      </c>
      <c r="CV240">
        <v>128</v>
      </c>
      <c r="CW240">
        <v>1.3</v>
      </c>
      <c r="CX240">
        <v>0.4</v>
      </c>
      <c r="CY240">
        <v>7.6</v>
      </c>
      <c r="CZ240">
        <v>8</v>
      </c>
      <c r="DA240">
        <v>1</v>
      </c>
      <c r="DB240">
        <v>1</v>
      </c>
      <c r="DC240">
        <v>0</v>
      </c>
      <c r="DD240">
        <v>0</v>
      </c>
      <c r="DE240">
        <v>0</v>
      </c>
      <c r="DF240">
        <v>0</v>
      </c>
      <c r="DG240">
        <v>217.07</v>
      </c>
      <c r="DH240">
        <v>171.74</v>
      </c>
      <c r="DI240">
        <v>0</v>
      </c>
      <c r="DJ240" t="s">
        <v>3615</v>
      </c>
      <c r="DK240" t="s">
        <v>3616</v>
      </c>
      <c r="DL240" t="s">
        <v>3466</v>
      </c>
      <c r="DM240">
        <v>9.57</v>
      </c>
      <c r="DN240">
        <v>650.70000000000005</v>
      </c>
      <c r="EL240">
        <v>0</v>
      </c>
      <c r="EM240" t="s">
        <v>1311</v>
      </c>
    </row>
    <row r="241" spans="1:143" x14ac:dyDescent="0.35">
      <c r="A241" t="s">
        <v>54</v>
      </c>
      <c r="B241" t="s">
        <v>1313</v>
      </c>
      <c r="C241" t="s">
        <v>116</v>
      </c>
      <c r="D241" t="s">
        <v>120</v>
      </c>
      <c r="F241" t="s">
        <v>2226</v>
      </c>
      <c r="G241" t="s">
        <v>3617</v>
      </c>
      <c r="H241" t="s">
        <v>3618</v>
      </c>
      <c r="L241" t="s">
        <v>1896</v>
      </c>
      <c r="R241" t="s">
        <v>119</v>
      </c>
      <c r="S241" t="s">
        <v>1314</v>
      </c>
      <c r="T241" t="s">
        <v>117</v>
      </c>
      <c r="Z241" t="s">
        <v>3619</v>
      </c>
      <c r="AA241" t="s">
        <v>3620</v>
      </c>
      <c r="AB241">
        <v>3</v>
      </c>
      <c r="AC241">
        <v>5</v>
      </c>
      <c r="AD241" t="s">
        <v>1926</v>
      </c>
      <c r="AJ241">
        <v>0</v>
      </c>
      <c r="AL241">
        <v>0</v>
      </c>
      <c r="AV241" t="s">
        <v>1314</v>
      </c>
      <c r="AX241" t="s">
        <v>1317</v>
      </c>
      <c r="AY241" t="b">
        <v>1</v>
      </c>
      <c r="AZ241" t="b">
        <v>1</v>
      </c>
      <c r="BA241" t="s">
        <v>3621</v>
      </c>
      <c r="BD241" t="s">
        <v>3622</v>
      </c>
      <c r="BF241" t="s">
        <v>2016</v>
      </c>
      <c r="BI241" t="s">
        <v>1314</v>
      </c>
      <c r="BK241" t="b">
        <v>0</v>
      </c>
      <c r="BM241" t="s">
        <v>1315</v>
      </c>
      <c r="BN241" t="s">
        <v>1315</v>
      </c>
      <c r="BO241" t="s">
        <v>1315</v>
      </c>
      <c r="BP241" t="s">
        <v>3623</v>
      </c>
      <c r="BQ241" t="s">
        <v>3619</v>
      </c>
      <c r="BR241">
        <v>3</v>
      </c>
      <c r="BS241">
        <v>5</v>
      </c>
      <c r="BT241" t="s">
        <v>3624</v>
      </c>
      <c r="BU241" t="s">
        <v>1908</v>
      </c>
      <c r="BW241" t="s">
        <v>1934</v>
      </c>
      <c r="BX241" t="s">
        <v>1910</v>
      </c>
      <c r="BY241" t="s">
        <v>1911</v>
      </c>
      <c r="CA241" t="s">
        <v>1910</v>
      </c>
      <c r="CB241" t="s">
        <v>3625</v>
      </c>
      <c r="CC241" t="s">
        <v>1996</v>
      </c>
      <c r="CD241" t="s">
        <v>1997</v>
      </c>
      <c r="CE241">
        <v>74.7</v>
      </c>
      <c r="CF241">
        <v>64.7</v>
      </c>
      <c r="CG241">
        <v>77.8</v>
      </c>
      <c r="CH241">
        <v>1007</v>
      </c>
      <c r="CI241">
        <v>71</v>
      </c>
      <c r="CJ241">
        <v>69.8</v>
      </c>
      <c r="CK241">
        <v>91.3</v>
      </c>
      <c r="CL241">
        <v>77.8</v>
      </c>
      <c r="CM241">
        <v>74.7</v>
      </c>
      <c r="CN241">
        <v>31680</v>
      </c>
      <c r="CO241">
        <v>11.2</v>
      </c>
      <c r="CP241">
        <v>279</v>
      </c>
      <c r="CQ241">
        <v>0</v>
      </c>
      <c r="CR241">
        <v>0</v>
      </c>
      <c r="CS241">
        <v>0</v>
      </c>
      <c r="CT241" t="s">
        <v>1915</v>
      </c>
      <c r="CU241">
        <v>138</v>
      </c>
      <c r="CV241">
        <v>107</v>
      </c>
      <c r="CW241">
        <v>3</v>
      </c>
      <c r="CX241">
        <v>1.5</v>
      </c>
      <c r="CY241">
        <v>8.3000000000000007</v>
      </c>
      <c r="CZ241">
        <v>8.4</v>
      </c>
      <c r="DA241">
        <v>1</v>
      </c>
      <c r="DB241">
        <v>1</v>
      </c>
      <c r="DC241">
        <v>0</v>
      </c>
      <c r="DD241">
        <v>0</v>
      </c>
      <c r="DE241">
        <v>0</v>
      </c>
      <c r="DF241">
        <v>0</v>
      </c>
      <c r="DG241">
        <v>58.48</v>
      </c>
      <c r="DH241">
        <v>38.46</v>
      </c>
      <c r="DI241">
        <v>0</v>
      </c>
      <c r="DJ241" t="s">
        <v>3626</v>
      </c>
      <c r="DK241" t="s">
        <v>3627</v>
      </c>
      <c r="DL241" t="s">
        <v>1961</v>
      </c>
      <c r="DM241">
        <v>7.36</v>
      </c>
      <c r="DN241">
        <v>851.4</v>
      </c>
      <c r="DO241" t="s">
        <v>2070</v>
      </c>
      <c r="EL241">
        <v>0</v>
      </c>
      <c r="EM241" t="s">
        <v>1316</v>
      </c>
    </row>
    <row r="242" spans="1:143" x14ac:dyDescent="0.35">
      <c r="A242" t="s">
        <v>54</v>
      </c>
      <c r="B242" t="s">
        <v>1318</v>
      </c>
      <c r="C242" t="s">
        <v>116</v>
      </c>
      <c r="D242" t="s">
        <v>120</v>
      </c>
      <c r="G242" t="s">
        <v>3628</v>
      </c>
      <c r="H242" t="s">
        <v>1920</v>
      </c>
      <c r="L242" t="s">
        <v>1896</v>
      </c>
      <c r="R242" t="s">
        <v>119</v>
      </c>
      <c r="S242" t="s">
        <v>1319</v>
      </c>
      <c r="T242" t="s">
        <v>117</v>
      </c>
      <c r="Z242" t="s">
        <v>3609</v>
      </c>
      <c r="AA242" t="s">
        <v>3610</v>
      </c>
      <c r="AB242">
        <v>1</v>
      </c>
      <c r="AC242">
        <v>2</v>
      </c>
      <c r="AD242" t="s">
        <v>1966</v>
      </c>
      <c r="AE242">
        <v>1979</v>
      </c>
      <c r="AF242" t="s">
        <v>3629</v>
      </c>
      <c r="AG242" t="s">
        <v>2988</v>
      </c>
      <c r="AH242" t="s">
        <v>1903</v>
      </c>
      <c r="AI242">
        <v>3724800</v>
      </c>
      <c r="AJ242">
        <v>0</v>
      </c>
      <c r="AL242">
        <v>0</v>
      </c>
      <c r="AV242" t="s">
        <v>1319</v>
      </c>
      <c r="AW242" t="s">
        <v>1968</v>
      </c>
      <c r="AX242" t="s">
        <v>1322</v>
      </c>
      <c r="AY242" t="b">
        <v>1</v>
      </c>
      <c r="AZ242" t="b">
        <v>1</v>
      </c>
      <c r="BA242" t="s">
        <v>1904</v>
      </c>
      <c r="BD242" t="s">
        <v>3630</v>
      </c>
      <c r="BF242" t="s">
        <v>1906</v>
      </c>
      <c r="BG242" t="s">
        <v>1907</v>
      </c>
      <c r="BI242" t="s">
        <v>1319</v>
      </c>
      <c r="BK242" t="b">
        <v>0</v>
      </c>
      <c r="BM242" t="s">
        <v>1320</v>
      </c>
      <c r="BN242" t="s">
        <v>1320</v>
      </c>
      <c r="BO242" t="s">
        <v>1320</v>
      </c>
      <c r="BP242" t="s">
        <v>3631</v>
      </c>
      <c r="BQ242" t="s">
        <v>3609</v>
      </c>
      <c r="BR242">
        <v>1</v>
      </c>
      <c r="BS242">
        <v>2</v>
      </c>
      <c r="BT242" t="s">
        <v>3632</v>
      </c>
      <c r="BU242" t="s">
        <v>1908</v>
      </c>
      <c r="BW242" t="s">
        <v>1934</v>
      </c>
      <c r="BX242" t="s">
        <v>1949</v>
      </c>
      <c r="BY242" t="s">
        <v>1911</v>
      </c>
      <c r="CB242" t="s">
        <v>3633</v>
      </c>
      <c r="CC242" t="s">
        <v>1938</v>
      </c>
      <c r="CD242" t="s">
        <v>1939</v>
      </c>
      <c r="CE242">
        <v>63.9</v>
      </c>
      <c r="CF242">
        <v>55.7</v>
      </c>
      <c r="CG242">
        <v>63.9</v>
      </c>
      <c r="CH242">
        <v>1008</v>
      </c>
      <c r="CI242">
        <v>77</v>
      </c>
      <c r="CJ242">
        <v>61.5</v>
      </c>
      <c r="CK242">
        <v>79.8</v>
      </c>
      <c r="CL242">
        <v>63.9</v>
      </c>
      <c r="CM242">
        <v>63.9</v>
      </c>
      <c r="CN242">
        <v>31680</v>
      </c>
      <c r="CO242">
        <v>9.4</v>
      </c>
      <c r="CP242">
        <v>170</v>
      </c>
      <c r="CQ242">
        <v>66</v>
      </c>
      <c r="CR242">
        <v>0</v>
      </c>
      <c r="CS242">
        <v>0</v>
      </c>
      <c r="CT242" t="s">
        <v>1915</v>
      </c>
      <c r="CU242">
        <v>123</v>
      </c>
      <c r="CV242">
        <v>91</v>
      </c>
      <c r="CW242">
        <v>5.6</v>
      </c>
      <c r="CX242">
        <v>0.7</v>
      </c>
      <c r="CY242">
        <v>9.6999999999999993</v>
      </c>
      <c r="CZ242">
        <v>12.5</v>
      </c>
      <c r="DA242">
        <v>1</v>
      </c>
      <c r="DB242">
        <v>1</v>
      </c>
      <c r="DC242">
        <v>0</v>
      </c>
      <c r="DD242">
        <v>0</v>
      </c>
      <c r="DE242">
        <v>0</v>
      </c>
      <c r="DF242">
        <v>0</v>
      </c>
      <c r="DG242">
        <v>22.01</v>
      </c>
      <c r="DH242">
        <v>7.14</v>
      </c>
      <c r="DI242">
        <v>0</v>
      </c>
      <c r="DJ242" t="s">
        <v>3626</v>
      </c>
      <c r="DM242">
        <v>7.36</v>
      </c>
      <c r="DN242">
        <v>851.4</v>
      </c>
      <c r="EL242">
        <v>0</v>
      </c>
      <c r="EM242" t="s">
        <v>1321</v>
      </c>
    </row>
    <row r="243" spans="1:143" x14ac:dyDescent="0.35">
      <c r="A243" t="s">
        <v>54</v>
      </c>
      <c r="B243" t="s">
        <v>1323</v>
      </c>
      <c r="C243" t="s">
        <v>116</v>
      </c>
      <c r="D243" t="s">
        <v>120</v>
      </c>
      <c r="G243" t="s">
        <v>3634</v>
      </c>
      <c r="H243" t="s">
        <v>3635</v>
      </c>
      <c r="L243" t="s">
        <v>1896</v>
      </c>
      <c r="M243" t="s">
        <v>3636</v>
      </c>
      <c r="R243" t="s">
        <v>119</v>
      </c>
      <c r="S243" t="s">
        <v>1324</v>
      </c>
      <c r="T243" t="s">
        <v>117</v>
      </c>
      <c r="Z243" t="s">
        <v>3609</v>
      </c>
      <c r="AA243" t="s">
        <v>3610</v>
      </c>
      <c r="AB243">
        <v>1</v>
      </c>
      <c r="AC243">
        <v>2</v>
      </c>
      <c r="AD243" t="s">
        <v>2233</v>
      </c>
      <c r="AE243">
        <v>1984</v>
      </c>
      <c r="AF243" t="s">
        <v>2181</v>
      </c>
      <c r="AG243" t="s">
        <v>1928</v>
      </c>
      <c r="AH243" t="s">
        <v>1929</v>
      </c>
      <c r="AI243">
        <v>273700</v>
      </c>
      <c r="AJ243">
        <v>0</v>
      </c>
      <c r="AL243">
        <v>0</v>
      </c>
      <c r="AV243" t="s">
        <v>1324</v>
      </c>
      <c r="AX243" t="s">
        <v>1327</v>
      </c>
      <c r="BD243" t="s">
        <v>3637</v>
      </c>
      <c r="BF243" t="s">
        <v>1906</v>
      </c>
      <c r="BG243" t="s">
        <v>1907</v>
      </c>
      <c r="BI243" t="s">
        <v>1324</v>
      </c>
      <c r="BK243" t="b">
        <v>0</v>
      </c>
      <c r="BM243" t="s">
        <v>1325</v>
      </c>
      <c r="BN243" t="s">
        <v>1325</v>
      </c>
      <c r="BO243" t="s">
        <v>1325</v>
      </c>
      <c r="BP243" t="s">
        <v>3638</v>
      </c>
      <c r="BQ243" t="s">
        <v>3609</v>
      </c>
      <c r="BR243">
        <v>1</v>
      </c>
      <c r="BS243">
        <v>2</v>
      </c>
      <c r="BT243" t="s">
        <v>3639</v>
      </c>
      <c r="BU243" t="s">
        <v>1908</v>
      </c>
      <c r="BW243" t="s">
        <v>1934</v>
      </c>
      <c r="BX243" t="s">
        <v>1949</v>
      </c>
      <c r="BY243" t="s">
        <v>1970</v>
      </c>
      <c r="CB243" t="s">
        <v>2895</v>
      </c>
      <c r="CC243" t="s">
        <v>1996</v>
      </c>
      <c r="CD243" t="s">
        <v>1997</v>
      </c>
      <c r="CE243">
        <v>86.3</v>
      </c>
      <c r="CF243">
        <v>48.5</v>
      </c>
      <c r="CG243">
        <v>83.9</v>
      </c>
      <c r="CH243">
        <v>1009</v>
      </c>
      <c r="CI243">
        <v>26</v>
      </c>
      <c r="CJ243">
        <v>66.5</v>
      </c>
      <c r="CK243">
        <v>87</v>
      </c>
      <c r="CL243">
        <v>83.9</v>
      </c>
      <c r="CM243">
        <v>86.3</v>
      </c>
      <c r="CN243">
        <v>31680</v>
      </c>
      <c r="CO243">
        <v>8.1</v>
      </c>
      <c r="CP243">
        <v>310</v>
      </c>
      <c r="CQ243">
        <v>6</v>
      </c>
      <c r="CR243">
        <v>0</v>
      </c>
      <c r="CS243">
        <v>0</v>
      </c>
      <c r="CT243" t="s">
        <v>1915</v>
      </c>
      <c r="CU243">
        <v>111</v>
      </c>
      <c r="CV243">
        <v>94</v>
      </c>
      <c r="CW243">
        <v>0.7</v>
      </c>
      <c r="CX243">
        <v>0.2</v>
      </c>
      <c r="CY243">
        <v>3.1</v>
      </c>
      <c r="CZ243">
        <v>4</v>
      </c>
      <c r="DA243">
        <v>1</v>
      </c>
      <c r="DB243">
        <v>1</v>
      </c>
      <c r="DC243">
        <v>0</v>
      </c>
      <c r="DD243">
        <v>0</v>
      </c>
      <c r="DE243">
        <v>0</v>
      </c>
      <c r="DF243">
        <v>0</v>
      </c>
      <c r="DG243">
        <v>265.89999999999998</v>
      </c>
      <c r="DH243">
        <v>45.72</v>
      </c>
      <c r="DI243">
        <v>0</v>
      </c>
      <c r="DJ243" t="s">
        <v>3615</v>
      </c>
      <c r="DM243">
        <v>9.57</v>
      </c>
      <c r="DN243">
        <v>650.70000000000005</v>
      </c>
      <c r="EL243">
        <v>0</v>
      </c>
      <c r="EM243" t="s">
        <v>1326</v>
      </c>
    </row>
    <row r="244" spans="1:143" x14ac:dyDescent="0.35">
      <c r="A244" t="s">
        <v>54</v>
      </c>
      <c r="B244" t="s">
        <v>1328</v>
      </c>
      <c r="C244" t="s">
        <v>116</v>
      </c>
      <c r="D244" t="s">
        <v>120</v>
      </c>
      <c r="F244" t="s">
        <v>2565</v>
      </c>
      <c r="G244" t="s">
        <v>3640</v>
      </c>
      <c r="L244" t="s">
        <v>1896</v>
      </c>
      <c r="M244" t="s">
        <v>3636</v>
      </c>
      <c r="N244" t="s">
        <v>1898</v>
      </c>
      <c r="R244" t="s">
        <v>119</v>
      </c>
      <c r="S244" t="s">
        <v>1329</v>
      </c>
      <c r="T244" t="s">
        <v>117</v>
      </c>
      <c r="Z244" t="s">
        <v>3641</v>
      </c>
      <c r="AA244" t="s">
        <v>3642</v>
      </c>
      <c r="AB244">
        <v>2</v>
      </c>
      <c r="AC244">
        <v>4</v>
      </c>
      <c r="AD244" t="s">
        <v>1966</v>
      </c>
      <c r="AE244">
        <v>1996</v>
      </c>
      <c r="AF244" t="s">
        <v>3629</v>
      </c>
      <c r="AG244" t="s">
        <v>2426</v>
      </c>
      <c r="AH244" t="s">
        <v>1903</v>
      </c>
      <c r="AI244">
        <v>1881300</v>
      </c>
      <c r="AJ244">
        <v>0</v>
      </c>
      <c r="AL244">
        <v>0</v>
      </c>
      <c r="AS244" t="b">
        <v>0</v>
      </c>
      <c r="AV244" t="s">
        <v>1329</v>
      </c>
      <c r="AW244" t="s">
        <v>3643</v>
      </c>
      <c r="AX244" t="s">
        <v>1332</v>
      </c>
      <c r="AY244" t="b">
        <v>0</v>
      </c>
      <c r="BA244" t="s">
        <v>1931</v>
      </c>
      <c r="BB244" t="s">
        <v>3644</v>
      </c>
      <c r="BD244" t="s">
        <v>3645</v>
      </c>
      <c r="BI244" t="s">
        <v>1329</v>
      </c>
      <c r="BK244" t="b">
        <v>0</v>
      </c>
      <c r="BM244" t="s">
        <v>1330</v>
      </c>
      <c r="BN244" t="s">
        <v>1330</v>
      </c>
      <c r="BO244" t="s">
        <v>1330</v>
      </c>
      <c r="BP244" t="s">
        <v>3646</v>
      </c>
      <c r="BQ244" t="s">
        <v>3641</v>
      </c>
      <c r="BR244">
        <v>2</v>
      </c>
      <c r="BS244">
        <v>4</v>
      </c>
      <c r="BT244" t="s">
        <v>3647</v>
      </c>
      <c r="BU244" t="s">
        <v>1908</v>
      </c>
      <c r="BV244">
        <v>0.1</v>
      </c>
      <c r="BW244" t="s">
        <v>1934</v>
      </c>
      <c r="BX244" t="s">
        <v>1949</v>
      </c>
      <c r="BY244" t="s">
        <v>1911</v>
      </c>
      <c r="CA244" t="s">
        <v>2147</v>
      </c>
      <c r="CB244" t="s">
        <v>3648</v>
      </c>
      <c r="CC244" t="s">
        <v>1961</v>
      </c>
      <c r="CD244" t="s">
        <v>1962</v>
      </c>
      <c r="CE244">
        <v>63.7</v>
      </c>
      <c r="CF244">
        <v>43</v>
      </c>
      <c r="CG244">
        <v>63.7</v>
      </c>
      <c r="CH244">
        <v>1010</v>
      </c>
      <c r="CI244">
        <v>49</v>
      </c>
      <c r="CJ244">
        <v>39.4</v>
      </c>
      <c r="CK244">
        <v>63.7</v>
      </c>
      <c r="CL244">
        <v>63.7</v>
      </c>
      <c r="CM244">
        <v>63.7</v>
      </c>
      <c r="CN244">
        <v>31680</v>
      </c>
      <c r="CO244">
        <v>9.6</v>
      </c>
      <c r="CP244">
        <v>248</v>
      </c>
      <c r="CQ244">
        <v>44</v>
      </c>
      <c r="CR244">
        <v>0</v>
      </c>
      <c r="CS244">
        <v>0</v>
      </c>
      <c r="CT244" t="s">
        <v>1915</v>
      </c>
      <c r="CU244">
        <v>174.8500061035156</v>
      </c>
      <c r="CV244">
        <v>112</v>
      </c>
      <c r="CW244">
        <v>4.9499998092651367</v>
      </c>
      <c r="CX244">
        <v>5.9499998092651367</v>
      </c>
      <c r="CY244">
        <v>8.9499998092651367</v>
      </c>
      <c r="CZ244">
        <v>9.5500001907348633</v>
      </c>
      <c r="DA244">
        <v>1</v>
      </c>
      <c r="DB244">
        <v>1</v>
      </c>
      <c r="DC244">
        <v>0</v>
      </c>
      <c r="DD244">
        <v>0</v>
      </c>
      <c r="DE244">
        <v>395.66</v>
      </c>
      <c r="DF244">
        <v>396.06</v>
      </c>
      <c r="DG244">
        <v>0</v>
      </c>
      <c r="DH244">
        <v>0</v>
      </c>
      <c r="DI244">
        <v>0</v>
      </c>
      <c r="DJ244" t="s">
        <v>3615</v>
      </c>
      <c r="DM244">
        <v>9.57</v>
      </c>
      <c r="DN244">
        <v>650.70000000000005</v>
      </c>
      <c r="EL244">
        <v>0</v>
      </c>
      <c r="EM244" t="s">
        <v>1331</v>
      </c>
    </row>
    <row r="245" spans="1:143" x14ac:dyDescent="0.35">
      <c r="A245" t="s">
        <v>54</v>
      </c>
      <c r="B245" t="s">
        <v>1333</v>
      </c>
      <c r="C245" t="s">
        <v>116</v>
      </c>
      <c r="D245" t="s">
        <v>120</v>
      </c>
      <c r="F245" t="s">
        <v>2565</v>
      </c>
      <c r="G245" t="s">
        <v>3640</v>
      </c>
      <c r="L245" t="s">
        <v>1896</v>
      </c>
      <c r="M245" t="s">
        <v>3636</v>
      </c>
      <c r="N245" t="s">
        <v>1898</v>
      </c>
      <c r="R245" t="s">
        <v>119</v>
      </c>
      <c r="S245" t="s">
        <v>1334</v>
      </c>
      <c r="T245" t="s">
        <v>117</v>
      </c>
      <c r="Z245" t="s">
        <v>3649</v>
      </c>
      <c r="AA245" t="s">
        <v>3650</v>
      </c>
      <c r="AB245">
        <v>3</v>
      </c>
      <c r="AC245">
        <v>0</v>
      </c>
      <c r="AE245">
        <v>1996</v>
      </c>
      <c r="AF245" t="s">
        <v>3629</v>
      </c>
      <c r="AG245" t="s">
        <v>2426</v>
      </c>
      <c r="AH245" t="s">
        <v>1903</v>
      </c>
      <c r="AI245">
        <v>1881300</v>
      </c>
      <c r="AJ245">
        <v>0</v>
      </c>
      <c r="AL245">
        <v>0</v>
      </c>
      <c r="AV245" t="s">
        <v>1334</v>
      </c>
      <c r="AX245" t="s">
        <v>1337</v>
      </c>
      <c r="BD245" t="s">
        <v>3651</v>
      </c>
      <c r="BF245" t="s">
        <v>1906</v>
      </c>
      <c r="BG245" t="s">
        <v>3652</v>
      </c>
      <c r="BI245" t="s">
        <v>1334</v>
      </c>
      <c r="BM245" t="s">
        <v>1335</v>
      </c>
      <c r="BN245" t="s">
        <v>1335</v>
      </c>
      <c r="BO245" t="s">
        <v>1335</v>
      </c>
      <c r="BP245" t="s">
        <v>3653</v>
      </c>
      <c r="BQ245" t="s">
        <v>3649</v>
      </c>
      <c r="BR245">
        <v>3</v>
      </c>
      <c r="BS245">
        <v>0</v>
      </c>
      <c r="BT245" t="s">
        <v>3654</v>
      </c>
      <c r="BU245" t="s">
        <v>1908</v>
      </c>
      <c r="BV245">
        <v>0.1</v>
      </c>
      <c r="BW245" t="s">
        <v>1934</v>
      </c>
      <c r="BX245" t="s">
        <v>1949</v>
      </c>
      <c r="BY245" t="s">
        <v>1911</v>
      </c>
      <c r="CA245" t="s">
        <v>2147</v>
      </c>
      <c r="CB245" t="s">
        <v>3091</v>
      </c>
      <c r="CC245" t="s">
        <v>1938</v>
      </c>
      <c r="CD245" t="s">
        <v>1939</v>
      </c>
      <c r="CE245">
        <v>62.8</v>
      </c>
      <c r="CF245">
        <v>41</v>
      </c>
      <c r="CG245">
        <v>62.6</v>
      </c>
      <c r="CH245">
        <v>1010</v>
      </c>
      <c r="CI245">
        <v>42</v>
      </c>
      <c r="CJ245">
        <v>39.4</v>
      </c>
      <c r="CK245">
        <v>63.7</v>
      </c>
      <c r="CL245">
        <v>62.8</v>
      </c>
      <c r="CM245">
        <v>62.6</v>
      </c>
      <c r="CN245">
        <v>31680</v>
      </c>
      <c r="CO245">
        <v>10.7</v>
      </c>
      <c r="CP245">
        <v>257</v>
      </c>
      <c r="CQ245">
        <v>79</v>
      </c>
      <c r="CR245">
        <v>0</v>
      </c>
      <c r="CS245">
        <v>0</v>
      </c>
      <c r="CT245" t="s">
        <v>1915</v>
      </c>
      <c r="CU245">
        <v>168.8500061035156</v>
      </c>
      <c r="CV245">
        <v>108</v>
      </c>
      <c r="CW245">
        <v>5.25</v>
      </c>
      <c r="CX245">
        <v>6.5500001907348633</v>
      </c>
      <c r="CY245">
        <v>9.1499996185302734</v>
      </c>
      <c r="CZ245">
        <v>9.9499998092651367</v>
      </c>
      <c r="DA245">
        <v>1</v>
      </c>
      <c r="DB245">
        <v>1</v>
      </c>
      <c r="DC245">
        <v>0</v>
      </c>
      <c r="DD245">
        <v>0</v>
      </c>
      <c r="DE245">
        <v>353.18</v>
      </c>
      <c r="DF245">
        <v>357.12</v>
      </c>
      <c r="DG245">
        <v>0</v>
      </c>
      <c r="DH245">
        <v>0</v>
      </c>
      <c r="DI245">
        <v>0</v>
      </c>
      <c r="DJ245" t="s">
        <v>3615</v>
      </c>
      <c r="DM245">
        <v>9.57</v>
      </c>
      <c r="DN245">
        <v>650.70000000000005</v>
      </c>
      <c r="EL245">
        <v>0</v>
      </c>
      <c r="EM245" t="s">
        <v>1336</v>
      </c>
    </row>
    <row r="246" spans="1:143" x14ac:dyDescent="0.35">
      <c r="A246" t="s">
        <v>54</v>
      </c>
      <c r="B246" t="s">
        <v>1338</v>
      </c>
      <c r="C246" t="s">
        <v>116</v>
      </c>
      <c r="D246" t="s">
        <v>120</v>
      </c>
      <c r="F246" t="s">
        <v>2565</v>
      </c>
      <c r="G246" t="s">
        <v>3640</v>
      </c>
      <c r="L246" t="s">
        <v>1896</v>
      </c>
      <c r="M246" t="s">
        <v>3636</v>
      </c>
      <c r="N246" t="s">
        <v>1898</v>
      </c>
      <c r="R246" t="s">
        <v>119</v>
      </c>
      <c r="S246" t="s">
        <v>1339</v>
      </c>
      <c r="T246" t="s">
        <v>117</v>
      </c>
      <c r="Z246" t="s">
        <v>3609</v>
      </c>
      <c r="AA246" t="s">
        <v>3610</v>
      </c>
      <c r="AB246">
        <v>1</v>
      </c>
      <c r="AC246">
        <v>2</v>
      </c>
      <c r="AD246" t="s">
        <v>1966</v>
      </c>
      <c r="AE246">
        <v>1996</v>
      </c>
      <c r="AF246" t="s">
        <v>3629</v>
      </c>
      <c r="AG246" t="s">
        <v>2426</v>
      </c>
      <c r="AH246" t="s">
        <v>1903</v>
      </c>
      <c r="AI246">
        <v>1881300</v>
      </c>
      <c r="AJ246">
        <v>0</v>
      </c>
      <c r="AL246">
        <v>0</v>
      </c>
      <c r="AV246" t="s">
        <v>1339</v>
      </c>
      <c r="AW246" t="s">
        <v>3655</v>
      </c>
      <c r="AX246" t="s">
        <v>1342</v>
      </c>
      <c r="AY246" t="b">
        <v>1</v>
      </c>
      <c r="AZ246" t="b">
        <v>1</v>
      </c>
      <c r="BA246" t="s">
        <v>1904</v>
      </c>
      <c r="BD246" t="s">
        <v>3656</v>
      </c>
      <c r="BF246" t="s">
        <v>1906</v>
      </c>
      <c r="BG246" t="s">
        <v>1907</v>
      </c>
      <c r="BI246" t="s">
        <v>1339</v>
      </c>
      <c r="BK246" t="b">
        <v>0</v>
      </c>
      <c r="BM246" t="s">
        <v>1340</v>
      </c>
      <c r="BN246" t="s">
        <v>1340</v>
      </c>
      <c r="BO246" t="s">
        <v>1340</v>
      </c>
      <c r="BP246" t="s">
        <v>3657</v>
      </c>
      <c r="BQ246" t="s">
        <v>3609</v>
      </c>
      <c r="BR246">
        <v>1</v>
      </c>
      <c r="BS246">
        <v>2</v>
      </c>
      <c r="BT246" t="s">
        <v>3658</v>
      </c>
      <c r="BU246" t="s">
        <v>1908</v>
      </c>
      <c r="BV246">
        <v>0.05</v>
      </c>
      <c r="BW246" t="s">
        <v>1909</v>
      </c>
      <c r="BX246" t="s">
        <v>1949</v>
      </c>
      <c r="BY246" t="s">
        <v>1970</v>
      </c>
      <c r="CA246" t="s">
        <v>1950</v>
      </c>
      <c r="CB246" t="s">
        <v>3659</v>
      </c>
      <c r="CC246" t="s">
        <v>1996</v>
      </c>
      <c r="CD246" t="s">
        <v>1997</v>
      </c>
      <c r="CE246">
        <v>57.2</v>
      </c>
      <c r="CF246">
        <v>28.6</v>
      </c>
      <c r="CG246">
        <v>54.5</v>
      </c>
      <c r="CH246">
        <v>1032</v>
      </c>
      <c r="CI246">
        <v>32</v>
      </c>
      <c r="CJ246">
        <v>32.4</v>
      </c>
      <c r="CK246">
        <v>57.4</v>
      </c>
      <c r="CL246">
        <v>57.2</v>
      </c>
      <c r="CM246">
        <v>54.5</v>
      </c>
      <c r="CN246">
        <v>31680</v>
      </c>
      <c r="CO246">
        <v>10.3</v>
      </c>
      <c r="CP246">
        <v>177</v>
      </c>
      <c r="CQ246">
        <v>0</v>
      </c>
      <c r="CR246">
        <v>0</v>
      </c>
      <c r="CS246">
        <v>0</v>
      </c>
      <c r="CT246" t="s">
        <v>1915</v>
      </c>
      <c r="DJ246" t="s">
        <v>3615</v>
      </c>
      <c r="DM246">
        <v>9.57</v>
      </c>
      <c r="DN246">
        <v>650.70000000000005</v>
      </c>
      <c r="DR246" t="s">
        <v>2039</v>
      </c>
      <c r="DS246">
        <v>563679</v>
      </c>
      <c r="DT246" t="s">
        <v>3660</v>
      </c>
      <c r="DU246" t="s">
        <v>2039</v>
      </c>
      <c r="DV246" t="s">
        <v>2039</v>
      </c>
      <c r="DW246" t="s">
        <v>2039</v>
      </c>
      <c r="EL246">
        <v>0</v>
      </c>
      <c r="EM246" t="s">
        <v>1341</v>
      </c>
    </row>
    <row r="247" spans="1:143" x14ac:dyDescent="0.35">
      <c r="A247" t="s">
        <v>56</v>
      </c>
      <c r="B247" t="s">
        <v>1343</v>
      </c>
      <c r="C247" t="s">
        <v>116</v>
      </c>
      <c r="D247" t="s">
        <v>146</v>
      </c>
      <c r="G247" t="s">
        <v>3661</v>
      </c>
      <c r="K247" t="s">
        <v>3662</v>
      </c>
      <c r="L247" t="s">
        <v>3663</v>
      </c>
      <c r="M247" t="s">
        <v>3664</v>
      </c>
      <c r="N247" t="s">
        <v>3665</v>
      </c>
      <c r="R247" t="s">
        <v>119</v>
      </c>
      <c r="S247" t="s">
        <v>1344</v>
      </c>
      <c r="U247" t="s">
        <v>117</v>
      </c>
      <c r="V247" t="s">
        <v>2014</v>
      </c>
      <c r="W247" t="s">
        <v>1923</v>
      </c>
      <c r="X247" t="s">
        <v>3666</v>
      </c>
      <c r="Z247" t="s">
        <v>3667</v>
      </c>
      <c r="AB247">
        <v>2</v>
      </c>
      <c r="AC247">
        <v>0</v>
      </c>
      <c r="AE247">
        <v>2002</v>
      </c>
      <c r="AF247" t="s">
        <v>3668</v>
      </c>
      <c r="AG247" t="s">
        <v>1928</v>
      </c>
      <c r="AH247" t="s">
        <v>1929</v>
      </c>
      <c r="AI247">
        <v>59800</v>
      </c>
      <c r="AJ247">
        <v>0</v>
      </c>
      <c r="AL247">
        <v>0</v>
      </c>
      <c r="AV247" t="s">
        <v>1344</v>
      </c>
      <c r="AW247" t="s">
        <v>3669</v>
      </c>
      <c r="AX247" t="s">
        <v>1347</v>
      </c>
      <c r="BF247" t="s">
        <v>1906</v>
      </c>
      <c r="BG247" t="s">
        <v>1907</v>
      </c>
      <c r="BI247" t="s">
        <v>1344</v>
      </c>
      <c r="BL247" t="s">
        <v>3670</v>
      </c>
      <c r="BM247" t="s">
        <v>1345</v>
      </c>
      <c r="BN247" t="s">
        <v>1345</v>
      </c>
      <c r="BO247" t="s">
        <v>1345</v>
      </c>
      <c r="BQ247" t="s">
        <v>3667</v>
      </c>
      <c r="BR247">
        <v>2</v>
      </c>
      <c r="BS247">
        <v>0</v>
      </c>
      <c r="BU247" t="s">
        <v>1908</v>
      </c>
      <c r="BW247" t="s">
        <v>1948</v>
      </c>
      <c r="BX247" t="s">
        <v>1994</v>
      </c>
      <c r="BY247" t="s">
        <v>1911</v>
      </c>
      <c r="BZ247" t="s">
        <v>1910</v>
      </c>
      <c r="CB247" t="s">
        <v>3671</v>
      </c>
      <c r="CC247" t="s">
        <v>1996</v>
      </c>
      <c r="CD247" t="s">
        <v>1997</v>
      </c>
      <c r="CE247">
        <v>83.2</v>
      </c>
      <c r="CF247">
        <v>54.8</v>
      </c>
      <c r="CG247">
        <v>81.900000000000006</v>
      </c>
      <c r="CH247">
        <v>1005</v>
      </c>
      <c r="CI247">
        <v>34</v>
      </c>
      <c r="CJ247">
        <v>60.2</v>
      </c>
      <c r="CK247">
        <v>86</v>
      </c>
      <c r="CL247">
        <v>81.900000000000006</v>
      </c>
      <c r="CM247">
        <v>83.2</v>
      </c>
      <c r="CN247">
        <v>31680</v>
      </c>
      <c r="CO247">
        <v>11.9</v>
      </c>
      <c r="CP247">
        <v>215</v>
      </c>
      <c r="CQ247">
        <v>0</v>
      </c>
      <c r="CR247">
        <v>0</v>
      </c>
      <c r="CS247">
        <v>0</v>
      </c>
      <c r="CT247" t="s">
        <v>1915</v>
      </c>
      <c r="CU247">
        <v>126</v>
      </c>
      <c r="CV247">
        <v>131</v>
      </c>
      <c r="CW247">
        <v>1</v>
      </c>
      <c r="CX247">
        <v>1</v>
      </c>
      <c r="CY247">
        <v>6.1</v>
      </c>
      <c r="CZ247">
        <v>6.3</v>
      </c>
      <c r="DA247">
        <v>1</v>
      </c>
      <c r="DB247">
        <v>1</v>
      </c>
      <c r="DC247">
        <v>0</v>
      </c>
      <c r="DD247">
        <v>0</v>
      </c>
      <c r="DE247">
        <v>0</v>
      </c>
      <c r="DF247">
        <v>0</v>
      </c>
      <c r="DG247">
        <v>195.85</v>
      </c>
      <c r="DH247">
        <v>35.979999999999997</v>
      </c>
      <c r="DI247">
        <v>0</v>
      </c>
      <c r="DJ247" t="s">
        <v>3672</v>
      </c>
      <c r="DK247" t="s">
        <v>3673</v>
      </c>
      <c r="DL247" t="s">
        <v>3674</v>
      </c>
      <c r="DM247">
        <v>39.79</v>
      </c>
      <c r="DN247">
        <v>162.80000000000001</v>
      </c>
      <c r="EL247">
        <v>0</v>
      </c>
      <c r="EM247" t="s">
        <v>1346</v>
      </c>
    </row>
    <row r="248" spans="1:143" x14ac:dyDescent="0.35">
      <c r="A248" t="s">
        <v>56</v>
      </c>
      <c r="B248" t="s">
        <v>1348</v>
      </c>
      <c r="C248" t="s">
        <v>116</v>
      </c>
      <c r="D248" t="s">
        <v>146</v>
      </c>
      <c r="G248" t="s">
        <v>1894</v>
      </c>
      <c r="K248" t="s">
        <v>3675</v>
      </c>
      <c r="L248" t="s">
        <v>1896</v>
      </c>
      <c r="M248" t="s">
        <v>3676</v>
      </c>
      <c r="N248" t="s">
        <v>1898</v>
      </c>
      <c r="R248" t="s">
        <v>119</v>
      </c>
      <c r="S248" t="s">
        <v>1349</v>
      </c>
      <c r="U248" t="s">
        <v>117</v>
      </c>
      <c r="Z248" t="s">
        <v>3677</v>
      </c>
      <c r="AB248">
        <v>2</v>
      </c>
      <c r="AC248">
        <v>3</v>
      </c>
      <c r="AF248" t="s">
        <v>3678</v>
      </c>
      <c r="AG248" t="s">
        <v>3006</v>
      </c>
      <c r="AH248" t="s">
        <v>1903</v>
      </c>
      <c r="AI248">
        <v>43800</v>
      </c>
      <c r="AJ248">
        <v>0</v>
      </c>
      <c r="AL248">
        <v>0</v>
      </c>
      <c r="AV248" t="s">
        <v>1349</v>
      </c>
      <c r="AW248" t="s">
        <v>1955</v>
      </c>
      <c r="AX248" t="s">
        <v>1352</v>
      </c>
      <c r="BF248" t="s">
        <v>1906</v>
      </c>
      <c r="BG248" t="s">
        <v>2878</v>
      </c>
      <c r="BI248" t="s">
        <v>1349</v>
      </c>
      <c r="BL248" t="s">
        <v>3679</v>
      </c>
      <c r="BM248" t="s">
        <v>1350</v>
      </c>
      <c r="BN248" t="s">
        <v>1350</v>
      </c>
      <c r="BO248" t="s">
        <v>1350</v>
      </c>
      <c r="BQ248" t="s">
        <v>3677</v>
      </c>
      <c r="BR248">
        <v>2</v>
      </c>
      <c r="BS248">
        <v>3</v>
      </c>
      <c r="BU248" t="s">
        <v>1908</v>
      </c>
      <c r="BW248" t="s">
        <v>2032</v>
      </c>
      <c r="BX248" t="s">
        <v>1949</v>
      </c>
      <c r="BY248" t="s">
        <v>1911</v>
      </c>
      <c r="BZ248" t="s">
        <v>1910</v>
      </c>
      <c r="CA248" t="s">
        <v>3680</v>
      </c>
      <c r="CB248" t="s">
        <v>3681</v>
      </c>
      <c r="CC248" t="s">
        <v>1996</v>
      </c>
      <c r="CD248" t="s">
        <v>1997</v>
      </c>
      <c r="CE248">
        <v>48.7</v>
      </c>
      <c r="CF248">
        <v>39</v>
      </c>
      <c r="CG248">
        <v>46.6</v>
      </c>
      <c r="CH248">
        <v>1016</v>
      </c>
      <c r="CI248">
        <v>68</v>
      </c>
      <c r="CJ248">
        <v>36.5</v>
      </c>
      <c r="CK248">
        <v>64.2</v>
      </c>
      <c r="CL248">
        <v>48.7</v>
      </c>
      <c r="CM248">
        <v>46.6</v>
      </c>
      <c r="CN248">
        <v>31680</v>
      </c>
      <c r="CO248">
        <v>5.6</v>
      </c>
      <c r="CP248">
        <v>296</v>
      </c>
      <c r="CQ248">
        <v>0</v>
      </c>
      <c r="CR248">
        <v>0</v>
      </c>
      <c r="CS248">
        <v>0</v>
      </c>
      <c r="CT248" t="s">
        <v>1915</v>
      </c>
      <c r="CU248">
        <v>124</v>
      </c>
      <c r="CV248">
        <v>61</v>
      </c>
      <c r="CW248">
        <v>2</v>
      </c>
      <c r="CX248">
        <v>0.5</v>
      </c>
      <c r="CY248">
        <v>1.9</v>
      </c>
      <c r="CZ248">
        <v>2.2000000000000002</v>
      </c>
      <c r="DA248">
        <v>1</v>
      </c>
      <c r="DB248">
        <v>1</v>
      </c>
      <c r="DC248">
        <v>0</v>
      </c>
      <c r="DD248">
        <v>0</v>
      </c>
      <c r="DE248">
        <v>0</v>
      </c>
      <c r="DF248">
        <v>0</v>
      </c>
      <c r="DG248">
        <v>9.64</v>
      </c>
      <c r="DH248">
        <v>0</v>
      </c>
      <c r="DI248">
        <v>0</v>
      </c>
      <c r="DJ248" t="s">
        <v>3682</v>
      </c>
      <c r="DM248">
        <v>13.49</v>
      </c>
      <c r="DN248">
        <v>143.9</v>
      </c>
      <c r="EL248">
        <v>0</v>
      </c>
      <c r="EM248" t="s">
        <v>1351</v>
      </c>
    </row>
    <row r="249" spans="1:143" x14ac:dyDescent="0.35">
      <c r="A249" t="s">
        <v>56</v>
      </c>
      <c r="B249" t="s">
        <v>1353</v>
      </c>
      <c r="C249" t="s">
        <v>116</v>
      </c>
      <c r="D249" t="s">
        <v>146</v>
      </c>
      <c r="G249" t="s">
        <v>3683</v>
      </c>
      <c r="K249" t="s">
        <v>3684</v>
      </c>
      <c r="L249" t="s">
        <v>1896</v>
      </c>
      <c r="M249" t="s">
        <v>3425</v>
      </c>
      <c r="N249" t="s">
        <v>1898</v>
      </c>
      <c r="R249" t="s">
        <v>119</v>
      </c>
      <c r="S249" t="s">
        <v>1354</v>
      </c>
      <c r="U249" t="s">
        <v>117</v>
      </c>
      <c r="V249" t="s">
        <v>2014</v>
      </c>
      <c r="W249" t="s">
        <v>1923</v>
      </c>
      <c r="X249" t="s">
        <v>48</v>
      </c>
      <c r="Z249" t="s">
        <v>3685</v>
      </c>
      <c r="AB249">
        <v>1</v>
      </c>
      <c r="AC249">
        <v>3</v>
      </c>
      <c r="AE249">
        <v>1987</v>
      </c>
      <c r="AF249" t="s">
        <v>3354</v>
      </c>
      <c r="AG249" t="s">
        <v>1928</v>
      </c>
      <c r="AH249" t="s">
        <v>1929</v>
      </c>
      <c r="AI249">
        <v>62000</v>
      </c>
      <c r="AJ249">
        <v>0</v>
      </c>
      <c r="AL249">
        <v>0</v>
      </c>
      <c r="AV249" t="s">
        <v>1354</v>
      </c>
      <c r="AW249" t="s">
        <v>3686</v>
      </c>
      <c r="AX249" t="s">
        <v>1357</v>
      </c>
      <c r="BI249" t="s">
        <v>1354</v>
      </c>
      <c r="BL249" t="s">
        <v>3687</v>
      </c>
      <c r="BM249" t="s">
        <v>1355</v>
      </c>
      <c r="BN249" t="s">
        <v>1355</v>
      </c>
      <c r="BO249" t="s">
        <v>1355</v>
      </c>
      <c r="BQ249" t="s">
        <v>3685</v>
      </c>
      <c r="BR249">
        <v>1</v>
      </c>
      <c r="BS249">
        <v>3</v>
      </c>
      <c r="CB249" t="s">
        <v>3155</v>
      </c>
      <c r="CC249" t="s">
        <v>1961</v>
      </c>
      <c r="CD249" t="s">
        <v>1962</v>
      </c>
      <c r="CE249">
        <v>59.9</v>
      </c>
      <c r="CF249">
        <v>39.6</v>
      </c>
      <c r="CG249">
        <v>59</v>
      </c>
      <c r="CH249">
        <v>1023</v>
      </c>
      <c r="CI249">
        <v>46</v>
      </c>
      <c r="CJ249">
        <v>35.4</v>
      </c>
      <c r="CK249">
        <v>65.5</v>
      </c>
      <c r="CL249">
        <v>59.9</v>
      </c>
      <c r="CM249">
        <v>59</v>
      </c>
      <c r="CN249">
        <v>31680</v>
      </c>
      <c r="CO249">
        <v>9.8000000000000007</v>
      </c>
      <c r="CP249">
        <v>84</v>
      </c>
      <c r="CQ249">
        <v>45</v>
      </c>
      <c r="CR249">
        <v>0</v>
      </c>
      <c r="CS249">
        <v>0</v>
      </c>
      <c r="CT249" t="s">
        <v>1915</v>
      </c>
      <c r="CU249">
        <v>137.8500061035156</v>
      </c>
      <c r="CV249">
        <v>106</v>
      </c>
      <c r="CW249">
        <v>2.5499999523162842</v>
      </c>
      <c r="CX249">
        <v>1.3500000238418579</v>
      </c>
      <c r="CY249">
        <v>2.9500000476837158</v>
      </c>
      <c r="CZ249">
        <v>4.0500001907348633</v>
      </c>
      <c r="DA249">
        <v>1</v>
      </c>
      <c r="DB249">
        <v>1</v>
      </c>
      <c r="DC249">
        <v>0</v>
      </c>
      <c r="DD249">
        <v>0</v>
      </c>
      <c r="DE249">
        <v>401.67</v>
      </c>
      <c r="DF249">
        <v>545.35</v>
      </c>
      <c r="DG249">
        <v>0</v>
      </c>
      <c r="DH249">
        <v>0</v>
      </c>
      <c r="DI249">
        <v>0</v>
      </c>
      <c r="DJ249" t="s">
        <v>3430</v>
      </c>
      <c r="DM249">
        <v>24.64</v>
      </c>
      <c r="DN249">
        <v>70</v>
      </c>
      <c r="EL249">
        <v>0</v>
      </c>
      <c r="EM249" t="s">
        <v>1356</v>
      </c>
    </row>
    <row r="250" spans="1:143" x14ac:dyDescent="0.35">
      <c r="A250" t="s">
        <v>56</v>
      </c>
      <c r="B250" t="s">
        <v>1358</v>
      </c>
      <c r="C250" t="s">
        <v>116</v>
      </c>
      <c r="D250" t="s">
        <v>146</v>
      </c>
      <c r="G250" t="s">
        <v>3688</v>
      </c>
      <c r="K250" t="s">
        <v>3675</v>
      </c>
      <c r="L250" t="s">
        <v>1896</v>
      </c>
      <c r="M250" t="s">
        <v>3676</v>
      </c>
      <c r="N250" t="s">
        <v>1898</v>
      </c>
      <c r="R250" t="s">
        <v>119</v>
      </c>
      <c r="S250" t="s">
        <v>1359</v>
      </c>
      <c r="U250" t="s">
        <v>117</v>
      </c>
      <c r="Z250" t="s">
        <v>3689</v>
      </c>
      <c r="AB250">
        <v>1</v>
      </c>
      <c r="AC250">
        <v>2</v>
      </c>
      <c r="AJ250">
        <v>0</v>
      </c>
      <c r="AL250">
        <v>0</v>
      </c>
      <c r="AV250" t="s">
        <v>1359</v>
      </c>
      <c r="AW250" t="s">
        <v>3690</v>
      </c>
      <c r="AX250" t="s">
        <v>1362</v>
      </c>
      <c r="BF250" t="s">
        <v>1906</v>
      </c>
      <c r="BG250" t="s">
        <v>1907</v>
      </c>
      <c r="BI250" t="s">
        <v>1359</v>
      </c>
      <c r="BL250" t="s">
        <v>3691</v>
      </c>
      <c r="BM250" t="s">
        <v>1360</v>
      </c>
      <c r="BN250" t="s">
        <v>1360</v>
      </c>
      <c r="BO250" t="s">
        <v>1360</v>
      </c>
      <c r="BQ250" t="s">
        <v>3689</v>
      </c>
      <c r="BR250">
        <v>1</v>
      </c>
      <c r="BS250">
        <v>2</v>
      </c>
      <c r="BU250" t="s">
        <v>1908</v>
      </c>
      <c r="BW250" t="s">
        <v>2093</v>
      </c>
      <c r="BX250" t="s">
        <v>1949</v>
      </c>
      <c r="BY250" t="s">
        <v>1970</v>
      </c>
      <c r="BZ250" t="s">
        <v>1910</v>
      </c>
      <c r="CA250" t="s">
        <v>1950</v>
      </c>
      <c r="CB250" t="s">
        <v>3692</v>
      </c>
      <c r="CC250" t="s">
        <v>1961</v>
      </c>
      <c r="CD250" t="s">
        <v>1962</v>
      </c>
      <c r="CE250">
        <v>40.6</v>
      </c>
      <c r="CF250">
        <v>34.9</v>
      </c>
      <c r="CG250">
        <v>38.5</v>
      </c>
      <c r="CH250">
        <v>1020</v>
      </c>
      <c r="CI250">
        <v>83</v>
      </c>
      <c r="CJ250">
        <v>36.700000000000003</v>
      </c>
      <c r="CK250">
        <v>51.8</v>
      </c>
      <c r="CL250">
        <v>40.6</v>
      </c>
      <c r="CM250">
        <v>38.5</v>
      </c>
      <c r="CN250">
        <v>31680</v>
      </c>
      <c r="CO250">
        <v>3.1</v>
      </c>
      <c r="CP250">
        <v>54</v>
      </c>
      <c r="CQ250">
        <v>32</v>
      </c>
      <c r="CR250">
        <v>0</v>
      </c>
      <c r="CS250">
        <v>0</v>
      </c>
      <c r="CT250" t="s">
        <v>1915</v>
      </c>
      <c r="CU250">
        <v>214.8500061035156</v>
      </c>
      <c r="CV250">
        <v>42</v>
      </c>
      <c r="CW250">
        <v>10.75</v>
      </c>
      <c r="CX250">
        <v>2.8499999046325679</v>
      </c>
      <c r="CY250">
        <v>11.05000019073486</v>
      </c>
      <c r="CZ250">
        <v>11.55000019073486</v>
      </c>
      <c r="DA250">
        <v>1</v>
      </c>
      <c r="DB250">
        <v>1</v>
      </c>
      <c r="DC250">
        <v>0</v>
      </c>
      <c r="DD250">
        <v>0</v>
      </c>
      <c r="DE250">
        <v>52.28</v>
      </c>
      <c r="DF250">
        <v>79.73</v>
      </c>
      <c r="DG250">
        <v>0</v>
      </c>
      <c r="DH250">
        <v>0</v>
      </c>
      <c r="DI250">
        <v>0</v>
      </c>
      <c r="DJ250" t="s">
        <v>3682</v>
      </c>
      <c r="DM250">
        <v>13.49</v>
      </c>
      <c r="DN250">
        <v>143.9</v>
      </c>
      <c r="EL250">
        <v>0</v>
      </c>
      <c r="EM250" t="s">
        <v>1361</v>
      </c>
    </row>
    <row r="251" spans="1:143" x14ac:dyDescent="0.35">
      <c r="A251" t="s">
        <v>58</v>
      </c>
      <c r="B251" t="s">
        <v>1363</v>
      </c>
      <c r="C251" t="s">
        <v>116</v>
      </c>
      <c r="D251" t="s">
        <v>146</v>
      </c>
      <c r="G251" t="s">
        <v>3693</v>
      </c>
      <c r="K251" t="s">
        <v>3433</v>
      </c>
      <c r="L251" t="s">
        <v>1896</v>
      </c>
      <c r="M251" t="s">
        <v>3434</v>
      </c>
      <c r="N251" t="s">
        <v>1898</v>
      </c>
      <c r="R251" t="s">
        <v>119</v>
      </c>
      <c r="S251" t="s">
        <v>1364</v>
      </c>
      <c r="T251" t="s">
        <v>117</v>
      </c>
      <c r="Z251" t="s">
        <v>3694</v>
      </c>
      <c r="AA251" t="s">
        <v>3695</v>
      </c>
      <c r="AB251">
        <v>3</v>
      </c>
      <c r="AC251">
        <v>5</v>
      </c>
      <c r="AJ251">
        <v>0</v>
      </c>
      <c r="AL251">
        <v>0</v>
      </c>
      <c r="AS251" t="b">
        <v>0</v>
      </c>
      <c r="AV251" t="s">
        <v>1364</v>
      </c>
      <c r="AX251" t="s">
        <v>1367</v>
      </c>
      <c r="BF251" t="s">
        <v>1906</v>
      </c>
      <c r="BG251" t="s">
        <v>3208</v>
      </c>
      <c r="BI251" t="s">
        <v>1364</v>
      </c>
      <c r="BL251" t="s">
        <v>3696</v>
      </c>
      <c r="BM251" t="s">
        <v>1365</v>
      </c>
      <c r="BN251" t="s">
        <v>1365</v>
      </c>
      <c r="BO251" t="s">
        <v>1365</v>
      </c>
      <c r="BQ251" t="s">
        <v>3694</v>
      </c>
      <c r="BR251">
        <v>3</v>
      </c>
      <c r="BS251">
        <v>5</v>
      </c>
      <c r="BU251" t="s">
        <v>1908</v>
      </c>
      <c r="BW251" t="s">
        <v>1934</v>
      </c>
      <c r="BX251" t="s">
        <v>1949</v>
      </c>
      <c r="BY251" t="s">
        <v>1911</v>
      </c>
      <c r="BZ251" t="s">
        <v>1910</v>
      </c>
      <c r="CB251" t="s">
        <v>3697</v>
      </c>
      <c r="CC251" t="s">
        <v>1972</v>
      </c>
      <c r="CD251" t="s">
        <v>1973</v>
      </c>
      <c r="CE251">
        <v>73.900000000000006</v>
      </c>
      <c r="CF251">
        <v>58.6</v>
      </c>
      <c r="CG251">
        <v>77.099999999999994</v>
      </c>
      <c r="CH251">
        <v>1016</v>
      </c>
      <c r="CI251">
        <v>59</v>
      </c>
      <c r="CJ251">
        <v>54.9</v>
      </c>
      <c r="CK251">
        <v>76.599999999999994</v>
      </c>
      <c r="CL251">
        <v>77.099999999999994</v>
      </c>
      <c r="CM251">
        <v>73.900000000000006</v>
      </c>
      <c r="CN251">
        <v>31680</v>
      </c>
      <c r="CO251">
        <v>4.7</v>
      </c>
      <c r="CP251">
        <v>263</v>
      </c>
      <c r="CQ251">
        <v>100</v>
      </c>
      <c r="CR251">
        <v>0</v>
      </c>
      <c r="CS251">
        <v>0</v>
      </c>
      <c r="CT251" t="s">
        <v>1915</v>
      </c>
      <c r="CU251">
        <v>132</v>
      </c>
      <c r="CV251">
        <v>90</v>
      </c>
      <c r="CW251">
        <v>1.2</v>
      </c>
      <c r="CX251">
        <v>1</v>
      </c>
      <c r="CY251">
        <v>1.9</v>
      </c>
      <c r="CZ251">
        <v>1.9</v>
      </c>
      <c r="DA251">
        <v>1</v>
      </c>
      <c r="DB251">
        <v>1</v>
      </c>
      <c r="DC251">
        <v>0</v>
      </c>
      <c r="DD251">
        <v>0</v>
      </c>
      <c r="DE251">
        <v>0</v>
      </c>
      <c r="DF251">
        <v>0</v>
      </c>
      <c r="DG251">
        <v>76.790000000000006</v>
      </c>
      <c r="DH251">
        <v>67.209999999999994</v>
      </c>
      <c r="DI251">
        <v>98.82</v>
      </c>
      <c r="DJ251" t="s">
        <v>3440</v>
      </c>
      <c r="DK251" t="s">
        <v>3698</v>
      </c>
      <c r="DL251" t="s">
        <v>3699</v>
      </c>
      <c r="DM251">
        <v>16.53</v>
      </c>
      <c r="DN251">
        <v>269.89999999999998</v>
      </c>
      <c r="EL251">
        <v>0</v>
      </c>
      <c r="EM251" t="s">
        <v>1366</v>
      </c>
    </row>
    <row r="252" spans="1:143" x14ac:dyDescent="0.35">
      <c r="A252" t="s">
        <v>58</v>
      </c>
      <c r="B252" t="s">
        <v>1368</v>
      </c>
      <c r="C252" t="s">
        <v>116</v>
      </c>
      <c r="D252" t="s">
        <v>146</v>
      </c>
      <c r="K252" t="s">
        <v>3700</v>
      </c>
      <c r="L252" t="s">
        <v>1896</v>
      </c>
      <c r="M252" t="s">
        <v>3701</v>
      </c>
      <c r="N252" t="s">
        <v>1898</v>
      </c>
      <c r="R252" t="s">
        <v>119</v>
      </c>
      <c r="S252" t="s">
        <v>1369</v>
      </c>
      <c r="T252" t="s">
        <v>117</v>
      </c>
      <c r="Z252" t="s">
        <v>3702</v>
      </c>
      <c r="AA252" t="s">
        <v>3703</v>
      </c>
      <c r="AB252">
        <v>2</v>
      </c>
      <c r="AC252">
        <v>3</v>
      </c>
      <c r="AD252" t="s">
        <v>2221</v>
      </c>
      <c r="AJ252">
        <v>0</v>
      </c>
      <c r="AL252">
        <v>0</v>
      </c>
      <c r="AS252" t="b">
        <v>0</v>
      </c>
      <c r="AV252" t="s">
        <v>1369</v>
      </c>
      <c r="AX252" t="s">
        <v>1372</v>
      </c>
      <c r="BA252" t="s">
        <v>2137</v>
      </c>
      <c r="BF252" t="s">
        <v>1906</v>
      </c>
      <c r="BG252" t="s">
        <v>1907</v>
      </c>
      <c r="BI252" t="s">
        <v>1369</v>
      </c>
      <c r="BL252" t="s">
        <v>3704</v>
      </c>
      <c r="BM252" t="s">
        <v>1370</v>
      </c>
      <c r="BN252" t="s">
        <v>1370</v>
      </c>
      <c r="BO252" t="s">
        <v>1370</v>
      </c>
      <c r="BQ252" t="s">
        <v>3702</v>
      </c>
      <c r="BR252">
        <v>2</v>
      </c>
      <c r="BS252">
        <v>3</v>
      </c>
      <c r="BU252" t="s">
        <v>1908</v>
      </c>
      <c r="BW252" t="s">
        <v>2295</v>
      </c>
      <c r="BX252" t="s">
        <v>1949</v>
      </c>
      <c r="BY252" t="s">
        <v>1911</v>
      </c>
      <c r="BZ252" t="s">
        <v>1910</v>
      </c>
      <c r="CB252" t="s">
        <v>3705</v>
      </c>
      <c r="CC252" t="s">
        <v>1996</v>
      </c>
      <c r="CD252" t="s">
        <v>1997</v>
      </c>
      <c r="CE252">
        <v>82.4</v>
      </c>
      <c r="CF252">
        <v>63.1</v>
      </c>
      <c r="CG252">
        <v>84.1</v>
      </c>
      <c r="CH252">
        <v>1012</v>
      </c>
      <c r="CI252">
        <v>52</v>
      </c>
      <c r="CJ252">
        <v>60.1</v>
      </c>
      <c r="CK252">
        <v>83.7</v>
      </c>
      <c r="CL252">
        <v>84.1</v>
      </c>
      <c r="CM252">
        <v>82.4</v>
      </c>
      <c r="CN252">
        <v>31680</v>
      </c>
      <c r="CO252">
        <v>7.8</v>
      </c>
      <c r="CP252">
        <v>232</v>
      </c>
      <c r="CQ252">
        <v>0</v>
      </c>
      <c r="CR252">
        <v>0</v>
      </c>
      <c r="CS252">
        <v>0</v>
      </c>
      <c r="CT252" t="s">
        <v>1915</v>
      </c>
      <c r="CU252">
        <v>118</v>
      </c>
      <c r="CV252">
        <v>92</v>
      </c>
      <c r="CW252">
        <v>0.4</v>
      </c>
      <c r="CX252">
        <v>0.4</v>
      </c>
      <c r="CY252">
        <v>10.9</v>
      </c>
      <c r="CZ252">
        <v>11.3</v>
      </c>
      <c r="DA252">
        <v>1</v>
      </c>
      <c r="DB252">
        <v>1</v>
      </c>
      <c r="DC252">
        <v>0</v>
      </c>
      <c r="DD252">
        <v>0</v>
      </c>
      <c r="DE252">
        <v>0</v>
      </c>
      <c r="DF252">
        <v>0</v>
      </c>
      <c r="DG252">
        <v>170.7</v>
      </c>
      <c r="DH252">
        <v>232.24</v>
      </c>
      <c r="DI252">
        <v>0</v>
      </c>
      <c r="DJ252" t="s">
        <v>3706</v>
      </c>
      <c r="DK252" t="s">
        <v>3707</v>
      </c>
      <c r="DL252" t="s">
        <v>3302</v>
      </c>
      <c r="DM252">
        <v>15.86</v>
      </c>
      <c r="DN252">
        <v>232.5</v>
      </c>
      <c r="EL252">
        <v>0</v>
      </c>
      <c r="EM252" t="s">
        <v>1371</v>
      </c>
    </row>
    <row r="253" spans="1:143" x14ac:dyDescent="0.35">
      <c r="A253" t="s">
        <v>58</v>
      </c>
      <c r="B253" t="s">
        <v>1373</v>
      </c>
      <c r="C253" t="s">
        <v>116</v>
      </c>
      <c r="D253" t="s">
        <v>146</v>
      </c>
      <c r="G253" t="s">
        <v>3708</v>
      </c>
      <c r="K253" t="s">
        <v>3433</v>
      </c>
      <c r="L253" t="s">
        <v>1896</v>
      </c>
      <c r="M253" t="s">
        <v>3434</v>
      </c>
      <c r="N253" t="s">
        <v>1898</v>
      </c>
      <c r="R253" t="s">
        <v>119</v>
      </c>
      <c r="S253" t="s">
        <v>1374</v>
      </c>
      <c r="T253" t="s">
        <v>117</v>
      </c>
      <c r="Z253" t="s">
        <v>3709</v>
      </c>
      <c r="AA253" t="s">
        <v>3710</v>
      </c>
      <c r="AB253">
        <v>1</v>
      </c>
      <c r="AC253">
        <v>1</v>
      </c>
      <c r="AJ253">
        <v>0</v>
      </c>
      <c r="AL253">
        <v>0</v>
      </c>
      <c r="AS253" t="b">
        <v>0</v>
      </c>
      <c r="AV253" t="s">
        <v>1374</v>
      </c>
      <c r="AX253" t="s">
        <v>1377</v>
      </c>
      <c r="BF253" t="s">
        <v>1906</v>
      </c>
      <c r="BG253" t="s">
        <v>1907</v>
      </c>
      <c r="BI253" t="s">
        <v>1374</v>
      </c>
      <c r="BL253" t="s">
        <v>3711</v>
      </c>
      <c r="BM253" t="s">
        <v>1375</v>
      </c>
      <c r="BN253" t="s">
        <v>1375</v>
      </c>
      <c r="BO253" t="s">
        <v>1375</v>
      </c>
      <c r="BQ253" t="s">
        <v>3709</v>
      </c>
      <c r="BR253">
        <v>1</v>
      </c>
      <c r="BS253">
        <v>1</v>
      </c>
      <c r="BU253" t="s">
        <v>1908</v>
      </c>
      <c r="BV253">
        <v>0</v>
      </c>
      <c r="BW253" t="s">
        <v>3712</v>
      </c>
      <c r="BX253" t="s">
        <v>1949</v>
      </c>
      <c r="BY253" t="s">
        <v>1911</v>
      </c>
      <c r="BZ253" t="s">
        <v>1995</v>
      </c>
      <c r="CB253" t="s">
        <v>3713</v>
      </c>
      <c r="CC253" t="s">
        <v>1972</v>
      </c>
      <c r="CD253" t="s">
        <v>1973</v>
      </c>
      <c r="CE253">
        <v>67.5</v>
      </c>
      <c r="CF253">
        <v>63.6</v>
      </c>
      <c r="CG253">
        <v>67.5</v>
      </c>
      <c r="CH253">
        <v>1017</v>
      </c>
      <c r="CI253">
        <v>97</v>
      </c>
      <c r="CJ253">
        <v>62.2</v>
      </c>
      <c r="CK253">
        <v>84.6</v>
      </c>
      <c r="CL253">
        <v>67.5</v>
      </c>
      <c r="CM253">
        <v>67.5</v>
      </c>
      <c r="CN253">
        <v>0</v>
      </c>
      <c r="CO253">
        <v>3.8</v>
      </c>
      <c r="CP253">
        <v>162</v>
      </c>
      <c r="CQ253">
        <v>100</v>
      </c>
      <c r="CR253">
        <v>0</v>
      </c>
      <c r="CS253">
        <v>0</v>
      </c>
      <c r="CT253" t="s">
        <v>2415</v>
      </c>
      <c r="CU253">
        <v>167</v>
      </c>
      <c r="CV253">
        <v>67</v>
      </c>
      <c r="CW253">
        <v>6.2</v>
      </c>
      <c r="CX253">
        <v>0.6</v>
      </c>
      <c r="CY253">
        <v>12.1</v>
      </c>
      <c r="CZ253">
        <v>13.5</v>
      </c>
      <c r="DA253">
        <v>1</v>
      </c>
      <c r="DB253">
        <v>2</v>
      </c>
      <c r="DC253">
        <v>0</v>
      </c>
      <c r="DD253">
        <v>0</v>
      </c>
      <c r="DE253">
        <v>0</v>
      </c>
      <c r="DF253">
        <v>0</v>
      </c>
      <c r="DG253">
        <v>77.8</v>
      </c>
      <c r="DH253">
        <v>38.229999999999997</v>
      </c>
      <c r="DI253">
        <v>0</v>
      </c>
      <c r="DJ253" t="s">
        <v>3440</v>
      </c>
      <c r="DK253" t="s">
        <v>3698</v>
      </c>
      <c r="DL253" t="s">
        <v>3714</v>
      </c>
      <c r="DM253">
        <v>16.53</v>
      </c>
      <c r="DN253">
        <v>269.89999999999998</v>
      </c>
      <c r="EL253">
        <v>0</v>
      </c>
      <c r="EM253" t="s">
        <v>1376</v>
      </c>
    </row>
    <row r="254" spans="1:143" x14ac:dyDescent="0.35">
      <c r="A254" t="s">
        <v>58</v>
      </c>
      <c r="B254" t="s">
        <v>1378</v>
      </c>
      <c r="C254" t="s">
        <v>116</v>
      </c>
      <c r="D254" t="s">
        <v>146</v>
      </c>
      <c r="G254" t="s">
        <v>3715</v>
      </c>
      <c r="K254" t="s">
        <v>3700</v>
      </c>
      <c r="L254" t="s">
        <v>1896</v>
      </c>
      <c r="M254" t="s">
        <v>3701</v>
      </c>
      <c r="N254" t="s">
        <v>1898</v>
      </c>
      <c r="R254" t="s">
        <v>119</v>
      </c>
      <c r="S254" t="s">
        <v>1379</v>
      </c>
      <c r="T254" t="s">
        <v>117</v>
      </c>
      <c r="Z254" t="s">
        <v>2663</v>
      </c>
      <c r="AA254" t="s">
        <v>3716</v>
      </c>
      <c r="AB254">
        <v>1</v>
      </c>
      <c r="AC254">
        <v>3</v>
      </c>
      <c r="AD254" t="s">
        <v>1966</v>
      </c>
      <c r="AJ254">
        <v>0</v>
      </c>
      <c r="AL254">
        <v>0</v>
      </c>
      <c r="AS254" t="b">
        <v>0</v>
      </c>
      <c r="AV254" t="s">
        <v>1379</v>
      </c>
      <c r="AX254" t="s">
        <v>1382</v>
      </c>
      <c r="BF254" t="s">
        <v>1906</v>
      </c>
      <c r="BG254" t="s">
        <v>2235</v>
      </c>
      <c r="BI254" t="s">
        <v>1379</v>
      </c>
      <c r="BL254" t="s">
        <v>3717</v>
      </c>
      <c r="BM254" t="s">
        <v>1380</v>
      </c>
      <c r="BN254" t="s">
        <v>1380</v>
      </c>
      <c r="BO254" t="s">
        <v>1380</v>
      </c>
      <c r="BQ254" t="s">
        <v>2663</v>
      </c>
      <c r="BR254">
        <v>1</v>
      </c>
      <c r="BS254">
        <v>3</v>
      </c>
      <c r="BU254" t="s">
        <v>1908</v>
      </c>
      <c r="BV254">
        <v>0</v>
      </c>
      <c r="BW254" t="s">
        <v>1948</v>
      </c>
      <c r="BX254" t="s">
        <v>1910</v>
      </c>
      <c r="BY254" t="s">
        <v>1911</v>
      </c>
      <c r="BZ254" t="s">
        <v>1910</v>
      </c>
      <c r="CB254" t="s">
        <v>3718</v>
      </c>
      <c r="CC254" t="s">
        <v>1913</v>
      </c>
      <c r="CD254" t="s">
        <v>1914</v>
      </c>
      <c r="CE254">
        <v>71.5</v>
      </c>
      <c r="CF254">
        <v>65.3</v>
      </c>
      <c r="CG254">
        <v>71.5</v>
      </c>
      <c r="CH254">
        <v>1000</v>
      </c>
      <c r="CI254">
        <v>74</v>
      </c>
      <c r="CJ254">
        <v>59.3</v>
      </c>
      <c r="CK254">
        <v>74.3</v>
      </c>
      <c r="CL254">
        <v>76.2</v>
      </c>
      <c r="CM254">
        <v>71.5</v>
      </c>
      <c r="CN254">
        <v>31680</v>
      </c>
      <c r="CO254">
        <v>17.399999999999999</v>
      </c>
      <c r="CP254">
        <v>183</v>
      </c>
      <c r="CQ254">
        <v>86</v>
      </c>
      <c r="CR254">
        <v>0.01</v>
      </c>
      <c r="CS254">
        <v>0</v>
      </c>
      <c r="CT254" t="s">
        <v>1915</v>
      </c>
      <c r="CU254">
        <v>123</v>
      </c>
      <c r="CV254">
        <v>107</v>
      </c>
      <c r="CW254">
        <v>1.1000000000000001</v>
      </c>
      <c r="CX254">
        <v>0.5</v>
      </c>
      <c r="CY254">
        <v>7</v>
      </c>
      <c r="CZ254">
        <v>8.9</v>
      </c>
      <c r="DA254">
        <v>1</v>
      </c>
      <c r="DB254">
        <v>1</v>
      </c>
      <c r="DC254">
        <v>0</v>
      </c>
      <c r="DD254">
        <v>0</v>
      </c>
      <c r="DE254">
        <v>0</v>
      </c>
      <c r="DF254">
        <v>0</v>
      </c>
      <c r="DG254">
        <v>17.45</v>
      </c>
      <c r="DH254">
        <v>3.78</v>
      </c>
      <c r="DI254">
        <v>0</v>
      </c>
      <c r="DJ254" t="s">
        <v>3706</v>
      </c>
      <c r="DM254">
        <v>15.86</v>
      </c>
      <c r="DN254">
        <v>232.5</v>
      </c>
      <c r="EL254">
        <v>0</v>
      </c>
      <c r="EM254" t="s">
        <v>1381</v>
      </c>
    </row>
    <row r="255" spans="1:143" x14ac:dyDescent="0.35">
      <c r="A255" t="s">
        <v>58</v>
      </c>
      <c r="B255" t="s">
        <v>1383</v>
      </c>
      <c r="C255" t="s">
        <v>116</v>
      </c>
      <c r="D255" t="s">
        <v>146</v>
      </c>
      <c r="G255" t="s">
        <v>3683</v>
      </c>
      <c r="K255" t="s">
        <v>3684</v>
      </c>
      <c r="L255" t="s">
        <v>1896</v>
      </c>
      <c r="M255" t="s">
        <v>3425</v>
      </c>
      <c r="N255" t="s">
        <v>1898</v>
      </c>
      <c r="R255" t="s">
        <v>119</v>
      </c>
      <c r="S255" t="s">
        <v>1384</v>
      </c>
      <c r="T255" t="s">
        <v>117</v>
      </c>
      <c r="V255" t="s">
        <v>2014</v>
      </c>
      <c r="W255" t="s">
        <v>1923</v>
      </c>
      <c r="X255" t="s">
        <v>48</v>
      </c>
      <c r="Z255" t="s">
        <v>3719</v>
      </c>
      <c r="AA255" t="s">
        <v>3720</v>
      </c>
      <c r="AB255">
        <v>2</v>
      </c>
      <c r="AC255">
        <v>3</v>
      </c>
      <c r="AJ255">
        <v>0</v>
      </c>
      <c r="AL255">
        <v>0</v>
      </c>
      <c r="AS255" t="b">
        <v>0</v>
      </c>
      <c r="AV255" t="s">
        <v>1384</v>
      </c>
      <c r="AX255" t="s">
        <v>1387</v>
      </c>
      <c r="BF255" t="s">
        <v>1906</v>
      </c>
      <c r="BG255" t="s">
        <v>3721</v>
      </c>
      <c r="BI255" t="s">
        <v>1384</v>
      </c>
      <c r="BL255" t="s">
        <v>3722</v>
      </c>
      <c r="BM255" t="s">
        <v>1385</v>
      </c>
      <c r="BN255" t="s">
        <v>1385</v>
      </c>
      <c r="BO255" t="s">
        <v>1385</v>
      </c>
      <c r="BQ255" t="s">
        <v>3719</v>
      </c>
      <c r="BR255">
        <v>2</v>
      </c>
      <c r="BS255">
        <v>3</v>
      </c>
      <c r="CB255" t="s">
        <v>3723</v>
      </c>
      <c r="CC255" t="s">
        <v>1996</v>
      </c>
      <c r="CD255" t="s">
        <v>1997</v>
      </c>
      <c r="CE255">
        <v>60.1</v>
      </c>
      <c r="CF255">
        <v>37</v>
      </c>
      <c r="CG255">
        <v>60.1</v>
      </c>
      <c r="CH255">
        <v>1014</v>
      </c>
      <c r="CI255">
        <v>41</v>
      </c>
      <c r="CJ255">
        <v>38.799999999999997</v>
      </c>
      <c r="CK255">
        <v>64.8</v>
      </c>
      <c r="CL255">
        <v>60.1</v>
      </c>
      <c r="CM255">
        <v>60.1</v>
      </c>
      <c r="CN255">
        <v>31680</v>
      </c>
      <c r="CO255">
        <v>4.5</v>
      </c>
      <c r="CP255">
        <v>132</v>
      </c>
      <c r="CQ255">
        <v>23</v>
      </c>
      <c r="CR255">
        <v>0</v>
      </c>
      <c r="CS255">
        <v>0</v>
      </c>
      <c r="CT255" t="s">
        <v>1915</v>
      </c>
      <c r="CU255">
        <v>145.8500061035156</v>
      </c>
      <c r="CV255">
        <v>83</v>
      </c>
      <c r="CW255">
        <v>4.9499998092651367</v>
      </c>
      <c r="CX255">
        <v>2.6500000953674321</v>
      </c>
      <c r="CY255">
        <v>7.6500000953674316</v>
      </c>
      <c r="CZ255">
        <v>10.64999961853027</v>
      </c>
      <c r="DA255">
        <v>1</v>
      </c>
      <c r="DB255">
        <v>1</v>
      </c>
      <c r="DC255">
        <v>0</v>
      </c>
      <c r="DD255">
        <v>0</v>
      </c>
      <c r="DE255">
        <v>210.76</v>
      </c>
      <c r="DF255">
        <v>234.73</v>
      </c>
      <c r="DG255">
        <v>0</v>
      </c>
      <c r="DH255">
        <v>0</v>
      </c>
      <c r="DI255">
        <v>0</v>
      </c>
      <c r="DJ255" t="s">
        <v>3430</v>
      </c>
      <c r="DM255">
        <v>24.64</v>
      </c>
      <c r="DN255">
        <v>70</v>
      </c>
      <c r="EL255">
        <v>0</v>
      </c>
      <c r="EM255" t="s">
        <v>1386</v>
      </c>
    </row>
    <row r="256" spans="1:143" x14ac:dyDescent="0.35">
      <c r="A256" t="s">
        <v>58</v>
      </c>
      <c r="B256" t="s">
        <v>1388</v>
      </c>
      <c r="C256" t="s">
        <v>116</v>
      </c>
      <c r="D256" t="s">
        <v>146</v>
      </c>
      <c r="G256" t="s">
        <v>3724</v>
      </c>
      <c r="K256" t="s">
        <v>3433</v>
      </c>
      <c r="L256" t="s">
        <v>1896</v>
      </c>
      <c r="M256" t="s">
        <v>3434</v>
      </c>
      <c r="N256" t="s">
        <v>1898</v>
      </c>
      <c r="R256" t="s">
        <v>119</v>
      </c>
      <c r="S256" t="s">
        <v>1389</v>
      </c>
      <c r="T256" t="s">
        <v>117</v>
      </c>
      <c r="Z256" t="s">
        <v>3725</v>
      </c>
      <c r="AA256" t="s">
        <v>3726</v>
      </c>
      <c r="AB256">
        <v>1</v>
      </c>
      <c r="AC256">
        <v>1</v>
      </c>
      <c r="AJ256">
        <v>0</v>
      </c>
      <c r="AL256">
        <v>0</v>
      </c>
      <c r="AS256" t="b">
        <v>0</v>
      </c>
      <c r="AV256" t="s">
        <v>1389</v>
      </c>
      <c r="AX256" t="s">
        <v>1392</v>
      </c>
      <c r="BF256" t="s">
        <v>1906</v>
      </c>
      <c r="BG256" t="s">
        <v>3727</v>
      </c>
      <c r="BI256" t="s">
        <v>1389</v>
      </c>
      <c r="BL256" t="s">
        <v>3728</v>
      </c>
      <c r="BM256" t="s">
        <v>1390</v>
      </c>
      <c r="BN256" t="s">
        <v>1390</v>
      </c>
      <c r="BO256" t="s">
        <v>1390</v>
      </c>
      <c r="BQ256" t="s">
        <v>3725</v>
      </c>
      <c r="BR256">
        <v>1</v>
      </c>
      <c r="BS256">
        <v>1</v>
      </c>
      <c r="BU256" t="s">
        <v>1908</v>
      </c>
      <c r="BW256" t="s">
        <v>1948</v>
      </c>
      <c r="BX256" t="s">
        <v>1910</v>
      </c>
      <c r="BY256" t="s">
        <v>1970</v>
      </c>
      <c r="BZ256" t="s">
        <v>1995</v>
      </c>
      <c r="CB256" t="s">
        <v>3155</v>
      </c>
      <c r="CC256" t="s">
        <v>1961</v>
      </c>
      <c r="CD256" t="s">
        <v>1962</v>
      </c>
      <c r="CE256">
        <v>57.2</v>
      </c>
      <c r="CF256">
        <v>39</v>
      </c>
      <c r="CG256">
        <v>55.4</v>
      </c>
      <c r="CH256">
        <v>1024</v>
      </c>
      <c r="CI256">
        <v>50</v>
      </c>
      <c r="CJ256">
        <v>36.9</v>
      </c>
      <c r="CK256">
        <v>63</v>
      </c>
      <c r="CL256">
        <v>57.2</v>
      </c>
      <c r="CM256">
        <v>55.4</v>
      </c>
      <c r="CN256">
        <v>31680</v>
      </c>
      <c r="CO256">
        <v>9.4</v>
      </c>
      <c r="CP256">
        <v>87</v>
      </c>
      <c r="CQ256">
        <v>55</v>
      </c>
      <c r="CR256">
        <v>0</v>
      </c>
      <c r="CS256">
        <v>0</v>
      </c>
      <c r="CT256" t="s">
        <v>1915</v>
      </c>
      <c r="CU256">
        <v>138.8500061035156</v>
      </c>
      <c r="CV256">
        <v>106</v>
      </c>
      <c r="CW256">
        <v>2.0499999523162842</v>
      </c>
      <c r="CX256">
        <v>1.25</v>
      </c>
      <c r="CY256">
        <v>2.75</v>
      </c>
      <c r="CZ256">
        <v>3.75</v>
      </c>
      <c r="DA256">
        <v>1</v>
      </c>
      <c r="DB256">
        <v>1</v>
      </c>
      <c r="DC256">
        <v>0</v>
      </c>
      <c r="DD256">
        <v>0</v>
      </c>
      <c r="DE256">
        <v>357.53</v>
      </c>
      <c r="DF256">
        <v>398.56</v>
      </c>
      <c r="DG256">
        <v>0</v>
      </c>
      <c r="DH256">
        <v>0</v>
      </c>
      <c r="DI256">
        <v>0</v>
      </c>
      <c r="DJ256" t="s">
        <v>3440</v>
      </c>
      <c r="DM256">
        <v>16.53</v>
      </c>
      <c r="DN256">
        <v>269.89999999999998</v>
      </c>
      <c r="EL256">
        <v>0</v>
      </c>
      <c r="EM256" t="s">
        <v>1391</v>
      </c>
    </row>
    <row r="257" spans="1:143" x14ac:dyDescent="0.35">
      <c r="A257" t="s">
        <v>58</v>
      </c>
      <c r="B257" t="s">
        <v>1393</v>
      </c>
      <c r="C257" t="s">
        <v>116</v>
      </c>
      <c r="D257" t="s">
        <v>146</v>
      </c>
      <c r="G257" t="s">
        <v>3683</v>
      </c>
      <c r="K257" t="s">
        <v>3684</v>
      </c>
      <c r="L257" t="s">
        <v>1896</v>
      </c>
      <c r="M257" t="s">
        <v>3425</v>
      </c>
      <c r="N257" t="s">
        <v>1898</v>
      </c>
      <c r="R257" t="s">
        <v>119</v>
      </c>
      <c r="S257" t="s">
        <v>1394</v>
      </c>
      <c r="T257" t="s">
        <v>117</v>
      </c>
      <c r="V257" t="s">
        <v>2014</v>
      </c>
      <c r="W257" t="s">
        <v>1923</v>
      </c>
      <c r="X257" t="s">
        <v>48</v>
      </c>
      <c r="Z257" t="s">
        <v>3729</v>
      </c>
      <c r="AA257" t="s">
        <v>3730</v>
      </c>
      <c r="AB257">
        <v>2</v>
      </c>
      <c r="AC257">
        <v>4</v>
      </c>
      <c r="AE257">
        <v>1987</v>
      </c>
      <c r="AF257" t="s">
        <v>3354</v>
      </c>
      <c r="AG257" t="s">
        <v>1928</v>
      </c>
      <c r="AH257" t="s">
        <v>1929</v>
      </c>
      <c r="AI257">
        <v>62000</v>
      </c>
      <c r="AJ257">
        <v>0</v>
      </c>
      <c r="AL257">
        <v>0</v>
      </c>
      <c r="AS257" t="b">
        <v>0</v>
      </c>
      <c r="AV257" t="s">
        <v>1394</v>
      </c>
      <c r="AX257" t="s">
        <v>1397</v>
      </c>
      <c r="AY257" t="b">
        <v>1</v>
      </c>
      <c r="AZ257" t="b">
        <v>1</v>
      </c>
      <c r="BF257" t="s">
        <v>1906</v>
      </c>
      <c r="BG257" t="s">
        <v>3731</v>
      </c>
      <c r="BI257" t="s">
        <v>1394</v>
      </c>
      <c r="BL257" t="s">
        <v>3732</v>
      </c>
      <c r="BM257" t="s">
        <v>1395</v>
      </c>
      <c r="BN257" t="s">
        <v>1395</v>
      </c>
      <c r="BO257" t="s">
        <v>1395</v>
      </c>
      <c r="BQ257" t="s">
        <v>3729</v>
      </c>
      <c r="BR257">
        <v>2</v>
      </c>
      <c r="BS257">
        <v>4</v>
      </c>
      <c r="CB257" t="s">
        <v>3155</v>
      </c>
      <c r="CC257" t="s">
        <v>1961</v>
      </c>
      <c r="CD257" t="s">
        <v>1962</v>
      </c>
      <c r="CE257">
        <v>63.7</v>
      </c>
      <c r="CF257">
        <v>38.799999999999997</v>
      </c>
      <c r="CG257">
        <v>63.7</v>
      </c>
      <c r="CH257">
        <v>1023</v>
      </c>
      <c r="CI257">
        <v>46</v>
      </c>
      <c r="CJ257">
        <v>35.4</v>
      </c>
      <c r="CK257">
        <v>65.5</v>
      </c>
      <c r="CL257">
        <v>63.7</v>
      </c>
      <c r="CM257">
        <v>63.7</v>
      </c>
      <c r="CN257">
        <v>31680</v>
      </c>
      <c r="CO257">
        <v>7.3</v>
      </c>
      <c r="CP257">
        <v>84</v>
      </c>
      <c r="CQ257">
        <v>45</v>
      </c>
      <c r="CR257">
        <v>0</v>
      </c>
      <c r="CS257">
        <v>0</v>
      </c>
      <c r="CT257" t="s">
        <v>1915</v>
      </c>
      <c r="CU257">
        <v>137.8500061035156</v>
      </c>
      <c r="CV257">
        <v>106</v>
      </c>
      <c r="CW257">
        <v>2.5499999523162842</v>
      </c>
      <c r="CX257">
        <v>1.3500000238418579</v>
      </c>
      <c r="CY257">
        <v>2.9500000476837158</v>
      </c>
      <c r="CZ257">
        <v>4.0500001907348633</v>
      </c>
      <c r="DA257">
        <v>1</v>
      </c>
      <c r="DB257">
        <v>1</v>
      </c>
      <c r="DC257">
        <v>0</v>
      </c>
      <c r="DD257">
        <v>0</v>
      </c>
      <c r="DE257">
        <v>372.8</v>
      </c>
      <c r="DF257">
        <v>439.04</v>
      </c>
      <c r="DG257">
        <v>0</v>
      </c>
      <c r="DH257">
        <v>0</v>
      </c>
      <c r="DI257">
        <v>0</v>
      </c>
      <c r="DJ257" t="s">
        <v>3430</v>
      </c>
      <c r="DM257">
        <v>24.64</v>
      </c>
      <c r="DN257">
        <v>70</v>
      </c>
      <c r="EL257">
        <v>0</v>
      </c>
      <c r="EM257" t="s">
        <v>1396</v>
      </c>
    </row>
    <row r="258" spans="1:143" x14ac:dyDescent="0.35">
      <c r="A258" t="s">
        <v>58</v>
      </c>
      <c r="B258" t="s">
        <v>1398</v>
      </c>
      <c r="C258" t="s">
        <v>116</v>
      </c>
      <c r="D258" t="s">
        <v>146</v>
      </c>
      <c r="G258" t="s">
        <v>3733</v>
      </c>
      <c r="K258" t="s">
        <v>3433</v>
      </c>
      <c r="L258" t="s">
        <v>1896</v>
      </c>
      <c r="M258" t="s">
        <v>3434</v>
      </c>
      <c r="N258" t="s">
        <v>1898</v>
      </c>
      <c r="R258" t="s">
        <v>119</v>
      </c>
      <c r="S258" t="s">
        <v>1399</v>
      </c>
      <c r="T258" t="s">
        <v>117</v>
      </c>
      <c r="Z258" t="s">
        <v>3725</v>
      </c>
      <c r="AA258" t="s">
        <v>3726</v>
      </c>
      <c r="AB258">
        <v>1</v>
      </c>
      <c r="AC258">
        <v>1</v>
      </c>
      <c r="AJ258">
        <v>0</v>
      </c>
      <c r="AL258">
        <v>0</v>
      </c>
      <c r="AS258" t="b">
        <v>0</v>
      </c>
      <c r="AV258" t="s">
        <v>1399</v>
      </c>
      <c r="AX258" t="s">
        <v>1402</v>
      </c>
      <c r="BF258" t="s">
        <v>1906</v>
      </c>
      <c r="BG258" t="s">
        <v>3727</v>
      </c>
      <c r="BI258" t="s">
        <v>1399</v>
      </c>
      <c r="BL258" t="s">
        <v>3734</v>
      </c>
      <c r="BM258" t="s">
        <v>1400</v>
      </c>
      <c r="BN258" t="s">
        <v>1400</v>
      </c>
      <c r="BO258" t="s">
        <v>1400</v>
      </c>
      <c r="BQ258" t="s">
        <v>3725</v>
      </c>
      <c r="BR258">
        <v>1</v>
      </c>
      <c r="BS258">
        <v>1</v>
      </c>
      <c r="BU258" t="s">
        <v>1908</v>
      </c>
      <c r="BW258" t="s">
        <v>1934</v>
      </c>
      <c r="BX258" t="s">
        <v>1910</v>
      </c>
      <c r="BY258" t="s">
        <v>2039</v>
      </c>
      <c r="BZ258" t="s">
        <v>1995</v>
      </c>
      <c r="CB258" t="s">
        <v>2020</v>
      </c>
      <c r="CC258" t="s">
        <v>1972</v>
      </c>
      <c r="CD258" t="s">
        <v>1973</v>
      </c>
      <c r="CE258">
        <v>47.3</v>
      </c>
      <c r="CF258">
        <v>23.4</v>
      </c>
      <c r="CG258">
        <v>44.8</v>
      </c>
      <c r="CH258">
        <v>1031</v>
      </c>
      <c r="CI258">
        <v>38</v>
      </c>
      <c r="CJ258">
        <v>35.200000000000003</v>
      </c>
      <c r="CK258">
        <v>48.9</v>
      </c>
      <c r="CL258">
        <v>47.3</v>
      </c>
      <c r="CM258">
        <v>44.8</v>
      </c>
      <c r="CN258">
        <v>31680</v>
      </c>
      <c r="CO258">
        <v>4.9000000000000004</v>
      </c>
      <c r="CP258">
        <v>256</v>
      </c>
      <c r="CQ258">
        <v>100</v>
      </c>
      <c r="CR258">
        <v>0</v>
      </c>
      <c r="CS258">
        <v>0</v>
      </c>
      <c r="CT258" t="s">
        <v>1915</v>
      </c>
      <c r="CU258">
        <v>154.8500061035156</v>
      </c>
      <c r="CV258">
        <v>110</v>
      </c>
      <c r="CW258">
        <v>1.25</v>
      </c>
      <c r="CX258">
        <v>1.3500000238418579</v>
      </c>
      <c r="CY258">
        <v>3.4500000476837158</v>
      </c>
      <c r="CZ258">
        <v>4.3499999046325684</v>
      </c>
      <c r="DA258">
        <v>1</v>
      </c>
      <c r="DB258">
        <v>1</v>
      </c>
      <c r="DC258">
        <v>0</v>
      </c>
      <c r="DD258">
        <v>0</v>
      </c>
      <c r="DE258">
        <v>68.63</v>
      </c>
      <c r="DF258">
        <v>92.58</v>
      </c>
      <c r="DG258">
        <v>0</v>
      </c>
      <c r="DH258">
        <v>0</v>
      </c>
      <c r="DI258">
        <v>0</v>
      </c>
      <c r="DJ258" t="s">
        <v>3440</v>
      </c>
      <c r="DM258">
        <v>16.53</v>
      </c>
      <c r="DN258">
        <v>269.89999999999998</v>
      </c>
      <c r="EL258">
        <v>0</v>
      </c>
      <c r="EM258" t="s">
        <v>1401</v>
      </c>
    </row>
    <row r="259" spans="1:143" x14ac:dyDescent="0.35">
      <c r="A259" t="s">
        <v>58</v>
      </c>
      <c r="B259" t="s">
        <v>1403</v>
      </c>
      <c r="C259" t="s">
        <v>116</v>
      </c>
      <c r="D259" t="s">
        <v>146</v>
      </c>
      <c r="G259" t="s">
        <v>3733</v>
      </c>
      <c r="K259" t="s">
        <v>3433</v>
      </c>
      <c r="L259" t="s">
        <v>1896</v>
      </c>
      <c r="M259" t="s">
        <v>3434</v>
      </c>
      <c r="N259" t="s">
        <v>1898</v>
      </c>
      <c r="R259" t="s">
        <v>119</v>
      </c>
      <c r="S259" t="s">
        <v>1404</v>
      </c>
      <c r="T259" t="s">
        <v>117</v>
      </c>
      <c r="Z259" t="s">
        <v>3735</v>
      </c>
      <c r="AA259" t="s">
        <v>3736</v>
      </c>
      <c r="AB259">
        <v>3</v>
      </c>
      <c r="AC259">
        <v>4</v>
      </c>
      <c r="AE259">
        <v>1987</v>
      </c>
      <c r="AG259" t="s">
        <v>1928</v>
      </c>
      <c r="AH259" t="s">
        <v>1929</v>
      </c>
      <c r="AI259">
        <v>81500</v>
      </c>
      <c r="AJ259">
        <v>0</v>
      </c>
      <c r="AL259">
        <v>0</v>
      </c>
      <c r="AS259" t="b">
        <v>1</v>
      </c>
      <c r="AU259">
        <v>0</v>
      </c>
      <c r="AV259" t="s">
        <v>1404</v>
      </c>
      <c r="AX259" t="s">
        <v>1407</v>
      </c>
      <c r="AY259" t="b">
        <v>1</v>
      </c>
      <c r="AZ259" t="b">
        <v>1</v>
      </c>
      <c r="BA259" t="s">
        <v>1977</v>
      </c>
      <c r="BF259" t="s">
        <v>1906</v>
      </c>
      <c r="BG259" t="s">
        <v>1907</v>
      </c>
      <c r="BI259" t="s">
        <v>1404</v>
      </c>
      <c r="BL259" t="s">
        <v>3737</v>
      </c>
      <c r="BM259" t="s">
        <v>1405</v>
      </c>
      <c r="BN259" t="s">
        <v>1405</v>
      </c>
      <c r="BO259" t="s">
        <v>1405</v>
      </c>
      <c r="BQ259" t="s">
        <v>3735</v>
      </c>
      <c r="BR259">
        <v>3</v>
      </c>
      <c r="BS259">
        <v>4</v>
      </c>
      <c r="BU259" t="s">
        <v>1908</v>
      </c>
      <c r="BW259" t="s">
        <v>1948</v>
      </c>
      <c r="BX259" t="s">
        <v>1949</v>
      </c>
      <c r="BY259" t="s">
        <v>1911</v>
      </c>
      <c r="BZ259" t="s">
        <v>1910</v>
      </c>
      <c r="CB259" t="s">
        <v>2531</v>
      </c>
      <c r="CC259" t="s">
        <v>1972</v>
      </c>
      <c r="CD259" t="s">
        <v>1973</v>
      </c>
      <c r="CE259">
        <v>45.3</v>
      </c>
      <c r="CF259">
        <v>22.1</v>
      </c>
      <c r="CG259">
        <v>43</v>
      </c>
      <c r="CH259">
        <v>1032</v>
      </c>
      <c r="CI259">
        <v>40</v>
      </c>
      <c r="CJ259">
        <v>35.200000000000003</v>
      </c>
      <c r="CK259">
        <v>48.9</v>
      </c>
      <c r="CL259">
        <v>45.3</v>
      </c>
      <c r="CM259">
        <v>43</v>
      </c>
      <c r="CN259">
        <v>31680</v>
      </c>
      <c r="CO259">
        <v>4</v>
      </c>
      <c r="CP259">
        <v>281</v>
      </c>
      <c r="CQ259">
        <v>99</v>
      </c>
      <c r="CR259">
        <v>0</v>
      </c>
      <c r="CS259">
        <v>0</v>
      </c>
      <c r="CT259" t="s">
        <v>1915</v>
      </c>
      <c r="CU259">
        <v>156.8500061035156</v>
      </c>
      <c r="CV259">
        <v>106</v>
      </c>
      <c r="CW259">
        <v>1.6499999761581421</v>
      </c>
      <c r="CX259">
        <v>1.3500000238418579</v>
      </c>
      <c r="CY259">
        <v>3.5499999523162842</v>
      </c>
      <c r="CZ259">
        <v>4.4499998092651367</v>
      </c>
      <c r="DA259">
        <v>1</v>
      </c>
      <c r="DB259">
        <v>1</v>
      </c>
      <c r="DC259">
        <v>0</v>
      </c>
      <c r="DD259">
        <v>0</v>
      </c>
      <c r="DE259">
        <v>53.31</v>
      </c>
      <c r="DF259">
        <v>78.38</v>
      </c>
      <c r="DG259">
        <v>0</v>
      </c>
      <c r="DH259">
        <v>0</v>
      </c>
      <c r="DI259">
        <v>0</v>
      </c>
      <c r="DJ259" t="s">
        <v>3440</v>
      </c>
      <c r="DM259">
        <v>16.53</v>
      </c>
      <c r="DN259">
        <v>269.89999999999998</v>
      </c>
      <c r="EL259">
        <v>0</v>
      </c>
      <c r="EM259" t="s">
        <v>1406</v>
      </c>
    </row>
    <row r="260" spans="1:143" x14ac:dyDescent="0.35">
      <c r="A260" t="s">
        <v>58</v>
      </c>
      <c r="B260" t="s">
        <v>1408</v>
      </c>
      <c r="C260" t="s">
        <v>116</v>
      </c>
      <c r="D260" t="s">
        <v>146</v>
      </c>
      <c r="G260" t="s">
        <v>3738</v>
      </c>
      <c r="K260" t="s">
        <v>3675</v>
      </c>
      <c r="L260" t="s">
        <v>1896</v>
      </c>
      <c r="M260" t="s">
        <v>3676</v>
      </c>
      <c r="N260" t="s">
        <v>1898</v>
      </c>
      <c r="R260" t="s">
        <v>119</v>
      </c>
      <c r="S260" t="s">
        <v>1409</v>
      </c>
      <c r="T260" t="s">
        <v>117</v>
      </c>
      <c r="V260" t="s">
        <v>2014</v>
      </c>
      <c r="W260" t="s">
        <v>1923</v>
      </c>
      <c r="X260" t="s">
        <v>56</v>
      </c>
      <c r="Z260" t="s">
        <v>3739</v>
      </c>
      <c r="AA260" t="s">
        <v>3740</v>
      </c>
      <c r="AB260">
        <v>1</v>
      </c>
      <c r="AC260">
        <v>2</v>
      </c>
      <c r="AJ260">
        <v>0</v>
      </c>
      <c r="AL260">
        <v>0</v>
      </c>
      <c r="AS260" t="b">
        <v>0</v>
      </c>
      <c r="AV260" t="s">
        <v>1409</v>
      </c>
      <c r="AX260" t="s">
        <v>1412</v>
      </c>
      <c r="BF260" t="s">
        <v>1906</v>
      </c>
      <c r="BG260" t="s">
        <v>3214</v>
      </c>
      <c r="BI260" t="s">
        <v>1409</v>
      </c>
      <c r="BL260" t="s">
        <v>3741</v>
      </c>
      <c r="BM260" t="s">
        <v>1410</v>
      </c>
      <c r="BN260" t="s">
        <v>1410</v>
      </c>
      <c r="BO260" t="s">
        <v>1410</v>
      </c>
      <c r="BQ260" t="s">
        <v>3739</v>
      </c>
      <c r="BR260">
        <v>1</v>
      </c>
      <c r="BS260">
        <v>2</v>
      </c>
      <c r="CB260" t="s">
        <v>3742</v>
      </c>
      <c r="CC260" t="s">
        <v>1996</v>
      </c>
      <c r="CD260" t="s">
        <v>1997</v>
      </c>
      <c r="CE260">
        <v>53.6</v>
      </c>
      <c r="CF260">
        <v>26.4</v>
      </c>
      <c r="CG260">
        <v>50</v>
      </c>
      <c r="CH260">
        <v>1030</v>
      </c>
      <c r="CI260">
        <v>31</v>
      </c>
      <c r="CJ260">
        <v>30.4</v>
      </c>
      <c r="CK260">
        <v>57</v>
      </c>
      <c r="CL260">
        <v>53.6</v>
      </c>
      <c r="CM260">
        <v>50</v>
      </c>
      <c r="CN260">
        <v>31680</v>
      </c>
      <c r="CO260">
        <v>10.1</v>
      </c>
      <c r="CP260">
        <v>200</v>
      </c>
      <c r="CQ260">
        <v>0</v>
      </c>
      <c r="CR260">
        <v>0</v>
      </c>
      <c r="CS260">
        <v>0</v>
      </c>
      <c r="CT260" t="s">
        <v>1915</v>
      </c>
      <c r="CU260">
        <v>154.8500061035156</v>
      </c>
      <c r="CV260">
        <v>114</v>
      </c>
      <c r="CW260">
        <v>2.75</v>
      </c>
      <c r="CX260">
        <v>2.75</v>
      </c>
      <c r="CY260">
        <v>5.9499998092651367</v>
      </c>
      <c r="CZ260">
        <v>9.3500003814697266</v>
      </c>
      <c r="DA260">
        <v>1</v>
      </c>
      <c r="DB260">
        <v>1</v>
      </c>
      <c r="DC260">
        <v>0</v>
      </c>
      <c r="DD260">
        <v>2.2999999999999998</v>
      </c>
      <c r="DE260">
        <v>119.37</v>
      </c>
      <c r="DF260">
        <v>159.34</v>
      </c>
      <c r="DG260">
        <v>0</v>
      </c>
      <c r="DH260">
        <v>0</v>
      </c>
      <c r="DI260">
        <v>0</v>
      </c>
      <c r="DJ260" t="s">
        <v>3743</v>
      </c>
      <c r="DM260">
        <v>28.75</v>
      </c>
      <c r="DN260">
        <v>166.6</v>
      </c>
      <c r="EL260">
        <v>0</v>
      </c>
      <c r="EM260" t="s">
        <v>1411</v>
      </c>
    </row>
    <row r="261" spans="1:143" x14ac:dyDescent="0.35">
      <c r="A261" t="s">
        <v>58</v>
      </c>
      <c r="B261" t="s">
        <v>1413</v>
      </c>
      <c r="C261" t="s">
        <v>116</v>
      </c>
      <c r="D261" t="s">
        <v>146</v>
      </c>
      <c r="G261" t="s">
        <v>3744</v>
      </c>
      <c r="K261" t="s">
        <v>3700</v>
      </c>
      <c r="L261" t="s">
        <v>1896</v>
      </c>
      <c r="M261" t="s">
        <v>3701</v>
      </c>
      <c r="N261" t="s">
        <v>1898</v>
      </c>
      <c r="R261" t="s">
        <v>119</v>
      </c>
      <c r="S261" t="s">
        <v>1414</v>
      </c>
      <c r="T261" t="s">
        <v>117</v>
      </c>
      <c r="Z261" t="s">
        <v>3745</v>
      </c>
      <c r="AA261" t="s">
        <v>3746</v>
      </c>
      <c r="AB261">
        <v>2</v>
      </c>
      <c r="AC261">
        <v>3</v>
      </c>
      <c r="AJ261">
        <v>0</v>
      </c>
      <c r="AL261">
        <v>0</v>
      </c>
      <c r="AS261" t="b">
        <v>1</v>
      </c>
      <c r="AU261">
        <v>1</v>
      </c>
      <c r="AV261" t="s">
        <v>1414</v>
      </c>
      <c r="AX261" t="s">
        <v>1417</v>
      </c>
      <c r="AY261" t="b">
        <v>1</v>
      </c>
      <c r="AZ261" t="b">
        <v>1</v>
      </c>
      <c r="BF261" t="s">
        <v>1906</v>
      </c>
      <c r="BG261" t="s">
        <v>1907</v>
      </c>
      <c r="BI261" t="s">
        <v>1414</v>
      </c>
      <c r="BL261" t="s">
        <v>3747</v>
      </c>
      <c r="BM261" t="s">
        <v>1415</v>
      </c>
      <c r="BN261" t="s">
        <v>1415</v>
      </c>
      <c r="BO261" t="s">
        <v>1415</v>
      </c>
      <c r="BQ261" t="s">
        <v>3745</v>
      </c>
      <c r="BR261">
        <v>2</v>
      </c>
      <c r="BS261">
        <v>3</v>
      </c>
      <c r="BU261" t="s">
        <v>1908</v>
      </c>
      <c r="BW261" t="s">
        <v>1948</v>
      </c>
      <c r="BX261" t="s">
        <v>1949</v>
      </c>
      <c r="BY261" t="s">
        <v>1911</v>
      </c>
      <c r="BZ261" t="s">
        <v>1910</v>
      </c>
      <c r="CB261" t="s">
        <v>3748</v>
      </c>
      <c r="CC261" t="s">
        <v>3749</v>
      </c>
      <c r="CD261" t="s">
        <v>3749</v>
      </c>
      <c r="CE261">
        <v>32.9</v>
      </c>
      <c r="CF261">
        <v>32.9</v>
      </c>
      <c r="CG261">
        <v>25.7</v>
      </c>
      <c r="CH261">
        <v>993</v>
      </c>
      <c r="CI261">
        <v>95</v>
      </c>
      <c r="CJ261">
        <v>16.899999999999999</v>
      </c>
      <c r="CK261">
        <v>36.700000000000003</v>
      </c>
      <c r="CL261">
        <v>32.9</v>
      </c>
      <c r="CM261">
        <v>25.7</v>
      </c>
      <c r="CN261">
        <v>15840</v>
      </c>
      <c r="CO261">
        <v>6.3</v>
      </c>
      <c r="CP261">
        <v>217</v>
      </c>
      <c r="CQ261">
        <v>100</v>
      </c>
      <c r="CR261">
        <v>-0.29251968503937009</v>
      </c>
      <c r="CS261">
        <v>0.34251968503937008</v>
      </c>
      <c r="DJ261" t="s">
        <v>3706</v>
      </c>
      <c r="DM261">
        <v>15.86</v>
      </c>
      <c r="DN261">
        <v>232.5</v>
      </c>
      <c r="EL261">
        <v>0</v>
      </c>
      <c r="EM261" t="s">
        <v>1416</v>
      </c>
    </row>
    <row r="262" spans="1:143" x14ac:dyDescent="0.35">
      <c r="A262" t="s">
        <v>60</v>
      </c>
      <c r="B262" t="s">
        <v>1418</v>
      </c>
      <c r="C262" t="s">
        <v>116</v>
      </c>
      <c r="D262" t="s">
        <v>146</v>
      </c>
      <c r="G262" t="s">
        <v>3750</v>
      </c>
      <c r="K262" t="s">
        <v>3715</v>
      </c>
      <c r="L262" t="s">
        <v>1896</v>
      </c>
      <c r="M262" t="s">
        <v>3751</v>
      </c>
      <c r="N262" t="s">
        <v>1898</v>
      </c>
      <c r="R262" t="s">
        <v>119</v>
      </c>
      <c r="S262" t="s">
        <v>1419</v>
      </c>
      <c r="T262" t="s">
        <v>117</v>
      </c>
      <c r="V262" t="s">
        <v>2014</v>
      </c>
      <c r="W262" t="s">
        <v>2134</v>
      </c>
      <c r="X262" t="s">
        <v>3752</v>
      </c>
      <c r="Z262" t="s">
        <v>3753</v>
      </c>
      <c r="AA262" t="s">
        <v>3754</v>
      </c>
      <c r="AB262">
        <v>2</v>
      </c>
      <c r="AC262">
        <v>3</v>
      </c>
      <c r="AD262" t="s">
        <v>2221</v>
      </c>
      <c r="AG262" t="s">
        <v>2848</v>
      </c>
      <c r="AH262" t="s">
        <v>1903</v>
      </c>
      <c r="AI262">
        <v>288400</v>
      </c>
      <c r="AJ262">
        <v>0</v>
      </c>
      <c r="AL262">
        <v>0</v>
      </c>
      <c r="AS262" t="b">
        <v>0</v>
      </c>
      <c r="AU262">
        <v>0</v>
      </c>
      <c r="AV262" t="s">
        <v>1419</v>
      </c>
      <c r="AX262" t="s">
        <v>1422</v>
      </c>
      <c r="AY262" t="b">
        <v>1</v>
      </c>
      <c r="AZ262" t="b">
        <v>1</v>
      </c>
      <c r="BA262" t="s">
        <v>1931</v>
      </c>
      <c r="BI262" t="s">
        <v>1419</v>
      </c>
      <c r="BM262" t="s">
        <v>3755</v>
      </c>
      <c r="BN262" t="s">
        <v>1420</v>
      </c>
      <c r="BO262" t="s">
        <v>1420</v>
      </c>
      <c r="BQ262" t="s">
        <v>3753</v>
      </c>
      <c r="BR262">
        <v>2</v>
      </c>
      <c r="BS262">
        <v>3</v>
      </c>
      <c r="BU262" t="s">
        <v>1908</v>
      </c>
      <c r="BW262" t="s">
        <v>1934</v>
      </c>
      <c r="BX262" t="s">
        <v>3238</v>
      </c>
      <c r="BY262" t="s">
        <v>1911</v>
      </c>
      <c r="CB262" t="s">
        <v>3756</v>
      </c>
      <c r="CC262" t="s">
        <v>1996</v>
      </c>
      <c r="CD262" t="s">
        <v>1997</v>
      </c>
      <c r="CE262">
        <v>58.3</v>
      </c>
      <c r="CF262">
        <v>48.5</v>
      </c>
      <c r="CG262">
        <v>59.1</v>
      </c>
      <c r="CH262">
        <v>1016</v>
      </c>
      <c r="CI262">
        <v>70</v>
      </c>
      <c r="CJ262">
        <v>54.3</v>
      </c>
      <c r="CK262">
        <v>81</v>
      </c>
      <c r="CL262">
        <v>58.3</v>
      </c>
      <c r="CM262">
        <v>59.1</v>
      </c>
      <c r="CN262">
        <v>31680</v>
      </c>
      <c r="CO262">
        <v>2.9</v>
      </c>
      <c r="CP262">
        <v>279</v>
      </c>
      <c r="CQ262">
        <v>0</v>
      </c>
      <c r="CR262">
        <v>0</v>
      </c>
      <c r="CS262">
        <v>0</v>
      </c>
      <c r="CT262" t="s">
        <v>1915</v>
      </c>
      <c r="CU262">
        <v>112</v>
      </c>
      <c r="CV262">
        <v>63</v>
      </c>
      <c r="CW262">
        <v>2.1</v>
      </c>
      <c r="CX262">
        <v>0.4</v>
      </c>
      <c r="CY262">
        <v>9.6</v>
      </c>
      <c r="CZ262">
        <v>10</v>
      </c>
      <c r="DA262">
        <v>1</v>
      </c>
      <c r="DB262">
        <v>1</v>
      </c>
      <c r="DC262">
        <v>0</v>
      </c>
      <c r="DD262">
        <v>0</v>
      </c>
      <c r="DE262">
        <v>0</v>
      </c>
      <c r="DF262">
        <v>0</v>
      </c>
      <c r="DG262">
        <v>48.67</v>
      </c>
      <c r="DH262">
        <v>28.42</v>
      </c>
      <c r="DI262">
        <v>0</v>
      </c>
      <c r="DJ262" t="s">
        <v>3757</v>
      </c>
      <c r="DK262" t="s">
        <v>3758</v>
      </c>
      <c r="DL262" t="s">
        <v>2607</v>
      </c>
      <c r="DM262">
        <v>11.19</v>
      </c>
      <c r="DN262">
        <v>547.1</v>
      </c>
      <c r="EL262">
        <v>0</v>
      </c>
      <c r="EM262" t="s">
        <v>1421</v>
      </c>
    </row>
    <row r="263" spans="1:143" x14ac:dyDescent="0.35">
      <c r="A263" t="s">
        <v>60</v>
      </c>
      <c r="B263" t="s">
        <v>1423</v>
      </c>
      <c r="C263" t="s">
        <v>116</v>
      </c>
      <c r="D263" t="s">
        <v>146</v>
      </c>
      <c r="G263" t="s">
        <v>3750</v>
      </c>
      <c r="K263" t="s">
        <v>3715</v>
      </c>
      <c r="L263" t="s">
        <v>1896</v>
      </c>
      <c r="M263" t="s">
        <v>3751</v>
      </c>
      <c r="N263" t="s">
        <v>1898</v>
      </c>
      <c r="R263" t="s">
        <v>119</v>
      </c>
      <c r="S263" t="s">
        <v>1424</v>
      </c>
      <c r="T263" t="s">
        <v>117</v>
      </c>
      <c r="V263" t="s">
        <v>2197</v>
      </c>
      <c r="W263" t="s">
        <v>2206</v>
      </c>
      <c r="X263" t="s">
        <v>3759</v>
      </c>
      <c r="Y263" t="s">
        <v>2136</v>
      </c>
      <c r="Z263" t="s">
        <v>3760</v>
      </c>
      <c r="AA263" t="s">
        <v>3761</v>
      </c>
      <c r="AB263">
        <v>2</v>
      </c>
      <c r="AC263">
        <v>4</v>
      </c>
      <c r="AD263" t="s">
        <v>2221</v>
      </c>
      <c r="AG263" t="s">
        <v>2848</v>
      </c>
      <c r="AH263" t="s">
        <v>1903</v>
      </c>
      <c r="AI263">
        <v>288400</v>
      </c>
      <c r="AJ263">
        <v>0</v>
      </c>
      <c r="AL263">
        <v>0</v>
      </c>
      <c r="AS263" t="b">
        <v>0</v>
      </c>
      <c r="AU263">
        <v>0</v>
      </c>
      <c r="AV263" t="s">
        <v>1424</v>
      </c>
      <c r="AX263" t="s">
        <v>1427</v>
      </c>
      <c r="AY263" t="b">
        <v>1</v>
      </c>
      <c r="AZ263" t="b">
        <v>1</v>
      </c>
      <c r="BA263" t="s">
        <v>3762</v>
      </c>
      <c r="BF263" t="s">
        <v>1906</v>
      </c>
      <c r="BG263" t="s">
        <v>1907</v>
      </c>
      <c r="BI263" t="s">
        <v>1424</v>
      </c>
      <c r="BM263" t="s">
        <v>3763</v>
      </c>
      <c r="BN263" t="s">
        <v>1425</v>
      </c>
      <c r="BO263" t="s">
        <v>1425</v>
      </c>
      <c r="BQ263" t="s">
        <v>3760</v>
      </c>
      <c r="BR263">
        <v>2</v>
      </c>
      <c r="BS263">
        <v>4</v>
      </c>
      <c r="BU263" t="s">
        <v>1908</v>
      </c>
      <c r="BW263" t="s">
        <v>1934</v>
      </c>
      <c r="BX263" t="s">
        <v>3238</v>
      </c>
      <c r="BY263" t="s">
        <v>1911</v>
      </c>
      <c r="CB263" t="s">
        <v>3764</v>
      </c>
      <c r="CC263" t="s">
        <v>1913</v>
      </c>
      <c r="CD263" t="s">
        <v>1914</v>
      </c>
      <c r="CE263">
        <v>74.8</v>
      </c>
      <c r="CF263">
        <v>63.2</v>
      </c>
      <c r="CG263">
        <v>77.8</v>
      </c>
      <c r="CH263">
        <v>1009</v>
      </c>
      <c r="CI263">
        <v>67</v>
      </c>
      <c r="CJ263">
        <v>58.3</v>
      </c>
      <c r="CK263">
        <v>82.8</v>
      </c>
      <c r="CL263">
        <v>77.8</v>
      </c>
      <c r="CM263">
        <v>74.8</v>
      </c>
      <c r="CN263">
        <v>31680</v>
      </c>
      <c r="CO263">
        <v>10.1</v>
      </c>
      <c r="CP263">
        <v>290</v>
      </c>
      <c r="CQ263">
        <v>82</v>
      </c>
      <c r="CR263">
        <v>0</v>
      </c>
      <c r="CS263">
        <v>0</v>
      </c>
      <c r="CT263" t="s">
        <v>1915</v>
      </c>
      <c r="CU263">
        <v>129</v>
      </c>
      <c r="CV263">
        <v>88</v>
      </c>
      <c r="CW263">
        <v>0.8</v>
      </c>
      <c r="CX263">
        <v>0.4</v>
      </c>
      <c r="CY263">
        <v>21.1</v>
      </c>
      <c r="CZ263">
        <v>21.8</v>
      </c>
      <c r="DA263">
        <v>2</v>
      </c>
      <c r="DB263">
        <v>2</v>
      </c>
      <c r="DC263">
        <v>0</v>
      </c>
      <c r="DD263">
        <v>0</v>
      </c>
      <c r="DE263">
        <v>0</v>
      </c>
      <c r="DF263">
        <v>0</v>
      </c>
      <c r="DG263">
        <v>172.43</v>
      </c>
      <c r="DH263">
        <v>82.36</v>
      </c>
      <c r="DI263">
        <v>0</v>
      </c>
      <c r="DJ263" t="s">
        <v>3757</v>
      </c>
      <c r="DK263" t="s">
        <v>3758</v>
      </c>
      <c r="DL263" t="s">
        <v>2607</v>
      </c>
      <c r="DM263">
        <v>11.19</v>
      </c>
      <c r="DN263">
        <v>547.1</v>
      </c>
      <c r="EL263">
        <v>0</v>
      </c>
      <c r="EM263" t="s">
        <v>1426</v>
      </c>
    </row>
    <row r="264" spans="1:143" x14ac:dyDescent="0.35">
      <c r="A264" t="s">
        <v>60</v>
      </c>
      <c r="B264" t="s">
        <v>1428</v>
      </c>
      <c r="C264" t="s">
        <v>116</v>
      </c>
      <c r="D264" t="s">
        <v>146</v>
      </c>
      <c r="G264" t="s">
        <v>3715</v>
      </c>
      <c r="K264" t="s">
        <v>3765</v>
      </c>
      <c r="L264" t="s">
        <v>1896</v>
      </c>
      <c r="M264" t="s">
        <v>3766</v>
      </c>
      <c r="N264" t="s">
        <v>1898</v>
      </c>
      <c r="R264" t="s">
        <v>119</v>
      </c>
      <c r="S264" t="s">
        <v>1429</v>
      </c>
      <c r="T264" t="s">
        <v>117</v>
      </c>
      <c r="V264" t="s">
        <v>1922</v>
      </c>
      <c r="W264" t="s">
        <v>2134</v>
      </c>
      <c r="X264" t="s">
        <v>3767</v>
      </c>
      <c r="Y264" t="s">
        <v>2136</v>
      </c>
      <c r="Z264" t="s">
        <v>3768</v>
      </c>
      <c r="AA264" t="s">
        <v>3769</v>
      </c>
      <c r="AB264">
        <v>5</v>
      </c>
      <c r="AC264">
        <v>8</v>
      </c>
      <c r="AD264" t="s">
        <v>3770</v>
      </c>
      <c r="AE264">
        <v>1960</v>
      </c>
      <c r="AG264" t="s">
        <v>2385</v>
      </c>
      <c r="AH264" t="s">
        <v>1903</v>
      </c>
      <c r="AI264">
        <v>99100</v>
      </c>
      <c r="AJ264">
        <v>0</v>
      </c>
      <c r="AL264">
        <v>0</v>
      </c>
      <c r="AS264" t="b">
        <v>0</v>
      </c>
      <c r="AV264" t="s">
        <v>1429</v>
      </c>
      <c r="AX264" t="s">
        <v>1432</v>
      </c>
      <c r="AY264" t="b">
        <v>1</v>
      </c>
      <c r="AZ264" t="b">
        <v>1</v>
      </c>
      <c r="BA264" t="s">
        <v>3771</v>
      </c>
      <c r="BF264" t="s">
        <v>1906</v>
      </c>
      <c r="BG264" t="s">
        <v>1907</v>
      </c>
      <c r="BI264" t="s">
        <v>1429</v>
      </c>
      <c r="BM264" t="s">
        <v>3772</v>
      </c>
      <c r="BN264" t="s">
        <v>1430</v>
      </c>
      <c r="BO264" t="s">
        <v>1430</v>
      </c>
      <c r="BQ264" t="s">
        <v>3768</v>
      </c>
      <c r="BR264">
        <v>5</v>
      </c>
      <c r="BS264">
        <v>8</v>
      </c>
      <c r="BU264" t="s">
        <v>1908</v>
      </c>
      <c r="BV264">
        <v>1</v>
      </c>
      <c r="BW264" t="s">
        <v>2404</v>
      </c>
      <c r="BX264" t="s">
        <v>1949</v>
      </c>
      <c r="BY264" t="s">
        <v>1970</v>
      </c>
      <c r="CA264" t="s">
        <v>1936</v>
      </c>
      <c r="DJ264" t="s">
        <v>3773</v>
      </c>
      <c r="DM264">
        <v>40.950000000000003</v>
      </c>
      <c r="DN264">
        <v>154.19999999999999</v>
      </c>
      <c r="EL264">
        <v>0</v>
      </c>
      <c r="EM264" t="s">
        <v>1431</v>
      </c>
    </row>
    <row r="265" spans="1:143" x14ac:dyDescent="0.35">
      <c r="A265" t="s">
        <v>60</v>
      </c>
      <c r="B265" t="s">
        <v>1433</v>
      </c>
      <c r="C265" t="s">
        <v>116</v>
      </c>
      <c r="D265" t="s">
        <v>146</v>
      </c>
      <c r="G265" t="s">
        <v>3715</v>
      </c>
      <c r="K265" t="s">
        <v>3765</v>
      </c>
      <c r="L265" t="s">
        <v>1896</v>
      </c>
      <c r="M265" t="s">
        <v>3766</v>
      </c>
      <c r="N265" t="s">
        <v>1898</v>
      </c>
      <c r="R265" t="s">
        <v>119</v>
      </c>
      <c r="S265" t="s">
        <v>1434</v>
      </c>
      <c r="T265" t="s">
        <v>117</v>
      </c>
      <c r="Z265" t="s">
        <v>3774</v>
      </c>
      <c r="AA265" t="s">
        <v>3775</v>
      </c>
      <c r="AB265">
        <v>3</v>
      </c>
      <c r="AC265">
        <v>3</v>
      </c>
      <c r="AD265" t="s">
        <v>2221</v>
      </c>
      <c r="AJ265">
        <v>0</v>
      </c>
      <c r="AL265">
        <v>0</v>
      </c>
      <c r="AV265" t="s">
        <v>1434</v>
      </c>
      <c r="AX265" t="s">
        <v>1437</v>
      </c>
      <c r="BF265" t="s">
        <v>1906</v>
      </c>
      <c r="BG265" t="s">
        <v>1989</v>
      </c>
      <c r="BI265" t="s">
        <v>1434</v>
      </c>
      <c r="BK265" t="b">
        <v>0</v>
      </c>
      <c r="BM265" t="s">
        <v>3776</v>
      </c>
      <c r="BN265" t="s">
        <v>1435</v>
      </c>
      <c r="BO265" t="s">
        <v>1435</v>
      </c>
      <c r="BQ265" t="s">
        <v>3774</v>
      </c>
      <c r="BR265">
        <v>3</v>
      </c>
      <c r="BS265">
        <v>3</v>
      </c>
      <c r="BU265" t="s">
        <v>1908</v>
      </c>
      <c r="BV265">
        <v>0</v>
      </c>
      <c r="BW265" t="s">
        <v>2404</v>
      </c>
      <c r="BX265" t="s">
        <v>1949</v>
      </c>
      <c r="BY265" t="s">
        <v>1911</v>
      </c>
      <c r="CA265" t="s">
        <v>1950</v>
      </c>
      <c r="CB265" t="s">
        <v>3225</v>
      </c>
      <c r="CC265" t="s">
        <v>1996</v>
      </c>
      <c r="CD265" t="s">
        <v>1997</v>
      </c>
      <c r="CE265">
        <v>52.3</v>
      </c>
      <c r="CF265">
        <v>28.9</v>
      </c>
      <c r="CG265">
        <v>48</v>
      </c>
      <c r="CH265">
        <v>1025</v>
      </c>
      <c r="CI265">
        <v>40</v>
      </c>
      <c r="CJ265">
        <v>40.5</v>
      </c>
      <c r="CK265">
        <v>52.3</v>
      </c>
      <c r="CL265">
        <v>52.3</v>
      </c>
      <c r="CM265">
        <v>48</v>
      </c>
      <c r="CN265">
        <v>31680</v>
      </c>
      <c r="CO265">
        <v>13.2</v>
      </c>
      <c r="CP265">
        <v>320</v>
      </c>
      <c r="CQ265">
        <v>0</v>
      </c>
      <c r="CR265">
        <v>0</v>
      </c>
      <c r="CS265">
        <v>0</v>
      </c>
      <c r="CT265" t="s">
        <v>1915</v>
      </c>
      <c r="CU265">
        <v>157.8500061035156</v>
      </c>
      <c r="CV265">
        <v>107</v>
      </c>
      <c r="CW265">
        <v>1.25</v>
      </c>
      <c r="CX265">
        <v>1.549999952316284</v>
      </c>
      <c r="CY265">
        <v>3.1500000953674321</v>
      </c>
      <c r="CZ265">
        <v>3.4500000476837158</v>
      </c>
      <c r="DA265">
        <v>1</v>
      </c>
      <c r="DB265">
        <v>1</v>
      </c>
      <c r="DC265">
        <v>0</v>
      </c>
      <c r="DD265">
        <v>0.19</v>
      </c>
      <c r="DE265">
        <v>110.26</v>
      </c>
      <c r="DF265">
        <v>135.12</v>
      </c>
      <c r="DG265">
        <v>0</v>
      </c>
      <c r="DH265">
        <v>0</v>
      </c>
      <c r="DI265">
        <v>0</v>
      </c>
      <c r="DJ265" t="s">
        <v>3773</v>
      </c>
      <c r="DM265">
        <v>40.950000000000003</v>
      </c>
      <c r="DN265">
        <v>154.19999999999999</v>
      </c>
      <c r="EL265">
        <v>0</v>
      </c>
      <c r="EM265" t="s">
        <v>1436</v>
      </c>
    </row>
    <row r="266" spans="1:143" x14ac:dyDescent="0.35">
      <c r="A266" t="s">
        <v>60</v>
      </c>
      <c r="B266" t="s">
        <v>1438</v>
      </c>
      <c r="C266" t="s">
        <v>116</v>
      </c>
      <c r="D266" t="s">
        <v>146</v>
      </c>
      <c r="G266" t="s">
        <v>3738</v>
      </c>
      <c r="K266" t="s">
        <v>3675</v>
      </c>
      <c r="L266" t="s">
        <v>1896</v>
      </c>
      <c r="M266" t="s">
        <v>3676</v>
      </c>
      <c r="N266" t="s">
        <v>1898</v>
      </c>
      <c r="R266" t="s">
        <v>119</v>
      </c>
      <c r="S266" t="s">
        <v>1439</v>
      </c>
      <c r="T266" t="s">
        <v>117</v>
      </c>
      <c r="V266" t="s">
        <v>1922</v>
      </c>
      <c r="W266" t="s">
        <v>1923</v>
      </c>
      <c r="X266" t="s">
        <v>56</v>
      </c>
      <c r="Z266" t="s">
        <v>3777</v>
      </c>
      <c r="AA266" t="s">
        <v>3778</v>
      </c>
      <c r="AB266">
        <v>1</v>
      </c>
      <c r="AC266">
        <v>3</v>
      </c>
      <c r="AD266" t="s">
        <v>1966</v>
      </c>
      <c r="AJ266">
        <v>0</v>
      </c>
      <c r="AL266">
        <v>0</v>
      </c>
      <c r="AV266" t="s">
        <v>1439</v>
      </c>
      <c r="AX266" t="s">
        <v>1442</v>
      </c>
      <c r="BA266" t="s">
        <v>1977</v>
      </c>
      <c r="BF266" t="s">
        <v>1906</v>
      </c>
      <c r="BG266" t="s">
        <v>2090</v>
      </c>
      <c r="BI266" t="s">
        <v>1439</v>
      </c>
      <c r="BM266" t="s">
        <v>3779</v>
      </c>
      <c r="BN266" t="s">
        <v>1440</v>
      </c>
      <c r="BO266" t="s">
        <v>1440</v>
      </c>
      <c r="BQ266" t="s">
        <v>3777</v>
      </c>
      <c r="BR266">
        <v>1</v>
      </c>
      <c r="BS266">
        <v>3</v>
      </c>
      <c r="BU266" t="s">
        <v>1908</v>
      </c>
      <c r="BV266">
        <v>1</v>
      </c>
      <c r="BW266" t="s">
        <v>1948</v>
      </c>
      <c r="BX266" t="s">
        <v>1949</v>
      </c>
      <c r="BY266" t="s">
        <v>1970</v>
      </c>
      <c r="CB266" t="s">
        <v>3742</v>
      </c>
      <c r="CC266" t="s">
        <v>1996</v>
      </c>
      <c r="CD266" t="s">
        <v>1997</v>
      </c>
      <c r="CE266">
        <v>53.6</v>
      </c>
      <c r="CF266">
        <v>26.4</v>
      </c>
      <c r="CG266">
        <v>50</v>
      </c>
      <c r="CH266">
        <v>1030</v>
      </c>
      <c r="CI266">
        <v>31</v>
      </c>
      <c r="CJ266">
        <v>30.4</v>
      </c>
      <c r="CK266">
        <v>57</v>
      </c>
      <c r="CL266">
        <v>53.6</v>
      </c>
      <c r="CM266">
        <v>50</v>
      </c>
      <c r="CN266">
        <v>31680</v>
      </c>
      <c r="CO266">
        <v>10.1</v>
      </c>
      <c r="CP266">
        <v>200</v>
      </c>
      <c r="CQ266">
        <v>0</v>
      </c>
      <c r="CR266">
        <v>0</v>
      </c>
      <c r="CS266">
        <v>0</v>
      </c>
      <c r="CT266" t="s">
        <v>1915</v>
      </c>
      <c r="DJ266" t="s">
        <v>3743</v>
      </c>
      <c r="DM266">
        <v>28.75</v>
      </c>
      <c r="DN266">
        <v>166.6</v>
      </c>
      <c r="EL266">
        <v>0</v>
      </c>
      <c r="EM266" t="s">
        <v>1441</v>
      </c>
    </row>
    <row r="267" spans="1:143" x14ac:dyDescent="0.35">
      <c r="A267" t="s">
        <v>60</v>
      </c>
      <c r="B267" t="s">
        <v>1443</v>
      </c>
      <c r="C267" t="s">
        <v>116</v>
      </c>
      <c r="D267" t="s">
        <v>146</v>
      </c>
      <c r="F267" t="s">
        <v>2125</v>
      </c>
      <c r="G267" t="s">
        <v>3662</v>
      </c>
      <c r="K267" t="s">
        <v>3765</v>
      </c>
      <c r="L267" t="s">
        <v>1896</v>
      </c>
      <c r="M267" t="s">
        <v>3766</v>
      </c>
      <c r="N267" t="s">
        <v>1898</v>
      </c>
      <c r="R267" t="s">
        <v>119</v>
      </c>
      <c r="S267" t="s">
        <v>1444</v>
      </c>
      <c r="T267" t="s">
        <v>117</v>
      </c>
      <c r="U267" t="s">
        <v>1447</v>
      </c>
      <c r="Y267" t="s">
        <v>2136</v>
      </c>
      <c r="Z267" t="s">
        <v>3780</v>
      </c>
      <c r="AA267" t="s">
        <v>3781</v>
      </c>
      <c r="AB267">
        <v>5</v>
      </c>
      <c r="AC267">
        <v>7</v>
      </c>
      <c r="AD267" t="s">
        <v>3782</v>
      </c>
      <c r="AJ267">
        <v>0</v>
      </c>
      <c r="AL267">
        <v>0</v>
      </c>
      <c r="AO267" t="s">
        <v>3783</v>
      </c>
      <c r="AP267" t="s">
        <v>3784</v>
      </c>
      <c r="AR267" t="s">
        <v>3785</v>
      </c>
      <c r="AV267" t="s">
        <v>1444</v>
      </c>
      <c r="AX267" t="s">
        <v>1448</v>
      </c>
      <c r="BA267" t="s">
        <v>1977</v>
      </c>
      <c r="BF267" t="s">
        <v>1906</v>
      </c>
      <c r="BG267" t="s">
        <v>3786</v>
      </c>
      <c r="BI267" t="s">
        <v>1444</v>
      </c>
      <c r="BM267" t="s">
        <v>1445</v>
      </c>
      <c r="BN267" t="s">
        <v>1445</v>
      </c>
      <c r="BO267" t="s">
        <v>1445</v>
      </c>
      <c r="BQ267" t="s">
        <v>3780</v>
      </c>
      <c r="BR267">
        <v>5</v>
      </c>
      <c r="BS267">
        <v>7</v>
      </c>
      <c r="BU267" t="s">
        <v>1908</v>
      </c>
      <c r="BV267">
        <v>0</v>
      </c>
      <c r="BW267" t="s">
        <v>2093</v>
      </c>
      <c r="BX267" t="s">
        <v>1910</v>
      </c>
      <c r="BY267" t="s">
        <v>1911</v>
      </c>
      <c r="CB267" t="s">
        <v>3787</v>
      </c>
      <c r="CC267" t="s">
        <v>1996</v>
      </c>
      <c r="CD267" t="s">
        <v>1997</v>
      </c>
      <c r="CE267">
        <v>56.5</v>
      </c>
      <c r="CF267">
        <v>22.8</v>
      </c>
      <c r="CG267">
        <v>53.6</v>
      </c>
      <c r="CH267">
        <v>1031</v>
      </c>
      <c r="CI267">
        <v>25</v>
      </c>
      <c r="CJ267">
        <v>30.4</v>
      </c>
      <c r="CK267">
        <v>57</v>
      </c>
      <c r="CL267">
        <v>56.5</v>
      </c>
      <c r="CM267">
        <v>53.6</v>
      </c>
      <c r="CN267">
        <v>31680</v>
      </c>
      <c r="CO267">
        <v>10.5</v>
      </c>
      <c r="CP267">
        <v>195</v>
      </c>
      <c r="CQ267">
        <v>0</v>
      </c>
      <c r="CR267">
        <v>0</v>
      </c>
      <c r="CS267">
        <v>0</v>
      </c>
      <c r="CT267" t="s">
        <v>1915</v>
      </c>
      <c r="DJ267" t="s">
        <v>3773</v>
      </c>
      <c r="DM267">
        <v>40.950000000000003</v>
      </c>
      <c r="DN267">
        <v>154.19999999999999</v>
      </c>
      <c r="EL267">
        <v>0</v>
      </c>
      <c r="EM267" t="s">
        <v>1446</v>
      </c>
    </row>
    <row r="268" spans="1:143" x14ac:dyDescent="0.35">
      <c r="A268" t="s">
        <v>60</v>
      </c>
      <c r="B268" t="s">
        <v>1449</v>
      </c>
      <c r="C268" t="s">
        <v>116</v>
      </c>
      <c r="D268" t="s">
        <v>120</v>
      </c>
      <c r="G268" t="s">
        <v>3788</v>
      </c>
      <c r="H268" t="s">
        <v>1920</v>
      </c>
      <c r="L268" t="s">
        <v>1896</v>
      </c>
      <c r="M268" t="s">
        <v>3766</v>
      </c>
      <c r="N268" t="s">
        <v>1898</v>
      </c>
      <c r="R268" t="s">
        <v>119</v>
      </c>
      <c r="S268" t="s">
        <v>1450</v>
      </c>
      <c r="T268" t="s">
        <v>117</v>
      </c>
      <c r="V268" t="s">
        <v>1922</v>
      </c>
      <c r="W268" t="s">
        <v>2134</v>
      </c>
      <c r="X268" t="s">
        <v>56</v>
      </c>
      <c r="Y268" t="s">
        <v>2136</v>
      </c>
      <c r="Z268" t="s">
        <v>3789</v>
      </c>
      <c r="AA268" t="s">
        <v>3790</v>
      </c>
      <c r="AB268">
        <v>3</v>
      </c>
      <c r="AC268">
        <v>4</v>
      </c>
      <c r="AD268" t="s">
        <v>1966</v>
      </c>
      <c r="AE268">
        <v>1939</v>
      </c>
      <c r="AG268" t="s">
        <v>1928</v>
      </c>
      <c r="AH268" t="s">
        <v>1929</v>
      </c>
      <c r="AI268">
        <v>59400</v>
      </c>
      <c r="AJ268">
        <v>0</v>
      </c>
      <c r="AL268">
        <v>0</v>
      </c>
      <c r="AS268" t="b">
        <v>1</v>
      </c>
      <c r="AU268">
        <v>0</v>
      </c>
      <c r="AV268" t="s">
        <v>1450</v>
      </c>
      <c r="AW268" t="s">
        <v>3791</v>
      </c>
      <c r="AX268" t="s">
        <v>1453</v>
      </c>
      <c r="AY268" t="b">
        <v>1</v>
      </c>
      <c r="AZ268" t="b">
        <v>1</v>
      </c>
      <c r="BA268" t="s">
        <v>1977</v>
      </c>
      <c r="BC268" t="s">
        <v>3792</v>
      </c>
      <c r="BD268" t="s">
        <v>3793</v>
      </c>
      <c r="BF268" t="s">
        <v>1906</v>
      </c>
      <c r="BG268" t="s">
        <v>3794</v>
      </c>
      <c r="BI268" t="s">
        <v>1450</v>
      </c>
      <c r="BM268" t="s">
        <v>3795</v>
      </c>
      <c r="BN268" t="s">
        <v>1451</v>
      </c>
      <c r="BO268" t="s">
        <v>1451</v>
      </c>
      <c r="BQ268" t="s">
        <v>3789</v>
      </c>
      <c r="BR268">
        <v>3</v>
      </c>
      <c r="BS268">
        <v>4</v>
      </c>
      <c r="BU268" t="s">
        <v>1908</v>
      </c>
      <c r="BV268">
        <v>0.5</v>
      </c>
      <c r="BW268" t="s">
        <v>2093</v>
      </c>
      <c r="BX268" t="s">
        <v>1949</v>
      </c>
      <c r="BY268" t="s">
        <v>1970</v>
      </c>
      <c r="CA268" t="s">
        <v>1950</v>
      </c>
      <c r="CB268" t="s">
        <v>3796</v>
      </c>
      <c r="CC268" t="s">
        <v>1938</v>
      </c>
      <c r="CD268" t="s">
        <v>1939</v>
      </c>
      <c r="CE268">
        <v>52</v>
      </c>
      <c r="CF268">
        <v>38.1</v>
      </c>
      <c r="CG268">
        <v>48.2</v>
      </c>
      <c r="CH268">
        <v>1019</v>
      </c>
      <c r="CI268">
        <v>58</v>
      </c>
      <c r="CJ268">
        <v>35.200000000000003</v>
      </c>
      <c r="CK268">
        <v>58.8</v>
      </c>
      <c r="CL268">
        <v>52</v>
      </c>
      <c r="CM268">
        <v>48.2</v>
      </c>
      <c r="CN268">
        <v>31680</v>
      </c>
      <c r="CO268">
        <v>13.9</v>
      </c>
      <c r="CP268">
        <v>234</v>
      </c>
      <c r="CQ268">
        <v>58</v>
      </c>
      <c r="CR268">
        <v>0</v>
      </c>
      <c r="CS268">
        <v>0</v>
      </c>
      <c r="CT268" t="s">
        <v>1915</v>
      </c>
      <c r="DJ268" t="s">
        <v>3773</v>
      </c>
      <c r="DM268">
        <v>40.950000000000003</v>
      </c>
      <c r="DN268">
        <v>154.19999999999999</v>
      </c>
      <c r="EL268">
        <v>0</v>
      </c>
      <c r="EM268" t="s">
        <v>1452</v>
      </c>
    </row>
    <row r="269" spans="1:143" x14ac:dyDescent="0.35">
      <c r="A269" t="s">
        <v>62</v>
      </c>
      <c r="B269" t="s">
        <v>1454</v>
      </c>
      <c r="C269" t="s">
        <v>116</v>
      </c>
      <c r="D269" t="s">
        <v>146</v>
      </c>
      <c r="G269" t="s">
        <v>3797</v>
      </c>
      <c r="K269" t="s">
        <v>3798</v>
      </c>
      <c r="L269" t="s">
        <v>1896</v>
      </c>
      <c r="M269" t="s">
        <v>3799</v>
      </c>
      <c r="N269" t="s">
        <v>1898</v>
      </c>
      <c r="R269" t="s">
        <v>119</v>
      </c>
      <c r="S269" t="s">
        <v>1455</v>
      </c>
      <c r="T269" t="s">
        <v>117</v>
      </c>
      <c r="Z269" t="s">
        <v>3800</v>
      </c>
      <c r="AA269" t="s">
        <v>3801</v>
      </c>
      <c r="AB269">
        <v>1</v>
      </c>
      <c r="AC269">
        <v>2</v>
      </c>
      <c r="AD269" t="s">
        <v>1966</v>
      </c>
      <c r="AJ269">
        <v>0</v>
      </c>
      <c r="AL269">
        <v>0</v>
      </c>
      <c r="AV269" t="s">
        <v>1455</v>
      </c>
      <c r="AX269" t="s">
        <v>1458</v>
      </c>
      <c r="BI269" t="s">
        <v>1455</v>
      </c>
      <c r="BM269" t="s">
        <v>3802</v>
      </c>
      <c r="BN269" t="s">
        <v>1456</v>
      </c>
      <c r="BO269" t="s">
        <v>1456</v>
      </c>
      <c r="BQ269" t="s">
        <v>3800</v>
      </c>
      <c r="BR269">
        <v>1</v>
      </c>
      <c r="BS269">
        <v>2</v>
      </c>
      <c r="BT269" t="s">
        <v>3803</v>
      </c>
      <c r="BU269" t="s">
        <v>1908</v>
      </c>
      <c r="BV269">
        <v>0</v>
      </c>
      <c r="BW269" t="s">
        <v>2032</v>
      </c>
      <c r="BX269" t="s">
        <v>1910</v>
      </c>
      <c r="BY269" t="s">
        <v>1970</v>
      </c>
      <c r="CB269" t="s">
        <v>3804</v>
      </c>
      <c r="CC269" t="s">
        <v>1913</v>
      </c>
      <c r="CD269" t="s">
        <v>1914</v>
      </c>
      <c r="CE269">
        <v>68.8</v>
      </c>
      <c r="CF269">
        <v>62.9</v>
      </c>
      <c r="CG269">
        <v>68.8</v>
      </c>
      <c r="CH269">
        <v>1011</v>
      </c>
      <c r="CI269">
        <v>81</v>
      </c>
      <c r="CJ269">
        <v>61.7</v>
      </c>
      <c r="CK269">
        <v>70.5</v>
      </c>
      <c r="CL269">
        <v>68.8</v>
      </c>
      <c r="CM269">
        <v>68.8</v>
      </c>
      <c r="CN269">
        <v>5280</v>
      </c>
      <c r="CO269">
        <v>1.3</v>
      </c>
      <c r="CP269">
        <v>355</v>
      </c>
      <c r="CQ269">
        <v>53</v>
      </c>
      <c r="CR269">
        <v>0</v>
      </c>
      <c r="CS269">
        <v>0</v>
      </c>
      <c r="CT269" t="s">
        <v>1915</v>
      </c>
      <c r="CU269">
        <v>131</v>
      </c>
      <c r="CV269">
        <v>72</v>
      </c>
      <c r="CW269">
        <v>3.1</v>
      </c>
      <c r="CX269">
        <v>0.4</v>
      </c>
      <c r="CY269">
        <v>2.4</v>
      </c>
      <c r="CZ269">
        <v>2.4</v>
      </c>
      <c r="DA269">
        <v>1</v>
      </c>
      <c r="DB269">
        <v>1</v>
      </c>
      <c r="DC269">
        <v>0</v>
      </c>
      <c r="DD269">
        <v>0</v>
      </c>
      <c r="DE269">
        <v>0</v>
      </c>
      <c r="DF269">
        <v>0</v>
      </c>
      <c r="DG269">
        <v>25.93</v>
      </c>
      <c r="DH269">
        <v>8.76</v>
      </c>
      <c r="DI269">
        <v>0</v>
      </c>
      <c r="DJ269" t="s">
        <v>3805</v>
      </c>
      <c r="DM269">
        <v>15.8</v>
      </c>
      <c r="DN269">
        <v>315.3</v>
      </c>
      <c r="EL269">
        <v>0</v>
      </c>
      <c r="EM269" t="s">
        <v>1457</v>
      </c>
    </row>
    <row r="270" spans="1:143" x14ac:dyDescent="0.35">
      <c r="A270" t="s">
        <v>62</v>
      </c>
      <c r="B270" t="s">
        <v>1459</v>
      </c>
      <c r="C270" t="s">
        <v>116</v>
      </c>
      <c r="D270" t="s">
        <v>146</v>
      </c>
      <c r="G270" t="s">
        <v>3806</v>
      </c>
      <c r="K270" t="s">
        <v>3807</v>
      </c>
      <c r="L270" t="s">
        <v>1896</v>
      </c>
      <c r="M270" t="s">
        <v>3808</v>
      </c>
      <c r="N270" t="s">
        <v>1898</v>
      </c>
      <c r="R270" t="s">
        <v>119</v>
      </c>
      <c r="S270" t="s">
        <v>1460</v>
      </c>
      <c r="T270" t="s">
        <v>117</v>
      </c>
      <c r="Z270" t="s">
        <v>3800</v>
      </c>
      <c r="AA270" t="s">
        <v>3801</v>
      </c>
      <c r="AB270">
        <v>1</v>
      </c>
      <c r="AC270">
        <v>2</v>
      </c>
      <c r="AD270" t="s">
        <v>1966</v>
      </c>
      <c r="AE270">
        <v>1999</v>
      </c>
      <c r="AG270" t="s">
        <v>2426</v>
      </c>
      <c r="AH270" t="s">
        <v>1903</v>
      </c>
      <c r="AI270">
        <v>765500</v>
      </c>
      <c r="AJ270">
        <v>0</v>
      </c>
      <c r="AL270">
        <v>0</v>
      </c>
      <c r="AS270" t="b">
        <v>0</v>
      </c>
      <c r="AV270" t="s">
        <v>1460</v>
      </c>
      <c r="AX270" t="s">
        <v>1463</v>
      </c>
      <c r="AY270" t="b">
        <v>1</v>
      </c>
      <c r="AZ270" t="b">
        <v>1</v>
      </c>
      <c r="BA270" t="s">
        <v>1904</v>
      </c>
      <c r="BF270" t="s">
        <v>1906</v>
      </c>
      <c r="BG270" t="s">
        <v>3809</v>
      </c>
      <c r="BI270" t="s">
        <v>1460</v>
      </c>
      <c r="BK270" t="b">
        <v>0</v>
      </c>
      <c r="BM270" t="s">
        <v>3810</v>
      </c>
      <c r="BN270" t="s">
        <v>1461</v>
      </c>
      <c r="BO270" t="s">
        <v>1461</v>
      </c>
      <c r="BQ270" t="s">
        <v>3800</v>
      </c>
      <c r="BR270">
        <v>1</v>
      </c>
      <c r="BS270">
        <v>2</v>
      </c>
      <c r="BT270" t="s">
        <v>3811</v>
      </c>
      <c r="BU270" t="s">
        <v>1908</v>
      </c>
      <c r="BW270" t="s">
        <v>1934</v>
      </c>
      <c r="BX270" t="s">
        <v>1949</v>
      </c>
      <c r="BY270" t="s">
        <v>1911</v>
      </c>
      <c r="CA270" t="s">
        <v>1950</v>
      </c>
      <c r="CB270" t="s">
        <v>3812</v>
      </c>
      <c r="CC270" t="s">
        <v>1996</v>
      </c>
      <c r="CD270" t="s">
        <v>1997</v>
      </c>
      <c r="CE270">
        <v>70.2</v>
      </c>
      <c r="CF270">
        <v>52.5</v>
      </c>
      <c r="CG270">
        <v>70.2</v>
      </c>
      <c r="CH270">
        <v>1010</v>
      </c>
      <c r="CI270">
        <v>55</v>
      </c>
      <c r="CJ270">
        <v>63</v>
      </c>
      <c r="CK270">
        <v>85.1</v>
      </c>
      <c r="CL270">
        <v>71.8</v>
      </c>
      <c r="CM270">
        <v>70.2</v>
      </c>
      <c r="CN270">
        <v>31680</v>
      </c>
      <c r="CO270">
        <v>8.6999999999999993</v>
      </c>
      <c r="CP270">
        <v>312</v>
      </c>
      <c r="CQ270">
        <v>0</v>
      </c>
      <c r="CR270">
        <v>0</v>
      </c>
      <c r="CS270">
        <v>0</v>
      </c>
      <c r="CT270" t="s">
        <v>1915</v>
      </c>
      <c r="CU270">
        <v>121</v>
      </c>
      <c r="CV270">
        <v>78</v>
      </c>
      <c r="CW270">
        <v>1.7</v>
      </c>
      <c r="CX270">
        <v>0.3</v>
      </c>
      <c r="CY270">
        <v>1.1000000000000001</v>
      </c>
      <c r="CZ270">
        <v>1.2</v>
      </c>
      <c r="DA270">
        <v>1</v>
      </c>
      <c r="DB270">
        <v>1</v>
      </c>
      <c r="DC270">
        <v>0</v>
      </c>
      <c r="DD270">
        <v>0</v>
      </c>
      <c r="DE270">
        <v>0</v>
      </c>
      <c r="DF270">
        <v>0</v>
      </c>
      <c r="DG270">
        <v>48.04</v>
      </c>
      <c r="DH270">
        <v>10.51</v>
      </c>
      <c r="DI270">
        <v>0</v>
      </c>
      <c r="DJ270" t="s">
        <v>3813</v>
      </c>
      <c r="DM270">
        <v>7.48</v>
      </c>
      <c r="DN270">
        <v>427.9</v>
      </c>
      <c r="EL270">
        <v>0</v>
      </c>
      <c r="EM270" t="s">
        <v>1462</v>
      </c>
    </row>
    <row r="271" spans="1:143" x14ac:dyDescent="0.35">
      <c r="A271" t="s">
        <v>62</v>
      </c>
      <c r="B271" t="s">
        <v>1464</v>
      </c>
      <c r="C271" t="s">
        <v>116</v>
      </c>
      <c r="D271" t="s">
        <v>146</v>
      </c>
      <c r="G271" t="s">
        <v>3814</v>
      </c>
      <c r="I271" t="s">
        <v>2125</v>
      </c>
      <c r="K271" t="s">
        <v>3807</v>
      </c>
      <c r="L271" t="s">
        <v>1896</v>
      </c>
      <c r="M271" t="s">
        <v>3808</v>
      </c>
      <c r="N271" t="s">
        <v>1898</v>
      </c>
      <c r="R271" t="s">
        <v>119</v>
      </c>
      <c r="S271" t="s">
        <v>1465</v>
      </c>
      <c r="T271" t="s">
        <v>1468</v>
      </c>
      <c r="U271" t="s">
        <v>117</v>
      </c>
      <c r="V271" t="s">
        <v>2014</v>
      </c>
      <c r="W271" t="s">
        <v>2134</v>
      </c>
      <c r="X271" t="s">
        <v>3815</v>
      </c>
      <c r="Y271" t="s">
        <v>1985</v>
      </c>
      <c r="Z271" t="s">
        <v>3816</v>
      </c>
      <c r="AA271" t="s">
        <v>3817</v>
      </c>
      <c r="AB271">
        <v>4</v>
      </c>
      <c r="AC271">
        <v>7</v>
      </c>
      <c r="AD271" t="s">
        <v>2273</v>
      </c>
      <c r="AJ271">
        <v>0</v>
      </c>
      <c r="AL271">
        <v>0</v>
      </c>
      <c r="AS271" t="b">
        <v>1</v>
      </c>
      <c r="AV271" t="s">
        <v>1465</v>
      </c>
      <c r="AW271" t="s">
        <v>3818</v>
      </c>
      <c r="AX271" t="s">
        <v>1469</v>
      </c>
      <c r="AY271" t="b">
        <v>1</v>
      </c>
      <c r="AZ271" t="b">
        <v>1</v>
      </c>
      <c r="BA271" t="s">
        <v>2137</v>
      </c>
      <c r="BF271" t="s">
        <v>1906</v>
      </c>
      <c r="BG271" t="s">
        <v>2183</v>
      </c>
      <c r="BI271" t="s">
        <v>1465</v>
      </c>
      <c r="BK271" t="b">
        <v>0</v>
      </c>
      <c r="BM271" t="s">
        <v>1466</v>
      </c>
      <c r="BN271" t="s">
        <v>1466</v>
      </c>
      <c r="BO271" t="s">
        <v>1466</v>
      </c>
      <c r="BQ271" t="s">
        <v>3816</v>
      </c>
      <c r="BR271">
        <v>4</v>
      </c>
      <c r="BS271">
        <v>7</v>
      </c>
      <c r="BT271" t="s">
        <v>3819</v>
      </c>
      <c r="BU271" t="s">
        <v>1908</v>
      </c>
      <c r="BV271">
        <v>0.1</v>
      </c>
      <c r="BW271" t="s">
        <v>2295</v>
      </c>
      <c r="BX271" t="s">
        <v>2530</v>
      </c>
      <c r="BY271" t="s">
        <v>1911</v>
      </c>
      <c r="CA271" t="s">
        <v>2147</v>
      </c>
      <c r="CB271" t="s">
        <v>3820</v>
      </c>
      <c r="CC271" t="s">
        <v>1996</v>
      </c>
      <c r="CD271" t="s">
        <v>1997</v>
      </c>
      <c r="CE271">
        <v>76.099999999999994</v>
      </c>
      <c r="CF271">
        <v>49.5</v>
      </c>
      <c r="CG271">
        <v>77</v>
      </c>
      <c r="CH271">
        <v>1016</v>
      </c>
      <c r="CI271">
        <v>39</v>
      </c>
      <c r="CJ271">
        <v>52.2</v>
      </c>
      <c r="CK271">
        <v>76.599999999999994</v>
      </c>
      <c r="CL271">
        <v>77</v>
      </c>
      <c r="CM271">
        <v>76.099999999999994</v>
      </c>
      <c r="CN271">
        <v>31680</v>
      </c>
      <c r="CO271">
        <v>6</v>
      </c>
      <c r="CP271">
        <v>265</v>
      </c>
      <c r="CQ271">
        <v>6</v>
      </c>
      <c r="CR271">
        <v>0</v>
      </c>
      <c r="CS271">
        <v>0</v>
      </c>
      <c r="CT271" t="s">
        <v>1915</v>
      </c>
      <c r="CU271">
        <v>139.8500061035156</v>
      </c>
      <c r="CV271">
        <v>103</v>
      </c>
      <c r="CW271">
        <v>1.549999952316284</v>
      </c>
      <c r="CX271">
        <v>1.1499999761581421</v>
      </c>
      <c r="CY271">
        <v>4.3499999046325684</v>
      </c>
      <c r="CZ271">
        <v>4.8499999046325684</v>
      </c>
      <c r="DA271">
        <v>1</v>
      </c>
      <c r="DB271">
        <v>1</v>
      </c>
      <c r="DC271">
        <v>0</v>
      </c>
      <c r="DD271">
        <v>0</v>
      </c>
      <c r="DE271">
        <v>0</v>
      </c>
      <c r="DF271">
        <v>0</v>
      </c>
      <c r="DG271">
        <v>49.05</v>
      </c>
      <c r="DH271">
        <v>0</v>
      </c>
      <c r="DI271">
        <v>0</v>
      </c>
      <c r="DJ271" t="s">
        <v>3813</v>
      </c>
      <c r="DM271">
        <v>7.48</v>
      </c>
      <c r="DN271">
        <v>427.9</v>
      </c>
      <c r="EL271">
        <v>0</v>
      </c>
      <c r="EM271" t="s">
        <v>1467</v>
      </c>
    </row>
    <row r="272" spans="1:143" x14ac:dyDescent="0.35">
      <c r="A272" t="s">
        <v>62</v>
      </c>
      <c r="B272" t="s">
        <v>1470</v>
      </c>
      <c r="C272" t="s">
        <v>116</v>
      </c>
      <c r="D272" t="s">
        <v>146</v>
      </c>
      <c r="G272" t="s">
        <v>3806</v>
      </c>
      <c r="K272" t="s">
        <v>3807</v>
      </c>
      <c r="L272" t="s">
        <v>1896</v>
      </c>
      <c r="M272" t="s">
        <v>3808</v>
      </c>
      <c r="N272" t="s">
        <v>1898</v>
      </c>
      <c r="R272" t="s">
        <v>119</v>
      </c>
      <c r="S272" t="s">
        <v>1471</v>
      </c>
      <c r="T272" t="s">
        <v>117</v>
      </c>
      <c r="Z272" t="s">
        <v>3800</v>
      </c>
      <c r="AA272" t="s">
        <v>3801</v>
      </c>
      <c r="AB272">
        <v>1</v>
      </c>
      <c r="AC272">
        <v>2</v>
      </c>
      <c r="AD272" t="s">
        <v>1966</v>
      </c>
      <c r="AE272">
        <v>1999</v>
      </c>
      <c r="AG272" t="s">
        <v>2426</v>
      </c>
      <c r="AH272" t="s">
        <v>1903</v>
      </c>
      <c r="AI272">
        <v>2762100</v>
      </c>
      <c r="AJ272">
        <v>0</v>
      </c>
      <c r="AL272">
        <v>0</v>
      </c>
      <c r="AV272" t="s">
        <v>1471</v>
      </c>
      <c r="AX272" t="s">
        <v>1474</v>
      </c>
      <c r="BI272" t="s">
        <v>1471</v>
      </c>
      <c r="BM272" t="s">
        <v>3821</v>
      </c>
      <c r="BN272" t="s">
        <v>1472</v>
      </c>
      <c r="BO272" t="s">
        <v>1472</v>
      </c>
      <c r="BQ272" t="s">
        <v>3800</v>
      </c>
      <c r="BR272">
        <v>1</v>
      </c>
      <c r="BS272">
        <v>2</v>
      </c>
      <c r="BT272" t="s">
        <v>3822</v>
      </c>
      <c r="BU272" t="s">
        <v>1908</v>
      </c>
      <c r="BW272" t="s">
        <v>1909</v>
      </c>
      <c r="BX272" t="s">
        <v>1949</v>
      </c>
      <c r="BY272" t="s">
        <v>1911</v>
      </c>
      <c r="CB272" t="s">
        <v>3823</v>
      </c>
      <c r="CC272" t="s">
        <v>1996</v>
      </c>
      <c r="CD272" t="s">
        <v>1997</v>
      </c>
      <c r="CE272">
        <v>72.7</v>
      </c>
      <c r="CF272">
        <v>50.5</v>
      </c>
      <c r="CG272">
        <v>75.900000000000006</v>
      </c>
      <c r="CH272">
        <v>1009</v>
      </c>
      <c r="CI272">
        <v>45</v>
      </c>
      <c r="CJ272">
        <v>48.9</v>
      </c>
      <c r="CK272">
        <v>76.099999999999994</v>
      </c>
      <c r="CL272">
        <v>75.900000000000006</v>
      </c>
      <c r="CM272">
        <v>72.7</v>
      </c>
      <c r="CN272">
        <v>31680</v>
      </c>
      <c r="CO272">
        <v>15.2</v>
      </c>
      <c r="CP272">
        <v>221</v>
      </c>
      <c r="CQ272">
        <v>7</v>
      </c>
      <c r="CR272">
        <v>0</v>
      </c>
      <c r="CS272">
        <v>0</v>
      </c>
      <c r="CT272" t="s">
        <v>1915</v>
      </c>
      <c r="CU272">
        <v>161.8500061035156</v>
      </c>
      <c r="CV272">
        <v>126</v>
      </c>
      <c r="CW272">
        <v>3.8499999046325679</v>
      </c>
      <c r="CX272">
        <v>4.0500001907348633</v>
      </c>
      <c r="CY272">
        <v>9.8500003814697266</v>
      </c>
      <c r="CZ272">
        <v>11.14999961853027</v>
      </c>
      <c r="DA272">
        <v>1</v>
      </c>
      <c r="DB272">
        <v>1</v>
      </c>
      <c r="DC272">
        <v>0</v>
      </c>
      <c r="DD272">
        <v>0</v>
      </c>
      <c r="DE272">
        <v>262.16000000000003</v>
      </c>
      <c r="DF272">
        <v>297.42</v>
      </c>
      <c r="DG272">
        <v>0</v>
      </c>
      <c r="DH272">
        <v>0</v>
      </c>
      <c r="DI272">
        <v>0</v>
      </c>
      <c r="DJ272" t="s">
        <v>3813</v>
      </c>
      <c r="DM272">
        <v>7.48</v>
      </c>
      <c r="DN272">
        <v>427.9</v>
      </c>
      <c r="EL272">
        <v>0</v>
      </c>
      <c r="EM272" t="s">
        <v>1473</v>
      </c>
    </row>
    <row r="273" spans="1:143" x14ac:dyDescent="0.35">
      <c r="A273" t="s">
        <v>62</v>
      </c>
      <c r="B273" t="s">
        <v>1475</v>
      </c>
      <c r="C273" t="s">
        <v>116</v>
      </c>
      <c r="D273" t="s">
        <v>146</v>
      </c>
      <c r="G273" t="s">
        <v>1919</v>
      </c>
      <c r="K273" t="s">
        <v>1981</v>
      </c>
      <c r="L273" t="s">
        <v>1896</v>
      </c>
      <c r="M273" t="s">
        <v>1921</v>
      </c>
      <c r="N273" t="s">
        <v>1898</v>
      </c>
      <c r="R273" t="s">
        <v>119</v>
      </c>
      <c r="S273" t="s">
        <v>1476</v>
      </c>
      <c r="T273" t="s">
        <v>117</v>
      </c>
      <c r="V273" t="s">
        <v>2014</v>
      </c>
      <c r="W273" t="s">
        <v>1923</v>
      </c>
      <c r="X273" t="s">
        <v>13</v>
      </c>
      <c r="Z273" t="s">
        <v>3824</v>
      </c>
      <c r="AA273" t="s">
        <v>3825</v>
      </c>
      <c r="AB273">
        <v>1</v>
      </c>
      <c r="AC273">
        <v>3</v>
      </c>
      <c r="AD273" t="s">
        <v>1966</v>
      </c>
      <c r="AJ273">
        <v>0</v>
      </c>
      <c r="AL273">
        <v>0</v>
      </c>
      <c r="AV273" t="s">
        <v>1476</v>
      </c>
      <c r="AX273" t="s">
        <v>1479</v>
      </c>
      <c r="AY273" t="b">
        <v>1</v>
      </c>
      <c r="AZ273" t="b">
        <v>1</v>
      </c>
      <c r="BA273" t="s">
        <v>1931</v>
      </c>
      <c r="BF273" t="s">
        <v>1906</v>
      </c>
      <c r="BG273" t="s">
        <v>1907</v>
      </c>
      <c r="BI273" t="s">
        <v>1476</v>
      </c>
      <c r="BM273" t="s">
        <v>123</v>
      </c>
      <c r="BN273" t="s">
        <v>1477</v>
      </c>
      <c r="BO273" t="s">
        <v>1477</v>
      </c>
      <c r="BQ273" t="s">
        <v>3824</v>
      </c>
      <c r="BR273">
        <v>1</v>
      </c>
      <c r="BS273">
        <v>3</v>
      </c>
      <c r="BT273" t="s">
        <v>3826</v>
      </c>
      <c r="CB273" t="s">
        <v>1937</v>
      </c>
      <c r="CC273" t="s">
        <v>1938</v>
      </c>
      <c r="CD273" t="s">
        <v>1939</v>
      </c>
      <c r="CE273">
        <v>56.5</v>
      </c>
      <c r="CF273">
        <v>38.5</v>
      </c>
      <c r="CG273">
        <v>54.5</v>
      </c>
      <c r="CH273">
        <v>1012</v>
      </c>
      <c r="CI273">
        <v>48</v>
      </c>
      <c r="CJ273">
        <v>36.700000000000003</v>
      </c>
      <c r="CK273">
        <v>61.5</v>
      </c>
      <c r="CL273">
        <v>56.5</v>
      </c>
      <c r="CM273">
        <v>54.5</v>
      </c>
      <c r="CN273">
        <v>31680</v>
      </c>
      <c r="CO273">
        <v>15.9</v>
      </c>
      <c r="CP273">
        <v>249</v>
      </c>
      <c r="CQ273">
        <v>67</v>
      </c>
      <c r="CR273">
        <v>0</v>
      </c>
      <c r="CS273">
        <v>0</v>
      </c>
      <c r="CT273" t="s">
        <v>1915</v>
      </c>
      <c r="CU273">
        <v>171.8500061035156</v>
      </c>
      <c r="CV273">
        <v>69</v>
      </c>
      <c r="CW273">
        <v>9.6499996185302734</v>
      </c>
      <c r="CX273">
        <v>6.5500001907348633</v>
      </c>
      <c r="CY273">
        <v>8.6499996185302734</v>
      </c>
      <c r="CZ273">
        <v>9.1499996185302734</v>
      </c>
      <c r="DA273">
        <v>1</v>
      </c>
      <c r="DB273">
        <v>1</v>
      </c>
      <c r="DC273">
        <v>0</v>
      </c>
      <c r="DD273">
        <v>0</v>
      </c>
      <c r="DE273">
        <v>134.68</v>
      </c>
      <c r="DF273">
        <v>164.4</v>
      </c>
      <c r="DG273">
        <v>0</v>
      </c>
      <c r="DH273">
        <v>0</v>
      </c>
      <c r="DI273">
        <v>0</v>
      </c>
      <c r="DJ273" t="s">
        <v>1940</v>
      </c>
      <c r="DM273">
        <v>27.64</v>
      </c>
      <c r="DN273">
        <v>180</v>
      </c>
      <c r="EL273">
        <v>0</v>
      </c>
      <c r="EM273" t="s">
        <v>1478</v>
      </c>
    </row>
    <row r="274" spans="1:143" x14ac:dyDescent="0.35">
      <c r="A274" t="s">
        <v>62</v>
      </c>
      <c r="B274" t="s">
        <v>1480</v>
      </c>
      <c r="C274" t="s">
        <v>116</v>
      </c>
      <c r="D274" t="s">
        <v>146</v>
      </c>
      <c r="G274" t="s">
        <v>3827</v>
      </c>
      <c r="K274" t="s">
        <v>3807</v>
      </c>
      <c r="L274" t="s">
        <v>1896</v>
      </c>
      <c r="M274" t="s">
        <v>3808</v>
      </c>
      <c r="N274" t="s">
        <v>1898</v>
      </c>
      <c r="R274" t="s">
        <v>119</v>
      </c>
      <c r="S274" t="s">
        <v>1481</v>
      </c>
      <c r="T274" t="s">
        <v>117</v>
      </c>
      <c r="Z274" t="s">
        <v>3828</v>
      </c>
      <c r="AA274" t="s">
        <v>3829</v>
      </c>
      <c r="AB274">
        <v>2</v>
      </c>
      <c r="AC274">
        <v>6</v>
      </c>
      <c r="AD274" t="s">
        <v>1966</v>
      </c>
      <c r="AJ274">
        <v>0</v>
      </c>
      <c r="AL274">
        <v>0</v>
      </c>
      <c r="AV274" t="s">
        <v>1481</v>
      </c>
      <c r="AX274" t="s">
        <v>1484</v>
      </c>
      <c r="BF274" t="s">
        <v>1906</v>
      </c>
      <c r="BG274" t="s">
        <v>3830</v>
      </c>
      <c r="BI274" t="s">
        <v>1481</v>
      </c>
      <c r="BK274" t="b">
        <v>0</v>
      </c>
      <c r="BM274" t="s">
        <v>1482</v>
      </c>
      <c r="BN274" t="s">
        <v>1482</v>
      </c>
      <c r="BO274" t="s">
        <v>1482</v>
      </c>
      <c r="BQ274" t="s">
        <v>3828</v>
      </c>
      <c r="BR274">
        <v>2</v>
      </c>
      <c r="BS274">
        <v>6</v>
      </c>
      <c r="BT274" t="s">
        <v>3831</v>
      </c>
      <c r="BU274" t="s">
        <v>1908</v>
      </c>
      <c r="BV274">
        <v>0</v>
      </c>
      <c r="BW274" t="s">
        <v>1948</v>
      </c>
      <c r="BX274" t="s">
        <v>1910</v>
      </c>
      <c r="BY274" t="s">
        <v>1970</v>
      </c>
      <c r="CA274" t="s">
        <v>1950</v>
      </c>
      <c r="CB274" t="s">
        <v>2364</v>
      </c>
      <c r="CC274" t="s">
        <v>1938</v>
      </c>
      <c r="CD274" t="s">
        <v>1939</v>
      </c>
      <c r="CE274">
        <v>50.4</v>
      </c>
      <c r="CF274">
        <v>28</v>
      </c>
      <c r="CG274">
        <v>47.1</v>
      </c>
      <c r="CH274">
        <v>1029</v>
      </c>
      <c r="CI274">
        <v>41</v>
      </c>
      <c r="CJ274">
        <v>37.4</v>
      </c>
      <c r="CK274">
        <v>50.7</v>
      </c>
      <c r="CL274">
        <v>50.4</v>
      </c>
      <c r="CM274">
        <v>47.1</v>
      </c>
      <c r="CN274">
        <v>31680</v>
      </c>
      <c r="CO274">
        <v>7.6</v>
      </c>
      <c r="CP274">
        <v>229</v>
      </c>
      <c r="CQ274">
        <v>92</v>
      </c>
      <c r="CR274">
        <v>0</v>
      </c>
      <c r="CS274">
        <v>0</v>
      </c>
      <c r="CT274" t="s">
        <v>1915</v>
      </c>
      <c r="CU274">
        <v>157.8500061035156</v>
      </c>
      <c r="CV274">
        <v>112</v>
      </c>
      <c r="CW274">
        <v>2.9500000476837158</v>
      </c>
      <c r="CX274">
        <v>1.75</v>
      </c>
      <c r="CY274">
        <v>4.3499999046325684</v>
      </c>
      <c r="CZ274">
        <v>5.1500000953674316</v>
      </c>
      <c r="DA274">
        <v>1</v>
      </c>
      <c r="DB274">
        <v>1</v>
      </c>
      <c r="DC274">
        <v>0</v>
      </c>
      <c r="DD274">
        <v>0</v>
      </c>
      <c r="DE274">
        <v>249.75</v>
      </c>
      <c r="DF274">
        <v>303.29000000000002</v>
      </c>
      <c r="DG274">
        <v>0</v>
      </c>
      <c r="DH274">
        <v>0</v>
      </c>
      <c r="DI274">
        <v>0</v>
      </c>
      <c r="DJ274" t="s">
        <v>3813</v>
      </c>
      <c r="DM274">
        <v>7.48</v>
      </c>
      <c r="DN274">
        <v>427.9</v>
      </c>
      <c r="EL274">
        <v>0</v>
      </c>
      <c r="EM274" t="s">
        <v>1483</v>
      </c>
    </row>
    <row r="275" spans="1:143" x14ac:dyDescent="0.35">
      <c r="A275" t="s">
        <v>63</v>
      </c>
      <c r="B275" t="s">
        <v>1485</v>
      </c>
      <c r="C275" t="s">
        <v>116</v>
      </c>
      <c r="D275" t="s">
        <v>146</v>
      </c>
      <c r="G275" t="s">
        <v>3832</v>
      </c>
      <c r="K275" t="s">
        <v>3833</v>
      </c>
      <c r="L275" t="s">
        <v>1896</v>
      </c>
      <c r="M275" t="s">
        <v>3834</v>
      </c>
      <c r="N275" t="s">
        <v>1898</v>
      </c>
      <c r="R275" t="s">
        <v>153</v>
      </c>
      <c r="S275" t="s">
        <v>1486</v>
      </c>
      <c r="T275" t="s">
        <v>117</v>
      </c>
      <c r="V275" t="s">
        <v>2014</v>
      </c>
      <c r="W275" t="s">
        <v>1923</v>
      </c>
      <c r="X275" t="s">
        <v>2482</v>
      </c>
      <c r="Y275" t="s">
        <v>2136</v>
      </c>
      <c r="AB275">
        <v>0</v>
      </c>
      <c r="AC275">
        <v>0</v>
      </c>
      <c r="AJ275">
        <v>0</v>
      </c>
      <c r="AL275">
        <v>0</v>
      </c>
      <c r="AS275" t="b">
        <v>1</v>
      </c>
      <c r="AT275">
        <v>0</v>
      </c>
      <c r="AU275">
        <v>0</v>
      </c>
      <c r="AV275" t="s">
        <v>1486</v>
      </c>
      <c r="AX275" t="s">
        <v>1489</v>
      </c>
      <c r="BA275" t="s">
        <v>2062</v>
      </c>
      <c r="BE275" t="s">
        <v>3835</v>
      </c>
      <c r="BF275" t="s">
        <v>1906</v>
      </c>
      <c r="BG275" t="s">
        <v>3836</v>
      </c>
      <c r="BI275" t="s">
        <v>3837</v>
      </c>
      <c r="BL275" t="s">
        <v>3838</v>
      </c>
      <c r="BM275" t="s">
        <v>1487</v>
      </c>
      <c r="BN275" t="s">
        <v>1487</v>
      </c>
      <c r="BO275" t="s">
        <v>1487</v>
      </c>
      <c r="BR275">
        <v>1</v>
      </c>
      <c r="BS275">
        <v>1</v>
      </c>
      <c r="BU275" t="s">
        <v>1908</v>
      </c>
      <c r="BV275">
        <v>0</v>
      </c>
      <c r="BW275" t="s">
        <v>2295</v>
      </c>
      <c r="BX275" t="s">
        <v>1949</v>
      </c>
      <c r="BY275" t="s">
        <v>1911</v>
      </c>
      <c r="BZ275" t="s">
        <v>1995</v>
      </c>
      <c r="CA275" t="s">
        <v>2147</v>
      </c>
      <c r="CB275" t="s">
        <v>3839</v>
      </c>
      <c r="CC275" t="s">
        <v>1996</v>
      </c>
      <c r="CD275" t="s">
        <v>1997</v>
      </c>
      <c r="CE275">
        <v>79.7</v>
      </c>
      <c r="CF275">
        <v>65.5</v>
      </c>
      <c r="CG275">
        <v>82.2</v>
      </c>
      <c r="CH275">
        <v>1009</v>
      </c>
      <c r="CI275">
        <v>62</v>
      </c>
      <c r="CJ275">
        <v>65.5</v>
      </c>
      <c r="CK275">
        <v>82.3</v>
      </c>
      <c r="CL275">
        <v>82.2</v>
      </c>
      <c r="CM275">
        <v>79.7</v>
      </c>
      <c r="CN275">
        <v>31680</v>
      </c>
      <c r="CO275">
        <v>11.4</v>
      </c>
      <c r="CP275">
        <v>300</v>
      </c>
      <c r="CQ275">
        <v>15</v>
      </c>
      <c r="CR275">
        <v>0</v>
      </c>
      <c r="CS275">
        <v>0</v>
      </c>
      <c r="CT275" t="s">
        <v>1915</v>
      </c>
      <c r="CU275">
        <v>133</v>
      </c>
      <c r="CV275">
        <v>105</v>
      </c>
      <c r="CW275">
        <v>0.8</v>
      </c>
      <c r="CX275">
        <v>0.8</v>
      </c>
      <c r="CY275">
        <v>11.6</v>
      </c>
      <c r="CZ275">
        <v>11.8</v>
      </c>
      <c r="DA275">
        <v>1</v>
      </c>
      <c r="DB275">
        <v>1</v>
      </c>
      <c r="DC275">
        <v>0</v>
      </c>
      <c r="DD275">
        <v>0</v>
      </c>
      <c r="DE275">
        <v>0</v>
      </c>
      <c r="DF275">
        <v>0</v>
      </c>
      <c r="DG275">
        <v>119.09</v>
      </c>
      <c r="DH275">
        <v>190.19</v>
      </c>
      <c r="DI275">
        <v>0</v>
      </c>
      <c r="DJ275" t="s">
        <v>3840</v>
      </c>
      <c r="DK275" t="s">
        <v>3841</v>
      </c>
      <c r="DL275" t="s">
        <v>1918</v>
      </c>
      <c r="DM275">
        <v>21.22</v>
      </c>
      <c r="DN275">
        <v>87.2</v>
      </c>
      <c r="DR275" t="s">
        <v>2039</v>
      </c>
      <c r="DS275">
        <v>1145056</v>
      </c>
      <c r="DT275" t="s">
        <v>3842</v>
      </c>
      <c r="DV275" t="s">
        <v>2039</v>
      </c>
      <c r="DW275" t="s">
        <v>2039</v>
      </c>
      <c r="DX275" t="s">
        <v>2039</v>
      </c>
      <c r="DY275" t="b">
        <v>0</v>
      </c>
      <c r="DZ275" t="s">
        <v>2041</v>
      </c>
      <c r="EA275">
        <v>108946</v>
      </c>
      <c r="EB275" t="s">
        <v>3842</v>
      </c>
      <c r="EC275">
        <v>108946</v>
      </c>
      <c r="ED275" t="s">
        <v>3842</v>
      </c>
      <c r="EE275" t="s">
        <v>2039</v>
      </c>
      <c r="EL275">
        <v>1</v>
      </c>
      <c r="EM275" t="s">
        <v>1488</v>
      </c>
    </row>
    <row r="276" spans="1:143" x14ac:dyDescent="0.35">
      <c r="A276" t="s">
        <v>63</v>
      </c>
      <c r="B276" t="s">
        <v>1490</v>
      </c>
      <c r="C276" t="s">
        <v>116</v>
      </c>
      <c r="D276" t="s">
        <v>146</v>
      </c>
      <c r="G276" t="s">
        <v>3843</v>
      </c>
      <c r="K276" t="s">
        <v>2510</v>
      </c>
      <c r="L276" t="s">
        <v>1896</v>
      </c>
      <c r="M276" t="s">
        <v>2511</v>
      </c>
      <c r="N276" t="s">
        <v>1898</v>
      </c>
      <c r="R276" t="s">
        <v>153</v>
      </c>
      <c r="S276" t="s">
        <v>1491</v>
      </c>
      <c r="T276" t="s">
        <v>428</v>
      </c>
      <c r="U276" t="s">
        <v>117</v>
      </c>
      <c r="Y276" t="s">
        <v>2136</v>
      </c>
      <c r="AB276">
        <v>0</v>
      </c>
      <c r="AC276">
        <v>0</v>
      </c>
      <c r="AJ276">
        <v>0</v>
      </c>
      <c r="AL276">
        <v>0</v>
      </c>
      <c r="AO276" t="s">
        <v>3844</v>
      </c>
      <c r="AP276" t="s">
        <v>3784</v>
      </c>
      <c r="AQ276" t="s">
        <v>3845</v>
      </c>
      <c r="AR276" t="s">
        <v>3846</v>
      </c>
      <c r="AT276">
        <v>0</v>
      </c>
      <c r="AU276">
        <v>0</v>
      </c>
      <c r="AV276" t="s">
        <v>1491</v>
      </c>
      <c r="AX276" t="s">
        <v>1494</v>
      </c>
      <c r="BA276" t="s">
        <v>2164</v>
      </c>
      <c r="BF276" t="s">
        <v>1906</v>
      </c>
      <c r="BG276" t="s">
        <v>3847</v>
      </c>
      <c r="BI276" t="s">
        <v>3848</v>
      </c>
      <c r="BL276" t="s">
        <v>3849</v>
      </c>
      <c r="BM276" t="s">
        <v>1492</v>
      </c>
      <c r="BN276" t="s">
        <v>1492</v>
      </c>
      <c r="BO276" t="s">
        <v>1492</v>
      </c>
      <c r="BR276">
        <v>3</v>
      </c>
      <c r="BS276">
        <v>6</v>
      </c>
      <c r="BU276" t="s">
        <v>1908</v>
      </c>
      <c r="BV276">
        <v>0</v>
      </c>
      <c r="BW276" t="s">
        <v>2295</v>
      </c>
      <c r="BX276" t="s">
        <v>1910</v>
      </c>
      <c r="BY276" t="s">
        <v>1911</v>
      </c>
      <c r="BZ276" t="s">
        <v>1910</v>
      </c>
      <c r="CA276" t="s">
        <v>2129</v>
      </c>
      <c r="CB276" t="s">
        <v>3142</v>
      </c>
      <c r="CC276" t="s">
        <v>1996</v>
      </c>
      <c r="CD276" t="s">
        <v>1997</v>
      </c>
      <c r="CE276">
        <v>56.5</v>
      </c>
      <c r="CF276">
        <v>30.4</v>
      </c>
      <c r="CG276">
        <v>55</v>
      </c>
      <c r="CH276">
        <v>1020</v>
      </c>
      <c r="CI276">
        <v>36</v>
      </c>
      <c r="CJ276">
        <v>38.1</v>
      </c>
      <c r="CK276">
        <v>60.6</v>
      </c>
      <c r="CL276">
        <v>56.5</v>
      </c>
      <c r="CM276">
        <v>55</v>
      </c>
      <c r="CN276">
        <v>31680</v>
      </c>
      <c r="CO276">
        <v>7.6</v>
      </c>
      <c r="CP276">
        <v>98</v>
      </c>
      <c r="CQ276">
        <v>0</v>
      </c>
      <c r="CR276">
        <v>0</v>
      </c>
      <c r="CS276">
        <v>0</v>
      </c>
      <c r="CT276" t="s">
        <v>1915</v>
      </c>
      <c r="CU276">
        <v>145.8500061035156</v>
      </c>
      <c r="CV276">
        <v>71</v>
      </c>
      <c r="CW276">
        <v>9.9499998092651367</v>
      </c>
      <c r="CX276">
        <v>2.4500000476837158</v>
      </c>
      <c r="CY276">
        <v>8.3500003814697266</v>
      </c>
      <c r="CZ276">
        <v>10.44999980926514</v>
      </c>
      <c r="DA276">
        <v>1</v>
      </c>
      <c r="DB276">
        <v>1</v>
      </c>
      <c r="DC276">
        <v>0</v>
      </c>
      <c r="DD276">
        <v>0</v>
      </c>
      <c r="DE276">
        <v>313.77999999999997</v>
      </c>
      <c r="DF276">
        <v>429.43</v>
      </c>
      <c r="DG276">
        <v>0</v>
      </c>
      <c r="DH276">
        <v>0</v>
      </c>
      <c r="DI276">
        <v>0</v>
      </c>
      <c r="DJ276" t="s">
        <v>3850</v>
      </c>
      <c r="DM276">
        <v>12.63</v>
      </c>
      <c r="DN276">
        <v>318.5</v>
      </c>
      <c r="DR276" t="s">
        <v>2039</v>
      </c>
      <c r="DS276">
        <v>656849</v>
      </c>
      <c r="DT276" t="s">
        <v>3851</v>
      </c>
      <c r="DU276" t="s">
        <v>2039</v>
      </c>
      <c r="DV276" t="s">
        <v>2039</v>
      </c>
      <c r="DW276" t="s">
        <v>2039</v>
      </c>
      <c r="DX276" t="s">
        <v>2039</v>
      </c>
      <c r="DY276" t="b">
        <v>0</v>
      </c>
      <c r="EA276">
        <v>24931</v>
      </c>
      <c r="EB276" t="s">
        <v>3851</v>
      </c>
      <c r="EC276">
        <v>24931</v>
      </c>
      <c r="ED276" t="s">
        <v>3851</v>
      </c>
      <c r="EE276" t="s">
        <v>2039</v>
      </c>
      <c r="EL276">
        <v>1</v>
      </c>
      <c r="EM276" t="s">
        <v>1493</v>
      </c>
    </row>
    <row r="277" spans="1:143" x14ac:dyDescent="0.35">
      <c r="A277" t="s">
        <v>63</v>
      </c>
      <c r="B277" t="s">
        <v>1495</v>
      </c>
      <c r="C277" t="s">
        <v>116</v>
      </c>
      <c r="D277" t="s">
        <v>146</v>
      </c>
      <c r="G277" t="s">
        <v>3852</v>
      </c>
      <c r="K277" t="s">
        <v>2480</v>
      </c>
      <c r="L277" t="s">
        <v>1896</v>
      </c>
      <c r="M277" t="s">
        <v>2481</v>
      </c>
      <c r="N277" t="s">
        <v>1898</v>
      </c>
      <c r="R277" t="s">
        <v>153</v>
      </c>
      <c r="S277" t="s">
        <v>1496</v>
      </c>
      <c r="T277" t="s">
        <v>117</v>
      </c>
      <c r="V277" t="s">
        <v>2014</v>
      </c>
      <c r="W277" t="s">
        <v>1923</v>
      </c>
      <c r="X277" t="s">
        <v>2482</v>
      </c>
      <c r="Y277" t="s">
        <v>2136</v>
      </c>
      <c r="AB277">
        <v>0</v>
      </c>
      <c r="AC277">
        <v>0</v>
      </c>
      <c r="AJ277">
        <v>0</v>
      </c>
      <c r="AL277">
        <v>0</v>
      </c>
      <c r="AS277" t="b">
        <v>1</v>
      </c>
      <c r="AT277">
        <v>0</v>
      </c>
      <c r="AU277">
        <v>0</v>
      </c>
      <c r="AV277" t="s">
        <v>1496</v>
      </c>
      <c r="AX277" t="s">
        <v>1499</v>
      </c>
      <c r="AY277" t="b">
        <v>1</v>
      </c>
      <c r="AZ277" t="b">
        <v>1</v>
      </c>
      <c r="BA277" t="s">
        <v>2062</v>
      </c>
      <c r="BF277" t="s">
        <v>1906</v>
      </c>
      <c r="BG277" t="s">
        <v>3853</v>
      </c>
      <c r="BI277" t="s">
        <v>3854</v>
      </c>
      <c r="BL277" t="s">
        <v>3855</v>
      </c>
      <c r="BM277" t="s">
        <v>1497</v>
      </c>
      <c r="BN277" t="s">
        <v>1497</v>
      </c>
      <c r="BO277" t="s">
        <v>1497</v>
      </c>
      <c r="BR277">
        <v>2</v>
      </c>
      <c r="BS277">
        <v>4</v>
      </c>
      <c r="CB277" t="s">
        <v>3856</v>
      </c>
      <c r="CC277" t="s">
        <v>1972</v>
      </c>
      <c r="CD277" t="s">
        <v>1973</v>
      </c>
      <c r="CE277">
        <v>49.8</v>
      </c>
      <c r="CF277">
        <v>25</v>
      </c>
      <c r="CG277">
        <v>46.9</v>
      </c>
      <c r="CH277">
        <v>1030</v>
      </c>
      <c r="CI277">
        <v>36</v>
      </c>
      <c r="CJ277">
        <v>36</v>
      </c>
      <c r="CK277">
        <v>50</v>
      </c>
      <c r="CL277">
        <v>49.8</v>
      </c>
      <c r="CM277">
        <v>46.9</v>
      </c>
      <c r="CN277">
        <v>31680</v>
      </c>
      <c r="CO277">
        <v>6.9</v>
      </c>
      <c r="CP277">
        <v>211</v>
      </c>
      <c r="CQ277">
        <v>100</v>
      </c>
      <c r="CR277">
        <v>0</v>
      </c>
      <c r="CS277">
        <v>0</v>
      </c>
      <c r="CT277" t="s">
        <v>1915</v>
      </c>
      <c r="CU277">
        <v>153.8500061035156</v>
      </c>
      <c r="CV277">
        <v>110</v>
      </c>
      <c r="CW277">
        <v>2.3499999046325679</v>
      </c>
      <c r="CX277">
        <v>1.75</v>
      </c>
      <c r="CY277">
        <v>4.1500000953674316</v>
      </c>
      <c r="CZ277">
        <v>4.9499998092651367</v>
      </c>
      <c r="DA277">
        <v>1</v>
      </c>
      <c r="DB277">
        <v>1</v>
      </c>
      <c r="DC277">
        <v>0</v>
      </c>
      <c r="DD277">
        <v>0</v>
      </c>
      <c r="DE277">
        <v>215</v>
      </c>
      <c r="DF277">
        <v>261.08999999999997</v>
      </c>
      <c r="DG277">
        <v>0</v>
      </c>
      <c r="DH277">
        <v>0</v>
      </c>
      <c r="DI277">
        <v>0</v>
      </c>
      <c r="DJ277" t="s">
        <v>2485</v>
      </c>
      <c r="DM277">
        <v>44.63</v>
      </c>
      <c r="DN277">
        <v>123.9</v>
      </c>
      <c r="DR277" t="s">
        <v>2039</v>
      </c>
      <c r="DS277">
        <v>578534</v>
      </c>
      <c r="DT277" t="s">
        <v>3857</v>
      </c>
      <c r="DU277" t="s">
        <v>2039</v>
      </c>
      <c r="DV277" t="s">
        <v>2039</v>
      </c>
      <c r="DW277" t="s">
        <v>2039</v>
      </c>
      <c r="DX277" t="s">
        <v>2039</v>
      </c>
      <c r="DY277" t="b">
        <v>0</v>
      </c>
      <c r="DZ277" t="s">
        <v>2041</v>
      </c>
      <c r="EA277">
        <v>16322</v>
      </c>
      <c r="EB277" t="s">
        <v>3857</v>
      </c>
      <c r="EC277">
        <v>16322</v>
      </c>
      <c r="ED277" t="s">
        <v>3857</v>
      </c>
      <c r="EE277" t="s">
        <v>2039</v>
      </c>
      <c r="EL277">
        <v>1</v>
      </c>
      <c r="EM277" t="s">
        <v>1498</v>
      </c>
    </row>
    <row r="278" spans="1:143" x14ac:dyDescent="0.35">
      <c r="A278" t="s">
        <v>63</v>
      </c>
      <c r="B278" t="s">
        <v>1500</v>
      </c>
      <c r="C278" t="s">
        <v>116</v>
      </c>
      <c r="D278" t="s">
        <v>146</v>
      </c>
      <c r="G278" t="s">
        <v>3858</v>
      </c>
      <c r="K278" t="s">
        <v>2480</v>
      </c>
      <c r="L278" t="s">
        <v>1896</v>
      </c>
      <c r="M278" t="s">
        <v>2481</v>
      </c>
      <c r="N278" t="s">
        <v>1898</v>
      </c>
      <c r="R278" t="s">
        <v>153</v>
      </c>
      <c r="S278" t="s">
        <v>1501</v>
      </c>
      <c r="T278" t="s">
        <v>117</v>
      </c>
      <c r="V278" t="s">
        <v>2014</v>
      </c>
      <c r="W278" t="s">
        <v>1923</v>
      </c>
      <c r="X278" t="s">
        <v>3859</v>
      </c>
      <c r="AB278">
        <v>0</v>
      </c>
      <c r="AC278">
        <v>0</v>
      </c>
      <c r="AJ278">
        <v>0</v>
      </c>
      <c r="AL278">
        <v>0</v>
      </c>
      <c r="AS278" t="b">
        <v>1</v>
      </c>
      <c r="AT278">
        <v>0</v>
      </c>
      <c r="AU278">
        <v>0</v>
      </c>
      <c r="AV278" t="s">
        <v>1501</v>
      </c>
      <c r="AX278" t="s">
        <v>1504</v>
      </c>
      <c r="AY278" t="b">
        <v>1</v>
      </c>
      <c r="AZ278" t="b">
        <v>1</v>
      </c>
      <c r="BA278" t="s">
        <v>1977</v>
      </c>
      <c r="BF278" t="s">
        <v>2016</v>
      </c>
      <c r="BI278" t="s">
        <v>3860</v>
      </c>
      <c r="BL278" t="s">
        <v>3861</v>
      </c>
      <c r="BM278" t="s">
        <v>1502</v>
      </c>
      <c r="BN278" t="s">
        <v>1502</v>
      </c>
      <c r="BO278" t="s">
        <v>1502</v>
      </c>
      <c r="BR278">
        <v>2</v>
      </c>
      <c r="BS278">
        <v>3</v>
      </c>
      <c r="CB278" t="s">
        <v>3862</v>
      </c>
      <c r="CC278" t="s">
        <v>1972</v>
      </c>
      <c r="CD278" t="s">
        <v>1973</v>
      </c>
      <c r="CE278">
        <v>43.5</v>
      </c>
      <c r="CF278">
        <v>25.3</v>
      </c>
      <c r="CG278">
        <v>36.700000000000003</v>
      </c>
      <c r="CH278">
        <v>1014</v>
      </c>
      <c r="CI278">
        <v>47</v>
      </c>
      <c r="CJ278">
        <v>32</v>
      </c>
      <c r="CK278">
        <v>44.6</v>
      </c>
      <c r="CL278">
        <v>43.5</v>
      </c>
      <c r="CM278">
        <v>36.700000000000003</v>
      </c>
      <c r="CN278">
        <v>31680</v>
      </c>
      <c r="CO278">
        <v>12.8</v>
      </c>
      <c r="CP278">
        <v>275</v>
      </c>
      <c r="CQ278">
        <v>98</v>
      </c>
      <c r="CR278">
        <v>0</v>
      </c>
      <c r="CS278">
        <v>0</v>
      </c>
      <c r="CT278" t="s">
        <v>1915</v>
      </c>
      <c r="DJ278" t="s">
        <v>2485</v>
      </c>
      <c r="DM278">
        <v>44.63</v>
      </c>
      <c r="DN278">
        <v>123.9</v>
      </c>
      <c r="DO278" t="s">
        <v>2024</v>
      </c>
      <c r="DR278" t="s">
        <v>2039</v>
      </c>
      <c r="DS278">
        <v>552221</v>
      </c>
      <c r="DT278" t="s">
        <v>3863</v>
      </c>
      <c r="DU278" t="s">
        <v>2039</v>
      </c>
      <c r="DV278" t="s">
        <v>2039</v>
      </c>
      <c r="DW278" t="s">
        <v>2039</v>
      </c>
      <c r="DX278" t="s">
        <v>2039</v>
      </c>
      <c r="EL278">
        <v>0</v>
      </c>
      <c r="EM278" t="s">
        <v>1503</v>
      </c>
    </row>
    <row r="279" spans="1:143" x14ac:dyDescent="0.35">
      <c r="A279" t="s">
        <v>65</v>
      </c>
      <c r="B279" t="s">
        <v>1505</v>
      </c>
      <c r="C279" t="s">
        <v>116</v>
      </c>
      <c r="D279" t="s">
        <v>146</v>
      </c>
      <c r="G279" t="s">
        <v>3864</v>
      </c>
      <c r="K279" t="s">
        <v>2538</v>
      </c>
      <c r="L279" t="s">
        <v>1896</v>
      </c>
      <c r="M279" t="s">
        <v>3865</v>
      </c>
      <c r="N279" t="s">
        <v>1898</v>
      </c>
      <c r="R279" t="s">
        <v>119</v>
      </c>
      <c r="S279" t="s">
        <v>1506</v>
      </c>
      <c r="T279" t="s">
        <v>117</v>
      </c>
      <c r="Z279" t="s">
        <v>3866</v>
      </c>
      <c r="AA279" t="s">
        <v>3867</v>
      </c>
      <c r="AB279">
        <v>3</v>
      </c>
      <c r="AC279">
        <v>0</v>
      </c>
      <c r="AE279">
        <v>1983</v>
      </c>
      <c r="AG279" t="s">
        <v>1928</v>
      </c>
      <c r="AH279" t="s">
        <v>1929</v>
      </c>
      <c r="AI279">
        <v>217600</v>
      </c>
      <c r="AJ279">
        <v>0</v>
      </c>
      <c r="AL279">
        <v>0</v>
      </c>
      <c r="AV279" t="s">
        <v>1506</v>
      </c>
      <c r="BI279" t="s">
        <v>1506</v>
      </c>
      <c r="BM279" t="s">
        <v>1507</v>
      </c>
      <c r="BN279" t="s">
        <v>1507</v>
      </c>
      <c r="BO279" t="s">
        <v>1507</v>
      </c>
      <c r="BQ279" t="s">
        <v>3866</v>
      </c>
      <c r="BR279">
        <v>3</v>
      </c>
      <c r="BS279">
        <v>0</v>
      </c>
      <c r="BT279" t="s">
        <v>3868</v>
      </c>
      <c r="BU279" t="s">
        <v>1908</v>
      </c>
      <c r="BW279" t="s">
        <v>1993</v>
      </c>
      <c r="BX279" t="s">
        <v>1949</v>
      </c>
      <c r="BY279" t="s">
        <v>1911</v>
      </c>
      <c r="CB279" t="s">
        <v>3869</v>
      </c>
      <c r="CC279" t="s">
        <v>1996</v>
      </c>
      <c r="CD279" t="s">
        <v>1997</v>
      </c>
      <c r="CE279">
        <v>78.099999999999994</v>
      </c>
      <c r="CF279">
        <v>55.7</v>
      </c>
      <c r="CG279">
        <v>79</v>
      </c>
      <c r="CH279">
        <v>1013</v>
      </c>
      <c r="CI279">
        <v>46</v>
      </c>
      <c r="CJ279">
        <v>59.7</v>
      </c>
      <c r="CK279">
        <v>78.8</v>
      </c>
      <c r="CL279">
        <v>79</v>
      </c>
      <c r="CM279">
        <v>78.099999999999994</v>
      </c>
      <c r="CN279">
        <v>31680</v>
      </c>
      <c r="CO279">
        <v>7.9</v>
      </c>
      <c r="CP279">
        <v>239</v>
      </c>
      <c r="CQ279">
        <v>21</v>
      </c>
      <c r="CR279">
        <v>0</v>
      </c>
      <c r="CS279">
        <v>0</v>
      </c>
      <c r="CT279" t="s">
        <v>1915</v>
      </c>
      <c r="CU279">
        <v>133</v>
      </c>
      <c r="CV279">
        <v>111</v>
      </c>
      <c r="CW279">
        <v>1.5</v>
      </c>
      <c r="CX279">
        <v>1</v>
      </c>
      <c r="CY279">
        <v>5.3</v>
      </c>
      <c r="CZ279">
        <v>5.4</v>
      </c>
      <c r="DA279">
        <v>1</v>
      </c>
      <c r="DB279">
        <v>1</v>
      </c>
      <c r="DC279">
        <v>0</v>
      </c>
      <c r="DD279">
        <v>0</v>
      </c>
      <c r="DE279">
        <v>0</v>
      </c>
      <c r="DF279">
        <v>0</v>
      </c>
      <c r="DG279">
        <v>36.08</v>
      </c>
      <c r="DH279">
        <v>91.74</v>
      </c>
      <c r="DI279">
        <v>45.72</v>
      </c>
      <c r="DJ279" t="s">
        <v>3870</v>
      </c>
      <c r="DK279" t="s">
        <v>3871</v>
      </c>
      <c r="DL279" t="s">
        <v>3872</v>
      </c>
      <c r="DM279">
        <v>31.68</v>
      </c>
      <c r="DN279">
        <v>252.1</v>
      </c>
      <c r="EL279">
        <v>0</v>
      </c>
      <c r="EM279" t="s">
        <v>1508</v>
      </c>
    </row>
    <row r="280" spans="1:143" x14ac:dyDescent="0.35">
      <c r="A280" t="s">
        <v>65</v>
      </c>
      <c r="B280" t="s">
        <v>1509</v>
      </c>
      <c r="C280" t="s">
        <v>116</v>
      </c>
      <c r="D280" t="s">
        <v>146</v>
      </c>
      <c r="G280" t="s">
        <v>2058</v>
      </c>
      <c r="K280" t="s">
        <v>2538</v>
      </c>
      <c r="L280" t="s">
        <v>1896</v>
      </c>
      <c r="M280" t="s">
        <v>3865</v>
      </c>
      <c r="N280" t="s">
        <v>1898</v>
      </c>
      <c r="R280" t="s">
        <v>119</v>
      </c>
      <c r="S280" t="s">
        <v>1510</v>
      </c>
      <c r="T280" t="s">
        <v>117</v>
      </c>
      <c r="Z280" t="s">
        <v>3873</v>
      </c>
      <c r="AA280" t="s">
        <v>3874</v>
      </c>
      <c r="AB280">
        <v>2</v>
      </c>
      <c r="AC280">
        <v>0</v>
      </c>
      <c r="AJ280">
        <v>0</v>
      </c>
      <c r="AL280">
        <v>0</v>
      </c>
      <c r="AV280" t="s">
        <v>1510</v>
      </c>
      <c r="BI280" t="s">
        <v>1510</v>
      </c>
      <c r="BM280" t="s">
        <v>1511</v>
      </c>
      <c r="BN280" t="s">
        <v>1511</v>
      </c>
      <c r="BO280" t="s">
        <v>1511</v>
      </c>
      <c r="BQ280" t="s">
        <v>3873</v>
      </c>
      <c r="BR280">
        <v>2</v>
      </c>
      <c r="BS280">
        <v>0</v>
      </c>
      <c r="BT280" t="s">
        <v>3875</v>
      </c>
      <c r="BU280" t="s">
        <v>1908</v>
      </c>
      <c r="BW280" t="s">
        <v>1934</v>
      </c>
      <c r="BX280" t="s">
        <v>2094</v>
      </c>
      <c r="BY280" t="s">
        <v>1911</v>
      </c>
      <c r="CB280" t="s">
        <v>3876</v>
      </c>
      <c r="CC280" t="s">
        <v>1961</v>
      </c>
      <c r="CD280" t="s">
        <v>1962</v>
      </c>
      <c r="CE280">
        <v>81.8</v>
      </c>
      <c r="CF280">
        <v>51.3</v>
      </c>
      <c r="CG280">
        <v>80.8</v>
      </c>
      <c r="CH280">
        <v>1017</v>
      </c>
      <c r="CI280">
        <v>35</v>
      </c>
      <c r="CJ280">
        <v>53.7</v>
      </c>
      <c r="CK280">
        <v>81.8</v>
      </c>
      <c r="CL280">
        <v>80.8</v>
      </c>
      <c r="CM280">
        <v>81.8</v>
      </c>
      <c r="CN280">
        <v>31680</v>
      </c>
      <c r="CO280">
        <v>6.5</v>
      </c>
      <c r="CP280">
        <v>214</v>
      </c>
      <c r="CQ280">
        <v>27</v>
      </c>
      <c r="CR280">
        <v>0</v>
      </c>
      <c r="CS280">
        <v>0</v>
      </c>
      <c r="CT280" t="s">
        <v>1915</v>
      </c>
      <c r="CU280">
        <v>119</v>
      </c>
      <c r="CV280">
        <v>110</v>
      </c>
      <c r="CW280">
        <v>1</v>
      </c>
      <c r="CX280">
        <v>0.7</v>
      </c>
      <c r="CY280">
        <v>5</v>
      </c>
      <c r="CZ280">
        <v>5.2</v>
      </c>
      <c r="DA280">
        <v>1</v>
      </c>
      <c r="DB280">
        <v>1</v>
      </c>
      <c r="DC280">
        <v>0</v>
      </c>
      <c r="DD280">
        <v>0</v>
      </c>
      <c r="DE280">
        <v>0</v>
      </c>
      <c r="DF280">
        <v>0</v>
      </c>
      <c r="DG280">
        <v>86.09</v>
      </c>
      <c r="DH280">
        <v>168.21</v>
      </c>
      <c r="DI280">
        <v>11.48</v>
      </c>
      <c r="DJ280" t="s">
        <v>3870</v>
      </c>
      <c r="DK280" t="s">
        <v>3871</v>
      </c>
      <c r="DL280" t="s">
        <v>3877</v>
      </c>
      <c r="DM280">
        <v>31.68</v>
      </c>
      <c r="DN280">
        <v>252.1</v>
      </c>
      <c r="EL280">
        <v>0</v>
      </c>
      <c r="EM280" t="s">
        <v>1512</v>
      </c>
    </row>
    <row r="281" spans="1:143" x14ac:dyDescent="0.35">
      <c r="A281" t="s">
        <v>65</v>
      </c>
      <c r="B281" t="s">
        <v>1513</v>
      </c>
      <c r="C281" t="s">
        <v>116</v>
      </c>
      <c r="D281" t="s">
        <v>146</v>
      </c>
      <c r="G281" t="s">
        <v>3864</v>
      </c>
      <c r="K281" t="s">
        <v>2538</v>
      </c>
      <c r="L281" t="s">
        <v>1896</v>
      </c>
      <c r="M281" t="s">
        <v>3865</v>
      </c>
      <c r="N281" t="s">
        <v>1898</v>
      </c>
      <c r="R281" t="s">
        <v>119</v>
      </c>
      <c r="S281" t="s">
        <v>1514</v>
      </c>
      <c r="T281" t="s">
        <v>117</v>
      </c>
      <c r="Z281" t="s">
        <v>3878</v>
      </c>
      <c r="AA281" t="s">
        <v>3879</v>
      </c>
      <c r="AB281">
        <v>1</v>
      </c>
      <c r="AC281">
        <v>0</v>
      </c>
      <c r="AE281">
        <v>1992</v>
      </c>
      <c r="AG281" t="s">
        <v>1928</v>
      </c>
      <c r="AH281" t="s">
        <v>1903</v>
      </c>
      <c r="AI281">
        <v>160400</v>
      </c>
      <c r="AJ281">
        <v>0</v>
      </c>
      <c r="AL281">
        <v>0</v>
      </c>
      <c r="AV281" t="s">
        <v>1514</v>
      </c>
      <c r="BI281" t="s">
        <v>1514</v>
      </c>
      <c r="BM281" t="s">
        <v>1515</v>
      </c>
      <c r="BN281" t="s">
        <v>1515</v>
      </c>
      <c r="BO281" t="s">
        <v>1515</v>
      </c>
      <c r="BQ281" t="s">
        <v>3878</v>
      </c>
      <c r="BR281">
        <v>1</v>
      </c>
      <c r="BS281">
        <v>0</v>
      </c>
      <c r="BU281" t="s">
        <v>1908</v>
      </c>
      <c r="BW281" t="s">
        <v>1934</v>
      </c>
      <c r="BX281" t="s">
        <v>1949</v>
      </c>
      <c r="BY281" t="s">
        <v>1911</v>
      </c>
      <c r="CB281" t="s">
        <v>3880</v>
      </c>
      <c r="CC281" t="s">
        <v>1996</v>
      </c>
      <c r="CD281" t="s">
        <v>1997</v>
      </c>
      <c r="CE281">
        <v>57.7</v>
      </c>
      <c r="CF281">
        <v>38.4</v>
      </c>
      <c r="CG281">
        <v>57.7</v>
      </c>
      <c r="CH281">
        <v>1011</v>
      </c>
      <c r="CI281">
        <v>48</v>
      </c>
      <c r="CJ281">
        <v>56</v>
      </c>
      <c r="CK281">
        <v>82.9</v>
      </c>
      <c r="CL281">
        <v>57.7</v>
      </c>
      <c r="CM281">
        <v>57.7</v>
      </c>
      <c r="CN281">
        <v>31680</v>
      </c>
      <c r="CO281">
        <v>1.3</v>
      </c>
      <c r="CP281">
        <v>276</v>
      </c>
      <c r="CQ281">
        <v>0</v>
      </c>
      <c r="CR281">
        <v>0</v>
      </c>
      <c r="CS281">
        <v>0</v>
      </c>
      <c r="CT281" t="s">
        <v>1915</v>
      </c>
      <c r="CU281">
        <v>137</v>
      </c>
      <c r="CV281">
        <v>34</v>
      </c>
      <c r="CW281">
        <v>29.6</v>
      </c>
      <c r="CX281">
        <v>0.9</v>
      </c>
      <c r="CY281">
        <v>15.2</v>
      </c>
      <c r="CZ281">
        <v>17.600000000000001</v>
      </c>
      <c r="DA281">
        <v>1</v>
      </c>
      <c r="DB281">
        <v>2</v>
      </c>
      <c r="DC281">
        <v>0</v>
      </c>
      <c r="DD281">
        <v>0</v>
      </c>
      <c r="DE281">
        <v>0</v>
      </c>
      <c r="DF281">
        <v>0</v>
      </c>
      <c r="DG281">
        <v>22.32</v>
      </c>
      <c r="DH281">
        <v>16.43</v>
      </c>
      <c r="DI281">
        <v>0</v>
      </c>
      <c r="DJ281" t="s">
        <v>3870</v>
      </c>
      <c r="DK281" t="s">
        <v>3871</v>
      </c>
      <c r="DL281" t="s">
        <v>3881</v>
      </c>
      <c r="DM281">
        <v>31.68</v>
      </c>
      <c r="DN281">
        <v>252.1</v>
      </c>
      <c r="EL281">
        <v>0</v>
      </c>
      <c r="EM281" t="s">
        <v>1516</v>
      </c>
    </row>
    <row r="282" spans="1:143" x14ac:dyDescent="0.35">
      <c r="A282" t="s">
        <v>65</v>
      </c>
      <c r="B282" t="s">
        <v>1517</v>
      </c>
      <c r="C282" t="s">
        <v>116</v>
      </c>
      <c r="D282" t="s">
        <v>146</v>
      </c>
      <c r="G282" t="s">
        <v>3882</v>
      </c>
      <c r="K282" t="s">
        <v>2538</v>
      </c>
      <c r="L282" t="s">
        <v>1896</v>
      </c>
      <c r="M282" t="s">
        <v>3865</v>
      </c>
      <c r="N282" t="s">
        <v>1898</v>
      </c>
      <c r="R282" t="s">
        <v>119</v>
      </c>
      <c r="S282" t="s">
        <v>1518</v>
      </c>
      <c r="T282" t="s">
        <v>117</v>
      </c>
      <c r="Z282" t="s">
        <v>3878</v>
      </c>
      <c r="AA282" t="s">
        <v>3879</v>
      </c>
      <c r="AB282">
        <v>1</v>
      </c>
      <c r="AC282">
        <v>0</v>
      </c>
      <c r="AJ282">
        <v>0</v>
      </c>
      <c r="AL282">
        <v>0</v>
      </c>
      <c r="AV282" t="s">
        <v>1518</v>
      </c>
      <c r="BI282" t="s">
        <v>1518</v>
      </c>
      <c r="BM282" t="s">
        <v>1519</v>
      </c>
      <c r="BN282" t="s">
        <v>1519</v>
      </c>
      <c r="BO282" t="s">
        <v>1519</v>
      </c>
      <c r="BQ282" t="s">
        <v>3878</v>
      </c>
      <c r="BR282">
        <v>1</v>
      </c>
      <c r="BS282">
        <v>0</v>
      </c>
      <c r="BU282" t="s">
        <v>1908</v>
      </c>
      <c r="BW282" t="s">
        <v>1934</v>
      </c>
      <c r="BX282" t="s">
        <v>1949</v>
      </c>
      <c r="BY282" t="s">
        <v>1911</v>
      </c>
      <c r="CB282" t="s">
        <v>3883</v>
      </c>
      <c r="CC282" t="s">
        <v>1996</v>
      </c>
      <c r="CD282" t="s">
        <v>1997</v>
      </c>
      <c r="CE282">
        <v>66</v>
      </c>
      <c r="CF282">
        <v>49.4</v>
      </c>
      <c r="CG282">
        <v>66</v>
      </c>
      <c r="CH282">
        <v>1015</v>
      </c>
      <c r="CI282">
        <v>55</v>
      </c>
      <c r="CJ282">
        <v>63.7</v>
      </c>
      <c r="CK282">
        <v>82.9</v>
      </c>
      <c r="CL282">
        <v>66</v>
      </c>
      <c r="CM282">
        <v>66</v>
      </c>
      <c r="CN282">
        <v>31680</v>
      </c>
      <c r="CO282">
        <v>2.9</v>
      </c>
      <c r="CP282">
        <v>12</v>
      </c>
      <c r="CQ282">
        <v>0</v>
      </c>
      <c r="CR282">
        <v>0</v>
      </c>
      <c r="CS282">
        <v>0</v>
      </c>
      <c r="CT282" t="s">
        <v>1915</v>
      </c>
      <c r="CU282">
        <v>141</v>
      </c>
      <c r="CV282">
        <v>63</v>
      </c>
      <c r="CW282">
        <v>5.5</v>
      </c>
      <c r="CX282">
        <v>0.7</v>
      </c>
      <c r="CY282">
        <v>17.899999999999999</v>
      </c>
      <c r="CZ282">
        <v>18.2</v>
      </c>
      <c r="DA282">
        <v>2</v>
      </c>
      <c r="DB282">
        <v>2</v>
      </c>
      <c r="DC282">
        <v>0</v>
      </c>
      <c r="DD282">
        <v>0</v>
      </c>
      <c r="DE282">
        <v>0</v>
      </c>
      <c r="DF282">
        <v>0</v>
      </c>
      <c r="DG282">
        <v>39.4</v>
      </c>
      <c r="DH282">
        <v>16.690000000000001</v>
      </c>
      <c r="DI282">
        <v>0</v>
      </c>
      <c r="DJ282" t="s">
        <v>3870</v>
      </c>
      <c r="DK282" t="s">
        <v>3871</v>
      </c>
      <c r="DL282" t="s">
        <v>3884</v>
      </c>
      <c r="DM282">
        <v>31.68</v>
      </c>
      <c r="DN282">
        <v>252.1</v>
      </c>
      <c r="EL282">
        <v>0</v>
      </c>
      <c r="EM282" t="s">
        <v>1520</v>
      </c>
    </row>
    <row r="283" spans="1:143" x14ac:dyDescent="0.35">
      <c r="A283" t="s">
        <v>65</v>
      </c>
      <c r="B283" t="s">
        <v>1521</v>
      </c>
      <c r="C283" t="s">
        <v>116</v>
      </c>
      <c r="D283" t="s">
        <v>146</v>
      </c>
      <c r="G283" t="s">
        <v>3885</v>
      </c>
      <c r="K283" t="s">
        <v>2097</v>
      </c>
      <c r="L283" t="s">
        <v>1896</v>
      </c>
      <c r="M283" t="s">
        <v>2098</v>
      </c>
      <c r="N283" t="s">
        <v>1898</v>
      </c>
      <c r="R283" t="s">
        <v>119</v>
      </c>
      <c r="S283" t="s">
        <v>1522</v>
      </c>
      <c r="T283" t="s">
        <v>117</v>
      </c>
      <c r="V283" t="s">
        <v>2014</v>
      </c>
      <c r="W283" t="s">
        <v>1923</v>
      </c>
      <c r="X283" t="s">
        <v>36</v>
      </c>
      <c r="Z283" t="s">
        <v>3886</v>
      </c>
      <c r="AA283" t="s">
        <v>3887</v>
      </c>
      <c r="AB283">
        <v>1</v>
      </c>
      <c r="AC283">
        <v>0</v>
      </c>
      <c r="AJ283">
        <v>0</v>
      </c>
      <c r="AL283">
        <v>0</v>
      </c>
      <c r="AV283" t="s">
        <v>1522</v>
      </c>
      <c r="BI283" t="s">
        <v>1522</v>
      </c>
      <c r="BM283" t="s">
        <v>3888</v>
      </c>
      <c r="BN283" t="s">
        <v>1523</v>
      </c>
      <c r="BO283" t="s">
        <v>1523</v>
      </c>
      <c r="BQ283" t="s">
        <v>3886</v>
      </c>
      <c r="BR283">
        <v>1</v>
      </c>
      <c r="BS283">
        <v>0</v>
      </c>
      <c r="CB283" t="s">
        <v>149</v>
      </c>
      <c r="CC283" t="s">
        <v>1996</v>
      </c>
      <c r="CD283" t="s">
        <v>1997</v>
      </c>
      <c r="CE283">
        <v>75.7</v>
      </c>
      <c r="CF283">
        <v>52.5</v>
      </c>
      <c r="CG283">
        <v>77.099999999999994</v>
      </c>
      <c r="CH283">
        <v>1006</v>
      </c>
      <c r="CI283">
        <v>42</v>
      </c>
      <c r="CJ283">
        <v>50.9</v>
      </c>
      <c r="CK283">
        <v>78.099999999999994</v>
      </c>
      <c r="CL283">
        <v>77.099999999999994</v>
      </c>
      <c r="CM283">
        <v>75.7</v>
      </c>
      <c r="CN283">
        <v>31680</v>
      </c>
      <c r="CO283">
        <v>15.7</v>
      </c>
      <c r="CP283">
        <v>206</v>
      </c>
      <c r="CQ283">
        <v>16</v>
      </c>
      <c r="CR283">
        <v>0</v>
      </c>
      <c r="CS283">
        <v>0</v>
      </c>
      <c r="CT283" t="s">
        <v>1915</v>
      </c>
      <c r="CU283">
        <v>165.8500061035156</v>
      </c>
      <c r="CV283">
        <v>146</v>
      </c>
      <c r="CW283">
        <v>4.3499999046325684</v>
      </c>
      <c r="CX283">
        <v>4.1500000953674316</v>
      </c>
      <c r="CY283">
        <v>11.64999961853027</v>
      </c>
      <c r="CZ283">
        <v>12.35000038146973</v>
      </c>
      <c r="DA283">
        <v>1</v>
      </c>
      <c r="DB283">
        <v>1</v>
      </c>
      <c r="DC283">
        <v>0</v>
      </c>
      <c r="DD283">
        <v>0</v>
      </c>
      <c r="DE283">
        <v>312.89999999999998</v>
      </c>
      <c r="DF283">
        <v>1096.56</v>
      </c>
      <c r="DG283">
        <v>0</v>
      </c>
      <c r="DH283">
        <v>0</v>
      </c>
      <c r="DI283">
        <v>0</v>
      </c>
      <c r="DJ283" t="s">
        <v>2101</v>
      </c>
      <c r="DK283" t="s">
        <v>2522</v>
      </c>
      <c r="DL283" t="s">
        <v>3889</v>
      </c>
      <c r="DM283">
        <v>27.98</v>
      </c>
      <c r="DN283">
        <v>301.7</v>
      </c>
      <c r="EL283">
        <v>0</v>
      </c>
      <c r="EM283" t="s">
        <v>1524</v>
      </c>
    </row>
    <row r="284" spans="1:143" x14ac:dyDescent="0.35">
      <c r="A284" t="s">
        <v>65</v>
      </c>
      <c r="B284" t="s">
        <v>1525</v>
      </c>
      <c r="C284" t="s">
        <v>116</v>
      </c>
      <c r="D284" t="s">
        <v>146</v>
      </c>
      <c r="G284" t="s">
        <v>3890</v>
      </c>
      <c r="K284" t="s">
        <v>2538</v>
      </c>
      <c r="L284" t="s">
        <v>1896</v>
      </c>
      <c r="M284" t="s">
        <v>3865</v>
      </c>
      <c r="N284" t="s">
        <v>1898</v>
      </c>
      <c r="R284" t="s">
        <v>119</v>
      </c>
      <c r="S284" t="s">
        <v>1526</v>
      </c>
      <c r="T284" t="s">
        <v>117</v>
      </c>
      <c r="Z284" t="s">
        <v>3878</v>
      </c>
      <c r="AA284" t="s">
        <v>3879</v>
      </c>
      <c r="AB284">
        <v>1</v>
      </c>
      <c r="AC284">
        <v>0</v>
      </c>
      <c r="AJ284">
        <v>0</v>
      </c>
      <c r="AL284">
        <v>0</v>
      </c>
      <c r="AV284" t="s">
        <v>1526</v>
      </c>
      <c r="BI284" t="s">
        <v>1526</v>
      </c>
      <c r="BM284" t="s">
        <v>3891</v>
      </c>
      <c r="BN284" t="s">
        <v>1527</v>
      </c>
      <c r="BO284" t="s">
        <v>1527</v>
      </c>
      <c r="BQ284" t="s">
        <v>3878</v>
      </c>
      <c r="BR284">
        <v>1</v>
      </c>
      <c r="BS284">
        <v>0</v>
      </c>
      <c r="BU284" t="s">
        <v>1908</v>
      </c>
      <c r="BV284">
        <v>0.01</v>
      </c>
      <c r="BW284" t="s">
        <v>2128</v>
      </c>
      <c r="BX284" t="s">
        <v>1949</v>
      </c>
      <c r="BY284" t="s">
        <v>1911</v>
      </c>
      <c r="CA284" t="s">
        <v>1959</v>
      </c>
      <c r="CB284" t="s">
        <v>3892</v>
      </c>
      <c r="CC284" t="s">
        <v>1972</v>
      </c>
      <c r="CD284" t="s">
        <v>1973</v>
      </c>
      <c r="CE284">
        <v>58.5</v>
      </c>
      <c r="CF284">
        <v>34.299999999999997</v>
      </c>
      <c r="CG284">
        <v>56.6</v>
      </c>
      <c r="CH284">
        <v>1009</v>
      </c>
      <c r="CI284">
        <v>45</v>
      </c>
      <c r="CJ284">
        <v>40.700000000000003</v>
      </c>
      <c r="CK284">
        <v>58.5</v>
      </c>
      <c r="CL284">
        <v>58.5</v>
      </c>
      <c r="CM284">
        <v>56.6</v>
      </c>
      <c r="CN284">
        <v>31680</v>
      </c>
      <c r="CO284">
        <v>10.3</v>
      </c>
      <c r="CP284">
        <v>282</v>
      </c>
      <c r="CQ284">
        <v>86</v>
      </c>
      <c r="CR284">
        <v>0</v>
      </c>
      <c r="CS284">
        <v>0</v>
      </c>
      <c r="CT284" t="s">
        <v>1915</v>
      </c>
      <c r="CU284">
        <v>145.8500061035156</v>
      </c>
      <c r="CV284">
        <v>87</v>
      </c>
      <c r="CW284">
        <v>2.4500000476837158</v>
      </c>
      <c r="CX284">
        <v>1.1499999761581421</v>
      </c>
      <c r="CY284">
        <v>2.3499999046325679</v>
      </c>
      <c r="CZ284">
        <v>2.4500000476837158</v>
      </c>
      <c r="DA284">
        <v>1</v>
      </c>
      <c r="DB284">
        <v>1</v>
      </c>
      <c r="DC284">
        <v>0</v>
      </c>
      <c r="DD284">
        <v>0</v>
      </c>
      <c r="DE284">
        <v>325.12</v>
      </c>
      <c r="DF284">
        <v>1077.67</v>
      </c>
      <c r="DG284">
        <v>0</v>
      </c>
      <c r="DH284">
        <v>0</v>
      </c>
      <c r="DI284">
        <v>0</v>
      </c>
      <c r="DJ284" t="s">
        <v>3870</v>
      </c>
      <c r="DK284" t="s">
        <v>3871</v>
      </c>
      <c r="DL284" t="s">
        <v>3893</v>
      </c>
      <c r="DM284">
        <v>31.68</v>
      </c>
      <c r="DN284">
        <v>252.1</v>
      </c>
      <c r="EL284">
        <v>0</v>
      </c>
      <c r="EM284" t="s">
        <v>1528</v>
      </c>
    </row>
    <row r="285" spans="1:143" x14ac:dyDescent="0.35">
      <c r="A285" t="s">
        <v>67</v>
      </c>
      <c r="B285" t="s">
        <v>1529</v>
      </c>
      <c r="C285" t="s">
        <v>116</v>
      </c>
      <c r="D285" t="s">
        <v>120</v>
      </c>
      <c r="G285" t="s">
        <v>3894</v>
      </c>
      <c r="H285" t="s">
        <v>3608</v>
      </c>
      <c r="L285" t="s">
        <v>1896</v>
      </c>
      <c r="M285" t="s">
        <v>3895</v>
      </c>
      <c r="N285" t="s">
        <v>1898</v>
      </c>
      <c r="R285" t="s">
        <v>119</v>
      </c>
      <c r="S285" t="s">
        <v>1530</v>
      </c>
      <c r="T285" t="s">
        <v>117</v>
      </c>
      <c r="Z285" t="s">
        <v>3896</v>
      </c>
      <c r="AA285" t="s">
        <v>3897</v>
      </c>
      <c r="AB285">
        <v>1</v>
      </c>
      <c r="AC285">
        <v>2</v>
      </c>
      <c r="AD285" t="s">
        <v>1966</v>
      </c>
      <c r="AG285" t="s">
        <v>3335</v>
      </c>
      <c r="AH285" t="s">
        <v>1903</v>
      </c>
      <c r="AI285">
        <v>51147400</v>
      </c>
      <c r="AJ285">
        <v>0</v>
      </c>
      <c r="AL285">
        <v>0</v>
      </c>
      <c r="AS285" t="b">
        <v>1</v>
      </c>
      <c r="AV285" t="s">
        <v>1530</v>
      </c>
      <c r="AX285" t="s">
        <v>1533</v>
      </c>
      <c r="AY285" t="b">
        <v>1</v>
      </c>
      <c r="AZ285" t="b">
        <v>1</v>
      </c>
      <c r="BA285" t="s">
        <v>2126</v>
      </c>
      <c r="BD285" t="s">
        <v>3898</v>
      </c>
      <c r="BF285" t="s">
        <v>1906</v>
      </c>
      <c r="BG285" t="s">
        <v>1907</v>
      </c>
      <c r="BI285" t="s">
        <v>1530</v>
      </c>
      <c r="BK285" t="b">
        <v>0</v>
      </c>
      <c r="BM285" t="s">
        <v>1531</v>
      </c>
      <c r="BN285" t="s">
        <v>1531</v>
      </c>
      <c r="BO285" t="s">
        <v>1531</v>
      </c>
      <c r="BQ285" t="s">
        <v>3896</v>
      </c>
      <c r="BR285">
        <v>1</v>
      </c>
      <c r="BS285">
        <v>2</v>
      </c>
      <c r="BU285" t="s">
        <v>1908</v>
      </c>
      <c r="BW285" t="s">
        <v>2128</v>
      </c>
      <c r="BX285" t="s">
        <v>1949</v>
      </c>
      <c r="BY285" t="s">
        <v>1911</v>
      </c>
      <c r="CA285" t="s">
        <v>2147</v>
      </c>
      <c r="CB285" t="s">
        <v>3899</v>
      </c>
      <c r="CC285" t="s">
        <v>1996</v>
      </c>
      <c r="CD285" t="s">
        <v>1997</v>
      </c>
      <c r="CE285">
        <v>64.2</v>
      </c>
      <c r="CF285">
        <v>52.1</v>
      </c>
      <c r="CG285">
        <v>64.2</v>
      </c>
      <c r="CH285">
        <v>1020</v>
      </c>
      <c r="CI285">
        <v>70</v>
      </c>
      <c r="CJ285">
        <v>57</v>
      </c>
      <c r="CK285">
        <v>85.8</v>
      </c>
      <c r="CL285">
        <v>64.2</v>
      </c>
      <c r="CM285">
        <v>64.2</v>
      </c>
      <c r="CN285">
        <v>31680</v>
      </c>
      <c r="CO285">
        <v>3.4</v>
      </c>
      <c r="CP285">
        <v>263</v>
      </c>
      <c r="CQ285">
        <v>6</v>
      </c>
      <c r="CR285">
        <v>0</v>
      </c>
      <c r="CS285">
        <v>0</v>
      </c>
      <c r="CT285" t="s">
        <v>1915</v>
      </c>
      <c r="CU285">
        <v>189</v>
      </c>
      <c r="CV285">
        <v>68</v>
      </c>
      <c r="CW285">
        <v>12.8</v>
      </c>
      <c r="CX285">
        <v>0.8</v>
      </c>
      <c r="CY285">
        <v>6.7</v>
      </c>
      <c r="CZ285">
        <v>7.3</v>
      </c>
      <c r="DA285">
        <v>1</v>
      </c>
      <c r="DB285">
        <v>1</v>
      </c>
      <c r="DC285">
        <v>0</v>
      </c>
      <c r="DD285">
        <v>0</v>
      </c>
      <c r="DE285">
        <v>0</v>
      </c>
      <c r="DF285">
        <v>0</v>
      </c>
      <c r="DG285">
        <v>29.78</v>
      </c>
      <c r="DH285">
        <v>0</v>
      </c>
      <c r="DI285">
        <v>0</v>
      </c>
      <c r="DJ285" t="s">
        <v>3900</v>
      </c>
      <c r="DM285">
        <v>9.9499999999999993</v>
      </c>
      <c r="DN285">
        <v>267.89999999999998</v>
      </c>
      <c r="EL285">
        <v>0</v>
      </c>
      <c r="EM285" t="s">
        <v>1532</v>
      </c>
    </row>
    <row r="286" spans="1:143" x14ac:dyDescent="0.35">
      <c r="A286" t="s">
        <v>67</v>
      </c>
      <c r="B286" t="s">
        <v>1534</v>
      </c>
      <c r="C286" t="s">
        <v>116</v>
      </c>
      <c r="D286" t="s">
        <v>146</v>
      </c>
      <c r="G286" t="s">
        <v>3901</v>
      </c>
      <c r="K286" t="s">
        <v>2097</v>
      </c>
      <c r="L286" t="s">
        <v>1896</v>
      </c>
      <c r="M286" t="s">
        <v>2098</v>
      </c>
      <c r="N286" t="s">
        <v>1898</v>
      </c>
      <c r="R286" t="s">
        <v>119</v>
      </c>
      <c r="S286" t="s">
        <v>1535</v>
      </c>
      <c r="T286" t="s">
        <v>382</v>
      </c>
      <c r="U286" t="s">
        <v>117</v>
      </c>
      <c r="Z286" t="s">
        <v>3902</v>
      </c>
      <c r="AA286" t="s">
        <v>3903</v>
      </c>
      <c r="AB286">
        <v>1</v>
      </c>
      <c r="AC286">
        <v>0</v>
      </c>
      <c r="AD286" t="s">
        <v>1966</v>
      </c>
      <c r="AJ286">
        <v>0</v>
      </c>
      <c r="AL286">
        <v>0</v>
      </c>
      <c r="AV286" t="s">
        <v>1535</v>
      </c>
      <c r="AX286" t="s">
        <v>1538</v>
      </c>
      <c r="BF286" t="s">
        <v>1906</v>
      </c>
      <c r="BG286" t="s">
        <v>1907</v>
      </c>
      <c r="BI286" t="s">
        <v>1535</v>
      </c>
      <c r="BK286" t="b">
        <v>0</v>
      </c>
      <c r="BM286" t="s">
        <v>1536</v>
      </c>
      <c r="BN286" t="s">
        <v>1536</v>
      </c>
      <c r="BO286" t="s">
        <v>1536</v>
      </c>
      <c r="BQ286" t="s">
        <v>3902</v>
      </c>
      <c r="BR286">
        <v>1</v>
      </c>
      <c r="BS286">
        <v>0</v>
      </c>
      <c r="BU286" t="s">
        <v>1908</v>
      </c>
      <c r="BV286">
        <v>3</v>
      </c>
      <c r="BW286" t="s">
        <v>3904</v>
      </c>
      <c r="BX286" t="s">
        <v>1949</v>
      </c>
      <c r="BY286" t="s">
        <v>1911</v>
      </c>
      <c r="CA286" t="s">
        <v>1950</v>
      </c>
      <c r="CB286" t="s">
        <v>3905</v>
      </c>
      <c r="CC286" t="s">
        <v>1961</v>
      </c>
      <c r="CD286" t="s">
        <v>1962</v>
      </c>
      <c r="CE286">
        <v>34.9</v>
      </c>
      <c r="CF286">
        <v>15.3</v>
      </c>
      <c r="CG286">
        <v>32</v>
      </c>
      <c r="CH286">
        <v>1032</v>
      </c>
      <c r="CI286">
        <v>45</v>
      </c>
      <c r="CJ286">
        <v>29.7</v>
      </c>
      <c r="CK286">
        <v>39.700000000000003</v>
      </c>
      <c r="CL286">
        <v>34.9</v>
      </c>
      <c r="CM286">
        <v>32</v>
      </c>
      <c r="CN286">
        <v>31680</v>
      </c>
      <c r="CO286">
        <v>2.5</v>
      </c>
      <c r="CP286">
        <v>20</v>
      </c>
      <c r="CQ286">
        <v>44</v>
      </c>
      <c r="CR286">
        <v>0</v>
      </c>
      <c r="CS286">
        <v>0</v>
      </c>
      <c r="CT286" t="s">
        <v>1915</v>
      </c>
      <c r="DJ286" t="s">
        <v>2101</v>
      </c>
      <c r="DM286">
        <v>27.98</v>
      </c>
      <c r="DN286">
        <v>301.7</v>
      </c>
      <c r="DR286" t="s">
        <v>2257</v>
      </c>
      <c r="DS286">
        <v>547614</v>
      </c>
      <c r="DT286" t="s">
        <v>3906</v>
      </c>
      <c r="DU286" t="s">
        <v>2257</v>
      </c>
      <c r="DV286" t="s">
        <v>2257</v>
      </c>
      <c r="DW286" t="s">
        <v>2257</v>
      </c>
      <c r="DX286" t="s">
        <v>2257</v>
      </c>
      <c r="EL286">
        <v>0</v>
      </c>
      <c r="EM286" t="s">
        <v>1537</v>
      </c>
    </row>
    <row r="287" spans="1:143" x14ac:dyDescent="0.35">
      <c r="A287" t="s">
        <v>69</v>
      </c>
      <c r="B287" t="s">
        <v>1539</v>
      </c>
      <c r="C287" t="s">
        <v>116</v>
      </c>
      <c r="D287" t="s">
        <v>146</v>
      </c>
      <c r="G287" t="s">
        <v>3907</v>
      </c>
      <c r="K287" t="s">
        <v>3908</v>
      </c>
      <c r="L287" t="s">
        <v>1896</v>
      </c>
      <c r="M287" t="s">
        <v>3909</v>
      </c>
      <c r="N287" t="s">
        <v>1898</v>
      </c>
      <c r="R287" t="s">
        <v>119</v>
      </c>
      <c r="S287" t="s">
        <v>1540</v>
      </c>
      <c r="T287" t="s">
        <v>1543</v>
      </c>
      <c r="U287" t="s">
        <v>117</v>
      </c>
      <c r="V287" t="s">
        <v>2014</v>
      </c>
      <c r="W287" t="s">
        <v>2134</v>
      </c>
      <c r="X287" t="s">
        <v>3910</v>
      </c>
      <c r="Y287" t="s">
        <v>2136</v>
      </c>
      <c r="Z287" t="s">
        <v>3911</v>
      </c>
      <c r="AB287">
        <v>2</v>
      </c>
      <c r="AC287">
        <v>3</v>
      </c>
      <c r="AD287" t="s">
        <v>2221</v>
      </c>
      <c r="AE287">
        <v>1960</v>
      </c>
      <c r="AG287" t="s">
        <v>1928</v>
      </c>
      <c r="AH287" t="s">
        <v>1929</v>
      </c>
      <c r="AI287">
        <v>243700</v>
      </c>
      <c r="AJ287">
        <v>0</v>
      </c>
      <c r="AL287">
        <v>0</v>
      </c>
      <c r="AV287" t="s">
        <v>1540</v>
      </c>
      <c r="AX287" t="s">
        <v>1544</v>
      </c>
      <c r="BI287" t="s">
        <v>1540</v>
      </c>
      <c r="BK287" t="b">
        <v>0</v>
      </c>
      <c r="BM287" t="s">
        <v>1541</v>
      </c>
      <c r="BN287" t="s">
        <v>1541</v>
      </c>
      <c r="BO287" t="s">
        <v>1541</v>
      </c>
      <c r="BQ287" t="s">
        <v>3911</v>
      </c>
      <c r="BR287">
        <v>2</v>
      </c>
      <c r="BS287">
        <v>3</v>
      </c>
      <c r="BT287" t="s">
        <v>3912</v>
      </c>
      <c r="BU287" t="s">
        <v>1908</v>
      </c>
      <c r="BV287">
        <v>0</v>
      </c>
      <c r="BW287" t="s">
        <v>1948</v>
      </c>
      <c r="BX287" t="s">
        <v>1949</v>
      </c>
      <c r="BY287" t="s">
        <v>1970</v>
      </c>
      <c r="CA287" t="s">
        <v>1950</v>
      </c>
      <c r="CB287" t="s">
        <v>3913</v>
      </c>
      <c r="CC287" t="s">
        <v>1996</v>
      </c>
      <c r="CD287" t="s">
        <v>1997</v>
      </c>
      <c r="CE287">
        <v>90</v>
      </c>
      <c r="CF287">
        <v>46.6</v>
      </c>
      <c r="CG287">
        <v>87</v>
      </c>
      <c r="CH287">
        <v>1009</v>
      </c>
      <c r="CI287">
        <v>24</v>
      </c>
      <c r="CJ287">
        <v>63.8</v>
      </c>
      <c r="CK287">
        <v>92</v>
      </c>
      <c r="CL287">
        <v>87</v>
      </c>
      <c r="CM287">
        <v>90</v>
      </c>
      <c r="CN287">
        <v>31680</v>
      </c>
      <c r="CO287">
        <v>11.4</v>
      </c>
      <c r="CP287">
        <v>225</v>
      </c>
      <c r="CQ287">
        <v>0</v>
      </c>
      <c r="CR287">
        <v>0</v>
      </c>
      <c r="CS287">
        <v>0</v>
      </c>
      <c r="CT287" t="s">
        <v>1915</v>
      </c>
      <c r="CU287">
        <v>112</v>
      </c>
      <c r="CV287">
        <v>118</v>
      </c>
      <c r="CW287">
        <v>0.8</v>
      </c>
      <c r="CX287">
        <v>0.5</v>
      </c>
      <c r="CY287">
        <v>3</v>
      </c>
      <c r="CZ287">
        <v>3.1</v>
      </c>
      <c r="DA287">
        <v>1</v>
      </c>
      <c r="DB287">
        <v>1</v>
      </c>
      <c r="DC287">
        <v>0</v>
      </c>
      <c r="DD287">
        <v>0</v>
      </c>
      <c r="DE287">
        <v>0</v>
      </c>
      <c r="DF287">
        <v>0</v>
      </c>
      <c r="DG287">
        <v>135.25</v>
      </c>
      <c r="DH287">
        <v>27.59</v>
      </c>
      <c r="DI287">
        <v>0</v>
      </c>
      <c r="DJ287" t="s">
        <v>3914</v>
      </c>
      <c r="DM287">
        <v>13.17</v>
      </c>
      <c r="DN287">
        <v>239.8</v>
      </c>
      <c r="EL287">
        <v>0</v>
      </c>
      <c r="EM287" t="s">
        <v>1542</v>
      </c>
    </row>
    <row r="288" spans="1:143" x14ac:dyDescent="0.35">
      <c r="A288" t="s">
        <v>69</v>
      </c>
      <c r="B288" t="s">
        <v>1545</v>
      </c>
      <c r="C288" t="s">
        <v>116</v>
      </c>
      <c r="D288" t="s">
        <v>146</v>
      </c>
      <c r="G288" t="s">
        <v>3915</v>
      </c>
      <c r="I288" t="s">
        <v>2125</v>
      </c>
      <c r="K288" t="s">
        <v>3908</v>
      </c>
      <c r="L288" t="s">
        <v>1896</v>
      </c>
      <c r="M288" t="s">
        <v>3909</v>
      </c>
      <c r="N288" t="s">
        <v>1898</v>
      </c>
      <c r="R288" t="s">
        <v>119</v>
      </c>
      <c r="S288" t="s">
        <v>1546</v>
      </c>
      <c r="T288" t="s">
        <v>117</v>
      </c>
      <c r="Z288" t="s">
        <v>3916</v>
      </c>
      <c r="AB288">
        <v>4</v>
      </c>
      <c r="AC288">
        <v>6</v>
      </c>
      <c r="AD288" t="s">
        <v>1926</v>
      </c>
      <c r="AE288">
        <v>2010</v>
      </c>
      <c r="AG288" t="s">
        <v>2426</v>
      </c>
      <c r="AH288" t="s">
        <v>1903</v>
      </c>
      <c r="AI288">
        <v>9609400</v>
      </c>
      <c r="AJ288">
        <v>0</v>
      </c>
      <c r="AL288">
        <v>0</v>
      </c>
      <c r="AV288" t="s">
        <v>1546</v>
      </c>
      <c r="AX288" t="s">
        <v>1549</v>
      </c>
      <c r="BF288" t="s">
        <v>1906</v>
      </c>
      <c r="BG288" t="s">
        <v>3917</v>
      </c>
      <c r="BI288" t="s">
        <v>1546</v>
      </c>
      <c r="BK288" t="b">
        <v>0</v>
      </c>
      <c r="BM288" t="s">
        <v>1547</v>
      </c>
      <c r="BN288" t="s">
        <v>1547</v>
      </c>
      <c r="BO288" t="s">
        <v>1547</v>
      </c>
      <c r="BQ288" t="s">
        <v>3916</v>
      </c>
      <c r="BR288">
        <v>4</v>
      </c>
      <c r="BS288">
        <v>6</v>
      </c>
      <c r="BU288" t="s">
        <v>1908</v>
      </c>
      <c r="BV288">
        <v>0.1</v>
      </c>
      <c r="BW288" t="s">
        <v>1909</v>
      </c>
      <c r="BX288" t="s">
        <v>1949</v>
      </c>
      <c r="BY288" t="s">
        <v>1970</v>
      </c>
      <c r="CA288" t="s">
        <v>1910</v>
      </c>
      <c r="CB288" t="s">
        <v>3918</v>
      </c>
      <c r="CC288" t="s">
        <v>1961</v>
      </c>
      <c r="CD288" t="s">
        <v>1962</v>
      </c>
      <c r="CE288">
        <v>67.2</v>
      </c>
      <c r="CF288">
        <v>42.8</v>
      </c>
      <c r="CG288">
        <v>67.2</v>
      </c>
      <c r="CH288">
        <v>1010</v>
      </c>
      <c r="CI288">
        <v>48</v>
      </c>
      <c r="CJ288">
        <v>54.8</v>
      </c>
      <c r="CK288">
        <v>68.400000000000006</v>
      </c>
      <c r="CL288">
        <v>67.2</v>
      </c>
      <c r="CM288">
        <v>67.2</v>
      </c>
      <c r="CN288">
        <v>31680</v>
      </c>
      <c r="CO288">
        <v>12.1</v>
      </c>
      <c r="CP288">
        <v>333</v>
      </c>
      <c r="CQ288">
        <v>45</v>
      </c>
      <c r="CR288">
        <v>0</v>
      </c>
      <c r="CS288">
        <v>0</v>
      </c>
      <c r="CT288" t="s">
        <v>1915</v>
      </c>
      <c r="CU288">
        <v>138.8500061035156</v>
      </c>
      <c r="CV288">
        <v>78</v>
      </c>
      <c r="CW288">
        <v>4.1500000953674316</v>
      </c>
      <c r="CX288">
        <v>1.6499999761581421</v>
      </c>
      <c r="CY288">
        <v>3.8499999046325679</v>
      </c>
      <c r="CZ288">
        <v>4.5500001907348633</v>
      </c>
      <c r="DA288">
        <v>1</v>
      </c>
      <c r="DB288">
        <v>1</v>
      </c>
      <c r="DC288">
        <v>0</v>
      </c>
      <c r="DD288">
        <v>0</v>
      </c>
      <c r="DE288">
        <v>0</v>
      </c>
      <c r="DF288">
        <v>205.19</v>
      </c>
      <c r="DG288">
        <v>49.55</v>
      </c>
      <c r="DH288">
        <v>0.14000000000000001</v>
      </c>
      <c r="DI288">
        <v>0</v>
      </c>
      <c r="DJ288" t="s">
        <v>3914</v>
      </c>
      <c r="DK288" t="s">
        <v>3919</v>
      </c>
      <c r="DL288" t="s">
        <v>3920</v>
      </c>
      <c r="DM288">
        <v>13.17</v>
      </c>
      <c r="DN288">
        <v>239.8</v>
      </c>
      <c r="EL288">
        <v>0</v>
      </c>
      <c r="EM288" t="s">
        <v>1548</v>
      </c>
    </row>
    <row r="289" spans="1:143" x14ac:dyDescent="0.35">
      <c r="A289" t="s">
        <v>69</v>
      </c>
      <c r="B289" t="s">
        <v>1550</v>
      </c>
      <c r="C289" t="s">
        <v>116</v>
      </c>
      <c r="D289" t="s">
        <v>146</v>
      </c>
      <c r="K289" t="s">
        <v>2072</v>
      </c>
      <c r="L289" t="s">
        <v>1896</v>
      </c>
      <c r="M289" t="s">
        <v>2073</v>
      </c>
      <c r="N289" t="s">
        <v>1898</v>
      </c>
      <c r="R289" t="s">
        <v>119</v>
      </c>
      <c r="S289" t="s">
        <v>1551</v>
      </c>
      <c r="T289" t="s">
        <v>117</v>
      </c>
      <c r="V289" t="s">
        <v>2014</v>
      </c>
      <c r="W289" t="s">
        <v>1923</v>
      </c>
      <c r="X289" t="s">
        <v>81</v>
      </c>
      <c r="Z289" t="s">
        <v>3921</v>
      </c>
      <c r="AB289">
        <v>1</v>
      </c>
      <c r="AC289">
        <v>3</v>
      </c>
      <c r="AD289" t="s">
        <v>1966</v>
      </c>
      <c r="AJ289">
        <v>0</v>
      </c>
      <c r="AL289">
        <v>0</v>
      </c>
      <c r="AV289" t="s">
        <v>1551</v>
      </c>
      <c r="AW289" t="s">
        <v>1955</v>
      </c>
      <c r="AX289" t="s">
        <v>1554</v>
      </c>
      <c r="BF289" t="s">
        <v>2016</v>
      </c>
      <c r="BI289" t="s">
        <v>1551</v>
      </c>
      <c r="BK289" t="b">
        <v>0</v>
      </c>
      <c r="BM289" t="s">
        <v>1552</v>
      </c>
      <c r="BN289" t="s">
        <v>1552</v>
      </c>
      <c r="BO289" t="s">
        <v>1552</v>
      </c>
      <c r="BQ289" t="s">
        <v>3921</v>
      </c>
      <c r="BR289">
        <v>1</v>
      </c>
      <c r="BS289">
        <v>3</v>
      </c>
      <c r="CB289" t="s">
        <v>2166</v>
      </c>
      <c r="CC289" t="s">
        <v>1996</v>
      </c>
      <c r="CD289" t="s">
        <v>1997</v>
      </c>
      <c r="CE289">
        <v>89.2</v>
      </c>
      <c r="CF289">
        <v>61.7</v>
      </c>
      <c r="CG289">
        <v>90.2</v>
      </c>
      <c r="CH289">
        <v>1013</v>
      </c>
      <c r="CI289">
        <v>39</v>
      </c>
      <c r="CJ289">
        <v>66.7</v>
      </c>
      <c r="CK289">
        <v>91.6</v>
      </c>
      <c r="CL289">
        <v>90.2</v>
      </c>
      <c r="CM289">
        <v>89.2</v>
      </c>
      <c r="CN289">
        <v>31680</v>
      </c>
      <c r="CO289">
        <v>10.7</v>
      </c>
      <c r="CP289">
        <v>267</v>
      </c>
      <c r="CQ289">
        <v>10</v>
      </c>
      <c r="CR289">
        <v>0</v>
      </c>
      <c r="CS289">
        <v>0</v>
      </c>
      <c r="CT289" t="s">
        <v>1915</v>
      </c>
      <c r="CU289">
        <v>191.8500061035156</v>
      </c>
      <c r="CV289">
        <v>143</v>
      </c>
      <c r="CW289">
        <v>3.4500000476837158</v>
      </c>
      <c r="CX289">
        <v>1.8500000238418579</v>
      </c>
      <c r="CY289">
        <v>11.55000019073486</v>
      </c>
      <c r="CZ289">
        <v>13.64999961853027</v>
      </c>
      <c r="DA289">
        <v>1</v>
      </c>
      <c r="DB289">
        <v>1</v>
      </c>
      <c r="DC289">
        <v>0</v>
      </c>
      <c r="DD289">
        <v>0</v>
      </c>
      <c r="DE289">
        <v>25.37</v>
      </c>
      <c r="DF289">
        <v>1.26</v>
      </c>
      <c r="DG289">
        <v>6.55</v>
      </c>
      <c r="DH289">
        <v>0</v>
      </c>
      <c r="DI289">
        <v>0</v>
      </c>
      <c r="DJ289" t="s">
        <v>2078</v>
      </c>
      <c r="DM289">
        <v>20.079999999999998</v>
      </c>
      <c r="DN289">
        <v>282.10000000000002</v>
      </c>
      <c r="DO289" t="s">
        <v>2024</v>
      </c>
      <c r="EL289">
        <v>0</v>
      </c>
      <c r="EM289" t="s">
        <v>1553</v>
      </c>
    </row>
    <row r="290" spans="1:143" x14ac:dyDescent="0.35">
      <c r="A290" t="s">
        <v>69</v>
      </c>
      <c r="B290" t="s">
        <v>1555</v>
      </c>
      <c r="C290" t="s">
        <v>116</v>
      </c>
      <c r="D290" t="s">
        <v>146</v>
      </c>
      <c r="G290" t="s">
        <v>3915</v>
      </c>
      <c r="I290" t="s">
        <v>2125</v>
      </c>
      <c r="K290" t="s">
        <v>3908</v>
      </c>
      <c r="L290" t="s">
        <v>1896</v>
      </c>
      <c r="M290" t="s">
        <v>3909</v>
      </c>
      <c r="N290" t="s">
        <v>1898</v>
      </c>
      <c r="R290" t="s">
        <v>119</v>
      </c>
      <c r="S290" t="s">
        <v>1556</v>
      </c>
      <c r="T290" t="s">
        <v>117</v>
      </c>
      <c r="Y290" t="s">
        <v>2136</v>
      </c>
      <c r="Z290" t="s">
        <v>3922</v>
      </c>
      <c r="AB290">
        <v>1</v>
      </c>
      <c r="AC290">
        <v>2</v>
      </c>
      <c r="AD290" t="s">
        <v>1966</v>
      </c>
      <c r="AE290">
        <v>2010</v>
      </c>
      <c r="AG290" t="s">
        <v>2426</v>
      </c>
      <c r="AH290" t="s">
        <v>1903</v>
      </c>
      <c r="AI290">
        <v>9609400</v>
      </c>
      <c r="AJ290">
        <v>0</v>
      </c>
      <c r="AL290">
        <v>0</v>
      </c>
      <c r="AS290" t="b">
        <v>0</v>
      </c>
      <c r="AV290" t="s">
        <v>1556</v>
      </c>
      <c r="AX290" t="s">
        <v>1559</v>
      </c>
      <c r="AY290" t="b">
        <v>1</v>
      </c>
      <c r="AZ290" t="b">
        <v>1</v>
      </c>
      <c r="BA290" t="s">
        <v>1904</v>
      </c>
      <c r="BF290" t="s">
        <v>1906</v>
      </c>
      <c r="BG290" t="s">
        <v>3214</v>
      </c>
      <c r="BI290" t="s">
        <v>1556</v>
      </c>
      <c r="BM290" t="s">
        <v>1557</v>
      </c>
      <c r="BN290" t="s">
        <v>1557</v>
      </c>
      <c r="BO290" t="s">
        <v>1557</v>
      </c>
      <c r="BQ290" t="s">
        <v>3922</v>
      </c>
      <c r="BR290">
        <v>1</v>
      </c>
      <c r="BS290">
        <v>2</v>
      </c>
      <c r="BU290" t="s">
        <v>1908</v>
      </c>
      <c r="BW290" t="s">
        <v>2128</v>
      </c>
      <c r="BX290" t="s">
        <v>1949</v>
      </c>
      <c r="BY290" t="s">
        <v>1911</v>
      </c>
      <c r="CA290" t="s">
        <v>1950</v>
      </c>
      <c r="CB290" t="s">
        <v>3923</v>
      </c>
      <c r="CC290" t="s">
        <v>1996</v>
      </c>
      <c r="CD290" t="s">
        <v>1997</v>
      </c>
      <c r="CE290">
        <v>79.7</v>
      </c>
      <c r="CF290">
        <v>45.9</v>
      </c>
      <c r="CG290">
        <v>78.3</v>
      </c>
      <c r="CH290">
        <v>1015</v>
      </c>
      <c r="CI290">
        <v>30</v>
      </c>
      <c r="CJ290">
        <v>58.6</v>
      </c>
      <c r="CK290">
        <v>81.5</v>
      </c>
      <c r="CL290">
        <v>78.3</v>
      </c>
      <c r="CM290">
        <v>79.7</v>
      </c>
      <c r="CN290">
        <v>31680</v>
      </c>
      <c r="CO290">
        <v>8.3000000000000007</v>
      </c>
      <c r="CP290">
        <v>285</v>
      </c>
      <c r="CQ290">
        <v>7</v>
      </c>
      <c r="CR290">
        <v>0</v>
      </c>
      <c r="CS290">
        <v>0</v>
      </c>
      <c r="CT290" t="s">
        <v>1915</v>
      </c>
      <c r="CU290">
        <v>160.8500061035156</v>
      </c>
      <c r="CV290">
        <v>105</v>
      </c>
      <c r="CW290">
        <v>1.549999952316284</v>
      </c>
      <c r="CX290">
        <v>1.450000047683716</v>
      </c>
      <c r="CY290">
        <v>3.8499999046325679</v>
      </c>
      <c r="CZ290">
        <v>4.0500001907348633</v>
      </c>
      <c r="DA290">
        <v>1</v>
      </c>
      <c r="DB290">
        <v>1</v>
      </c>
      <c r="DC290">
        <v>0</v>
      </c>
      <c r="DD290">
        <v>0</v>
      </c>
      <c r="DE290">
        <v>62.34</v>
      </c>
      <c r="DF290">
        <v>17.93</v>
      </c>
      <c r="DG290">
        <v>1.56</v>
      </c>
      <c r="DH290">
        <v>0</v>
      </c>
      <c r="DI290">
        <v>0</v>
      </c>
      <c r="DJ290" t="s">
        <v>3914</v>
      </c>
      <c r="DM290">
        <v>13.17</v>
      </c>
      <c r="DN290">
        <v>239.8</v>
      </c>
      <c r="EL290">
        <v>0</v>
      </c>
      <c r="EM290" t="s">
        <v>1558</v>
      </c>
    </row>
    <row r="291" spans="1:143" x14ac:dyDescent="0.35">
      <c r="A291" t="s">
        <v>69</v>
      </c>
      <c r="B291" t="s">
        <v>1560</v>
      </c>
      <c r="C291" t="s">
        <v>116</v>
      </c>
      <c r="D291" t="s">
        <v>146</v>
      </c>
      <c r="G291" t="s">
        <v>2509</v>
      </c>
      <c r="I291" t="s">
        <v>2226</v>
      </c>
      <c r="K291" t="s">
        <v>3908</v>
      </c>
      <c r="L291" t="s">
        <v>1896</v>
      </c>
      <c r="M291" t="s">
        <v>3909</v>
      </c>
      <c r="N291" t="s">
        <v>1898</v>
      </c>
      <c r="R291" t="s">
        <v>119</v>
      </c>
      <c r="S291" t="s">
        <v>1561</v>
      </c>
      <c r="T291" t="s">
        <v>117</v>
      </c>
      <c r="Z291" t="s">
        <v>3924</v>
      </c>
      <c r="AB291">
        <v>4</v>
      </c>
      <c r="AC291">
        <v>5</v>
      </c>
      <c r="AD291" t="s">
        <v>2273</v>
      </c>
      <c r="AJ291">
        <v>0</v>
      </c>
      <c r="AL291">
        <v>0</v>
      </c>
      <c r="AV291" t="s">
        <v>1561</v>
      </c>
      <c r="AX291" t="s">
        <v>1564</v>
      </c>
      <c r="BF291" t="s">
        <v>2016</v>
      </c>
      <c r="BI291" t="s">
        <v>1561</v>
      </c>
      <c r="BM291" t="s">
        <v>1562</v>
      </c>
      <c r="BN291" t="s">
        <v>1562</v>
      </c>
      <c r="BO291" t="s">
        <v>1562</v>
      </c>
      <c r="BQ291" t="s">
        <v>3924</v>
      </c>
      <c r="BR291">
        <v>4</v>
      </c>
      <c r="BS291">
        <v>5</v>
      </c>
      <c r="BU291" t="s">
        <v>1908</v>
      </c>
      <c r="BW291" t="s">
        <v>1934</v>
      </c>
      <c r="BX291" t="s">
        <v>1910</v>
      </c>
      <c r="BY291" t="s">
        <v>1911</v>
      </c>
      <c r="CB291" t="s">
        <v>3925</v>
      </c>
      <c r="CC291" t="s">
        <v>1996</v>
      </c>
      <c r="CD291" t="s">
        <v>1997</v>
      </c>
      <c r="CE291">
        <v>45.3</v>
      </c>
      <c r="CF291">
        <v>33.1</v>
      </c>
      <c r="CG291">
        <v>43.6</v>
      </c>
      <c r="CH291">
        <v>1021</v>
      </c>
      <c r="CI291">
        <v>65</v>
      </c>
      <c r="CJ291">
        <v>40.299999999999997</v>
      </c>
      <c r="CK291">
        <v>61.5</v>
      </c>
      <c r="CL291">
        <v>45.3</v>
      </c>
      <c r="CM291">
        <v>43.6</v>
      </c>
      <c r="CN291">
        <v>31680</v>
      </c>
      <c r="CO291">
        <v>3.8</v>
      </c>
      <c r="CP291">
        <v>321</v>
      </c>
      <c r="CQ291">
        <v>12</v>
      </c>
      <c r="CR291">
        <v>0</v>
      </c>
      <c r="CS291">
        <v>0</v>
      </c>
      <c r="CT291" t="s">
        <v>1915</v>
      </c>
      <c r="CU291">
        <v>148.8500061035156</v>
      </c>
      <c r="CV291">
        <v>62</v>
      </c>
      <c r="CW291">
        <v>4.1500000953674316</v>
      </c>
      <c r="CX291">
        <v>2.0499999523162842</v>
      </c>
      <c r="CY291">
        <v>2.8499999046325679</v>
      </c>
      <c r="CZ291">
        <v>2.9500000476837158</v>
      </c>
      <c r="DA291">
        <v>1</v>
      </c>
      <c r="DB291">
        <v>1</v>
      </c>
      <c r="DC291">
        <v>0</v>
      </c>
      <c r="DD291">
        <v>0</v>
      </c>
      <c r="DE291">
        <v>28.3</v>
      </c>
      <c r="DF291">
        <v>21.37</v>
      </c>
      <c r="DG291">
        <v>0</v>
      </c>
      <c r="DH291">
        <v>0</v>
      </c>
      <c r="DI291">
        <v>0</v>
      </c>
      <c r="DJ291" t="s">
        <v>3914</v>
      </c>
      <c r="DM291">
        <v>13.17</v>
      </c>
      <c r="DN291">
        <v>239.8</v>
      </c>
      <c r="DO291" t="s">
        <v>2070</v>
      </c>
      <c r="EL291">
        <v>0</v>
      </c>
      <c r="EM291" t="s">
        <v>1563</v>
      </c>
    </row>
    <row r="292" spans="1:143" x14ac:dyDescent="0.35">
      <c r="A292" t="s">
        <v>69</v>
      </c>
      <c r="B292" t="s">
        <v>1565</v>
      </c>
      <c r="C292" t="s">
        <v>116</v>
      </c>
      <c r="D292" t="s">
        <v>146</v>
      </c>
      <c r="G292" t="s">
        <v>3885</v>
      </c>
      <c r="K292" t="s">
        <v>2097</v>
      </c>
      <c r="L292" t="s">
        <v>1896</v>
      </c>
      <c r="M292" t="s">
        <v>2098</v>
      </c>
      <c r="N292" t="s">
        <v>1898</v>
      </c>
      <c r="R292" t="s">
        <v>119</v>
      </c>
      <c r="S292" t="s">
        <v>1566</v>
      </c>
      <c r="T292" t="s">
        <v>117</v>
      </c>
      <c r="V292" t="s">
        <v>2014</v>
      </c>
      <c r="W292" t="s">
        <v>1923</v>
      </c>
      <c r="X292" t="s">
        <v>36</v>
      </c>
      <c r="Z292" t="s">
        <v>3926</v>
      </c>
      <c r="AB292">
        <v>2</v>
      </c>
      <c r="AC292">
        <v>5</v>
      </c>
      <c r="AJ292">
        <v>0</v>
      </c>
      <c r="AL292">
        <v>0</v>
      </c>
      <c r="AV292" t="s">
        <v>1566</v>
      </c>
      <c r="AX292" t="s">
        <v>1569</v>
      </c>
      <c r="BF292" t="s">
        <v>1906</v>
      </c>
      <c r="BG292" t="s">
        <v>2074</v>
      </c>
      <c r="BI292" t="s">
        <v>1566</v>
      </c>
      <c r="BM292" t="s">
        <v>1567</v>
      </c>
      <c r="BN292" t="s">
        <v>1567</v>
      </c>
      <c r="BO292" t="s">
        <v>1567</v>
      </c>
      <c r="BQ292" t="s">
        <v>3926</v>
      </c>
      <c r="BR292">
        <v>2</v>
      </c>
      <c r="BS292">
        <v>5</v>
      </c>
      <c r="BT292" t="s">
        <v>3927</v>
      </c>
      <c r="CB292" t="s">
        <v>2333</v>
      </c>
      <c r="CC292" t="s">
        <v>1996</v>
      </c>
      <c r="CD292" t="s">
        <v>1997</v>
      </c>
      <c r="CE292">
        <v>78.099999999999994</v>
      </c>
      <c r="CF292">
        <v>50.7</v>
      </c>
      <c r="CG292">
        <v>78.3</v>
      </c>
      <c r="CH292">
        <v>1007</v>
      </c>
      <c r="CI292">
        <v>37</v>
      </c>
      <c r="CJ292">
        <v>49.5</v>
      </c>
      <c r="CK292">
        <v>78.099999999999994</v>
      </c>
      <c r="CL292">
        <v>78.3</v>
      </c>
      <c r="CM292">
        <v>78.099999999999994</v>
      </c>
      <c r="CN292">
        <v>31680</v>
      </c>
      <c r="CO292">
        <v>15.7</v>
      </c>
      <c r="CP292">
        <v>224</v>
      </c>
      <c r="CQ292">
        <v>21</v>
      </c>
      <c r="CR292">
        <v>0</v>
      </c>
      <c r="CS292">
        <v>0</v>
      </c>
      <c r="CT292" t="s">
        <v>1915</v>
      </c>
      <c r="CU292">
        <v>161.8500061035156</v>
      </c>
      <c r="CV292">
        <v>137</v>
      </c>
      <c r="CW292">
        <v>3.3499999046325679</v>
      </c>
      <c r="CX292">
        <v>3.8499999046325679</v>
      </c>
      <c r="CY292">
        <v>11.14999961853027</v>
      </c>
      <c r="CZ292">
        <v>12.14999961853027</v>
      </c>
      <c r="DA292">
        <v>1</v>
      </c>
      <c r="DB292">
        <v>1</v>
      </c>
      <c r="DC292">
        <v>0</v>
      </c>
      <c r="DD292">
        <v>0</v>
      </c>
      <c r="DE292">
        <v>333.65</v>
      </c>
      <c r="DF292">
        <v>413.84</v>
      </c>
      <c r="DG292">
        <v>0</v>
      </c>
      <c r="DH292">
        <v>0</v>
      </c>
      <c r="DI292">
        <v>0</v>
      </c>
      <c r="DJ292" t="s">
        <v>2101</v>
      </c>
      <c r="DM292">
        <v>27.98</v>
      </c>
      <c r="DN292">
        <v>301.7</v>
      </c>
      <c r="EL292">
        <v>0</v>
      </c>
      <c r="EM292" t="s">
        <v>1568</v>
      </c>
    </row>
    <row r="293" spans="1:143" x14ac:dyDescent="0.35">
      <c r="A293" t="s">
        <v>69</v>
      </c>
      <c r="B293" t="s">
        <v>1570</v>
      </c>
      <c r="C293" t="s">
        <v>116</v>
      </c>
      <c r="D293" t="s">
        <v>146</v>
      </c>
      <c r="G293" t="s">
        <v>3915</v>
      </c>
      <c r="I293" t="s">
        <v>2125</v>
      </c>
      <c r="K293" t="s">
        <v>3908</v>
      </c>
      <c r="L293" t="s">
        <v>1896</v>
      </c>
      <c r="M293" t="s">
        <v>3909</v>
      </c>
      <c r="N293" t="s">
        <v>1898</v>
      </c>
      <c r="R293" t="s">
        <v>119</v>
      </c>
      <c r="S293" t="s">
        <v>1571</v>
      </c>
      <c r="T293" t="s">
        <v>117</v>
      </c>
      <c r="Z293" t="s">
        <v>3928</v>
      </c>
      <c r="AB293">
        <v>5</v>
      </c>
      <c r="AC293">
        <v>7</v>
      </c>
      <c r="AE293">
        <v>2010</v>
      </c>
      <c r="AG293" t="s">
        <v>2426</v>
      </c>
      <c r="AH293" t="s">
        <v>1903</v>
      </c>
      <c r="AI293">
        <v>9609400</v>
      </c>
      <c r="AJ293">
        <v>0</v>
      </c>
      <c r="AL293">
        <v>0</v>
      </c>
      <c r="AS293" t="b">
        <v>0</v>
      </c>
      <c r="AV293" t="s">
        <v>1571</v>
      </c>
      <c r="AX293" t="s">
        <v>1574</v>
      </c>
      <c r="AY293" t="b">
        <v>1</v>
      </c>
      <c r="AZ293" t="b">
        <v>1</v>
      </c>
      <c r="BA293" t="s">
        <v>3929</v>
      </c>
      <c r="BC293" t="s">
        <v>2126</v>
      </c>
      <c r="BF293" t="s">
        <v>1906</v>
      </c>
      <c r="BG293" t="s">
        <v>3930</v>
      </c>
      <c r="BI293" t="s">
        <v>1571</v>
      </c>
      <c r="BK293" t="b">
        <v>0</v>
      </c>
      <c r="BM293" t="s">
        <v>1572</v>
      </c>
      <c r="BN293" t="s">
        <v>1572</v>
      </c>
      <c r="BO293" t="s">
        <v>1572</v>
      </c>
      <c r="BQ293" t="s">
        <v>3928</v>
      </c>
      <c r="BR293">
        <v>5</v>
      </c>
      <c r="BS293">
        <v>7</v>
      </c>
      <c r="BU293" t="s">
        <v>1908</v>
      </c>
      <c r="BV293">
        <v>0.1</v>
      </c>
      <c r="BW293" t="s">
        <v>1909</v>
      </c>
      <c r="BX293" t="s">
        <v>1949</v>
      </c>
      <c r="BY293" t="s">
        <v>2033</v>
      </c>
      <c r="BZ293" t="s">
        <v>2722</v>
      </c>
      <c r="CA293" t="s">
        <v>1950</v>
      </c>
      <c r="CB293" t="s">
        <v>3097</v>
      </c>
      <c r="CC293" t="s">
        <v>1938</v>
      </c>
      <c r="CD293" t="s">
        <v>1939</v>
      </c>
      <c r="CE293">
        <v>63</v>
      </c>
      <c r="CF293">
        <v>40.6</v>
      </c>
      <c r="CG293">
        <v>63</v>
      </c>
      <c r="CH293">
        <v>1010</v>
      </c>
      <c r="CI293">
        <v>42</v>
      </c>
      <c r="CJ293">
        <v>40.299999999999997</v>
      </c>
      <c r="CK293">
        <v>65.8</v>
      </c>
      <c r="CL293">
        <v>63</v>
      </c>
      <c r="CM293">
        <v>63</v>
      </c>
      <c r="CN293">
        <v>31680</v>
      </c>
      <c r="CO293">
        <v>15.7</v>
      </c>
      <c r="CP293">
        <v>265</v>
      </c>
      <c r="CQ293">
        <v>82</v>
      </c>
      <c r="CR293">
        <v>0</v>
      </c>
      <c r="CS293">
        <v>0</v>
      </c>
      <c r="CT293" t="s">
        <v>1915</v>
      </c>
      <c r="CU293">
        <v>166.8500061035156</v>
      </c>
      <c r="CV293">
        <v>100</v>
      </c>
      <c r="CW293">
        <v>5.8499999046325684</v>
      </c>
      <c r="CX293">
        <v>6.9499998092651367</v>
      </c>
      <c r="CY293">
        <v>9.25</v>
      </c>
      <c r="CZ293">
        <v>10.05000019073486</v>
      </c>
      <c r="DA293">
        <v>1</v>
      </c>
      <c r="DB293">
        <v>1</v>
      </c>
      <c r="DC293">
        <v>0</v>
      </c>
      <c r="DD293">
        <v>0</v>
      </c>
      <c r="DE293">
        <v>296.3</v>
      </c>
      <c r="DF293">
        <v>313.72000000000003</v>
      </c>
      <c r="DG293">
        <v>0</v>
      </c>
      <c r="DH293">
        <v>0</v>
      </c>
      <c r="DI293">
        <v>0</v>
      </c>
      <c r="DJ293" t="s">
        <v>3914</v>
      </c>
      <c r="DM293">
        <v>13.17</v>
      </c>
      <c r="DN293">
        <v>239.8</v>
      </c>
      <c r="EL293">
        <v>0</v>
      </c>
      <c r="EM293" t="s">
        <v>1573</v>
      </c>
    </row>
    <row r="294" spans="1:143" x14ac:dyDescent="0.35">
      <c r="A294" t="s">
        <v>71</v>
      </c>
      <c r="B294" t="s">
        <v>1575</v>
      </c>
      <c r="C294" t="s">
        <v>116</v>
      </c>
      <c r="D294" t="s">
        <v>120</v>
      </c>
      <c r="E294">
        <v>116</v>
      </c>
      <c r="G294" t="s">
        <v>2706</v>
      </c>
      <c r="L294" t="s">
        <v>1896</v>
      </c>
      <c r="M294" t="s">
        <v>3477</v>
      </c>
      <c r="N294" t="s">
        <v>2152</v>
      </c>
      <c r="R294" t="s">
        <v>119</v>
      </c>
      <c r="S294" t="s">
        <v>1576</v>
      </c>
      <c r="T294" t="s">
        <v>117</v>
      </c>
      <c r="Y294" t="s">
        <v>2136</v>
      </c>
      <c r="Z294" t="s">
        <v>3931</v>
      </c>
      <c r="AA294" t="s">
        <v>3932</v>
      </c>
      <c r="AB294">
        <v>1</v>
      </c>
      <c r="AC294">
        <v>2</v>
      </c>
      <c r="AD294" t="s">
        <v>1966</v>
      </c>
      <c r="AE294">
        <v>2002</v>
      </c>
      <c r="AG294" t="s">
        <v>3335</v>
      </c>
      <c r="AH294" t="s">
        <v>1903</v>
      </c>
      <c r="AI294">
        <v>66600</v>
      </c>
      <c r="AJ294">
        <v>0</v>
      </c>
      <c r="AL294">
        <v>0</v>
      </c>
      <c r="AS294" t="b">
        <v>0</v>
      </c>
      <c r="AV294" t="s">
        <v>1576</v>
      </c>
      <c r="AX294" t="s">
        <v>1579</v>
      </c>
      <c r="BD294" t="s">
        <v>3933</v>
      </c>
      <c r="BF294" t="s">
        <v>1906</v>
      </c>
      <c r="BG294" t="s">
        <v>1907</v>
      </c>
      <c r="BI294" t="s">
        <v>1576</v>
      </c>
      <c r="BL294" t="s">
        <v>3934</v>
      </c>
      <c r="BM294" t="s">
        <v>1577</v>
      </c>
      <c r="BN294" t="s">
        <v>1577</v>
      </c>
      <c r="BO294" t="s">
        <v>1577</v>
      </c>
      <c r="BP294" t="s">
        <v>3935</v>
      </c>
      <c r="BQ294" t="s">
        <v>3931</v>
      </c>
      <c r="BR294">
        <v>1</v>
      </c>
      <c r="BS294">
        <v>2</v>
      </c>
      <c r="BU294" t="s">
        <v>1908</v>
      </c>
      <c r="BW294" t="s">
        <v>1934</v>
      </c>
      <c r="BX294" t="s">
        <v>1949</v>
      </c>
      <c r="BY294" t="s">
        <v>1911</v>
      </c>
      <c r="BZ294" t="s">
        <v>1910</v>
      </c>
      <c r="CB294" t="s">
        <v>3936</v>
      </c>
      <c r="CC294" t="s">
        <v>1996</v>
      </c>
      <c r="CD294" t="s">
        <v>1997</v>
      </c>
      <c r="CE294">
        <v>83.5</v>
      </c>
      <c r="CF294">
        <v>53.7</v>
      </c>
      <c r="CG294">
        <v>82.5</v>
      </c>
      <c r="CH294">
        <v>1020</v>
      </c>
      <c r="CI294">
        <v>36</v>
      </c>
      <c r="CJ294">
        <v>59.9</v>
      </c>
      <c r="CK294">
        <v>83.5</v>
      </c>
      <c r="CL294">
        <v>82.5</v>
      </c>
      <c r="CM294">
        <v>83.5</v>
      </c>
      <c r="CN294">
        <v>31680</v>
      </c>
      <c r="CO294">
        <v>5.4</v>
      </c>
      <c r="CP294">
        <v>76</v>
      </c>
      <c r="CQ294">
        <v>21</v>
      </c>
      <c r="CR294">
        <v>0</v>
      </c>
      <c r="CS294">
        <v>0</v>
      </c>
      <c r="CT294" t="s">
        <v>1915</v>
      </c>
      <c r="CU294">
        <v>126</v>
      </c>
      <c r="CV294">
        <v>108</v>
      </c>
      <c r="CW294">
        <v>1</v>
      </c>
      <c r="CX294">
        <v>0.5</v>
      </c>
      <c r="CY294">
        <v>3.1</v>
      </c>
      <c r="CZ294">
        <v>3.7</v>
      </c>
      <c r="DA294">
        <v>1</v>
      </c>
      <c r="DB294">
        <v>1</v>
      </c>
      <c r="DC294">
        <v>0</v>
      </c>
      <c r="DD294">
        <v>0</v>
      </c>
      <c r="DE294">
        <v>0</v>
      </c>
      <c r="DF294">
        <v>0</v>
      </c>
      <c r="DG294">
        <v>234.12</v>
      </c>
      <c r="DH294">
        <v>133.27000000000001</v>
      </c>
      <c r="DI294">
        <v>0</v>
      </c>
      <c r="DJ294" t="s">
        <v>3485</v>
      </c>
      <c r="DK294" t="s">
        <v>3486</v>
      </c>
      <c r="DL294" t="s">
        <v>1961</v>
      </c>
      <c r="DM294">
        <v>4.92</v>
      </c>
      <c r="DN294">
        <v>645.1</v>
      </c>
      <c r="EK294" t="s">
        <v>3937</v>
      </c>
      <c r="EL294">
        <v>0</v>
      </c>
      <c r="EM294" t="s">
        <v>1578</v>
      </c>
    </row>
    <row r="295" spans="1:143" x14ac:dyDescent="0.35">
      <c r="A295" t="s">
        <v>71</v>
      </c>
      <c r="B295" t="s">
        <v>1580</v>
      </c>
      <c r="C295" t="s">
        <v>116</v>
      </c>
      <c r="D295" t="s">
        <v>120</v>
      </c>
      <c r="E295">
        <v>98</v>
      </c>
      <c r="G295" t="s">
        <v>3004</v>
      </c>
      <c r="L295" t="s">
        <v>1896</v>
      </c>
      <c r="M295" t="s">
        <v>3477</v>
      </c>
      <c r="N295" t="s">
        <v>2152</v>
      </c>
      <c r="R295" t="s">
        <v>119</v>
      </c>
      <c r="S295" t="s">
        <v>1581</v>
      </c>
      <c r="T295" t="s">
        <v>117</v>
      </c>
      <c r="Z295" t="s">
        <v>3938</v>
      </c>
      <c r="AA295" t="s">
        <v>3939</v>
      </c>
      <c r="AB295">
        <v>2</v>
      </c>
      <c r="AC295">
        <v>3</v>
      </c>
      <c r="AD295" t="s">
        <v>2221</v>
      </c>
      <c r="AE295">
        <v>1949</v>
      </c>
      <c r="AF295" t="s">
        <v>3480</v>
      </c>
      <c r="AG295" t="s">
        <v>1928</v>
      </c>
      <c r="AH295" t="s">
        <v>1929</v>
      </c>
      <c r="AI295">
        <v>49700</v>
      </c>
      <c r="AJ295">
        <v>0</v>
      </c>
      <c r="AL295">
        <v>0</v>
      </c>
      <c r="AS295" t="b">
        <v>0</v>
      </c>
      <c r="AV295" t="s">
        <v>1581</v>
      </c>
      <c r="AW295" t="s">
        <v>3940</v>
      </c>
      <c r="AX295" t="s">
        <v>1584</v>
      </c>
      <c r="BD295" t="s">
        <v>3941</v>
      </c>
      <c r="BF295" t="s">
        <v>1906</v>
      </c>
      <c r="BG295" t="s">
        <v>2235</v>
      </c>
      <c r="BI295" t="s">
        <v>1581</v>
      </c>
      <c r="BL295" t="s">
        <v>3942</v>
      </c>
      <c r="BM295" t="s">
        <v>1582</v>
      </c>
      <c r="BN295" t="s">
        <v>1582</v>
      </c>
      <c r="BO295" t="s">
        <v>1582</v>
      </c>
      <c r="BP295" t="s">
        <v>3943</v>
      </c>
      <c r="BQ295" t="s">
        <v>3938</v>
      </c>
      <c r="BR295">
        <v>2</v>
      </c>
      <c r="BS295">
        <v>3</v>
      </c>
      <c r="BU295" t="s">
        <v>1908</v>
      </c>
      <c r="BW295" t="s">
        <v>1934</v>
      </c>
      <c r="BX295" t="s">
        <v>1910</v>
      </c>
      <c r="BY295" t="s">
        <v>1911</v>
      </c>
      <c r="BZ295" t="s">
        <v>1910</v>
      </c>
      <c r="CB295" t="s">
        <v>3944</v>
      </c>
      <c r="CC295" t="s">
        <v>1996</v>
      </c>
      <c r="CD295" t="s">
        <v>1997</v>
      </c>
      <c r="CE295">
        <v>52.3</v>
      </c>
      <c r="CF295">
        <v>29.8</v>
      </c>
      <c r="CG295">
        <v>49.1</v>
      </c>
      <c r="CH295">
        <v>1034</v>
      </c>
      <c r="CI295">
        <v>37</v>
      </c>
      <c r="CJ295">
        <v>31.4</v>
      </c>
      <c r="CK295">
        <v>55.6</v>
      </c>
      <c r="CL295">
        <v>52.3</v>
      </c>
      <c r="CM295">
        <v>49.1</v>
      </c>
      <c r="CN295">
        <v>31680</v>
      </c>
      <c r="CO295">
        <v>9.4</v>
      </c>
      <c r="CP295">
        <v>168</v>
      </c>
      <c r="CQ295">
        <v>0</v>
      </c>
      <c r="CR295">
        <v>0</v>
      </c>
      <c r="CS295">
        <v>0</v>
      </c>
      <c r="CT295" t="s">
        <v>1915</v>
      </c>
      <c r="CU295">
        <v>163.8500061035156</v>
      </c>
      <c r="CV295">
        <v>109</v>
      </c>
      <c r="CW295">
        <v>3.4500000476837158</v>
      </c>
      <c r="CX295">
        <v>1.8500000238418579</v>
      </c>
      <c r="CY295">
        <v>4.6500000953674316</v>
      </c>
      <c r="CZ295">
        <v>7.0500001907348633</v>
      </c>
      <c r="DA295">
        <v>1</v>
      </c>
      <c r="DB295">
        <v>1</v>
      </c>
      <c r="DC295">
        <v>0</v>
      </c>
      <c r="DD295">
        <v>3.79</v>
      </c>
      <c r="DE295">
        <v>85.98</v>
      </c>
      <c r="DF295">
        <v>136.13999999999999</v>
      </c>
      <c r="DG295">
        <v>0</v>
      </c>
      <c r="DH295">
        <v>0</v>
      </c>
      <c r="DI295">
        <v>0</v>
      </c>
      <c r="DJ295" t="s">
        <v>3485</v>
      </c>
      <c r="DK295" t="s">
        <v>3486</v>
      </c>
      <c r="DL295" t="s">
        <v>1918</v>
      </c>
      <c r="DM295">
        <v>4.92</v>
      </c>
      <c r="DN295">
        <v>645.1</v>
      </c>
      <c r="EK295" t="s">
        <v>3945</v>
      </c>
      <c r="EL295">
        <v>0</v>
      </c>
      <c r="EM295" t="s">
        <v>1583</v>
      </c>
    </row>
    <row r="296" spans="1:143" x14ac:dyDescent="0.35">
      <c r="A296" t="s">
        <v>73</v>
      </c>
      <c r="B296" t="s">
        <v>1585</v>
      </c>
      <c r="C296" t="s">
        <v>116</v>
      </c>
      <c r="D296" t="s">
        <v>120</v>
      </c>
      <c r="G296" t="s">
        <v>3946</v>
      </c>
      <c r="K296" t="s">
        <v>3947</v>
      </c>
      <c r="L296" t="s">
        <v>1896</v>
      </c>
      <c r="M296" t="s">
        <v>3948</v>
      </c>
      <c r="R296" t="s">
        <v>119</v>
      </c>
      <c r="S296" t="s">
        <v>1586</v>
      </c>
      <c r="T296" t="s">
        <v>117</v>
      </c>
      <c r="Z296" t="s">
        <v>3949</v>
      </c>
      <c r="AB296">
        <v>3</v>
      </c>
      <c r="AC296">
        <v>0</v>
      </c>
      <c r="AJ296">
        <v>0</v>
      </c>
      <c r="AL296">
        <v>0</v>
      </c>
      <c r="AS296" t="b">
        <v>0</v>
      </c>
      <c r="AT296">
        <v>0</v>
      </c>
      <c r="AV296" t="s">
        <v>1586</v>
      </c>
      <c r="AX296" t="s">
        <v>1589</v>
      </c>
      <c r="AY296" t="b">
        <v>1</v>
      </c>
      <c r="AZ296" t="b">
        <v>1</v>
      </c>
      <c r="BA296" t="s">
        <v>3950</v>
      </c>
      <c r="BD296" t="s">
        <v>3951</v>
      </c>
      <c r="BF296" t="s">
        <v>1906</v>
      </c>
      <c r="BI296" t="s">
        <v>1586</v>
      </c>
      <c r="BK296" t="b">
        <v>0</v>
      </c>
      <c r="BM296" t="s">
        <v>1587</v>
      </c>
      <c r="BN296" t="s">
        <v>1587</v>
      </c>
      <c r="BO296" t="s">
        <v>1587</v>
      </c>
      <c r="BP296" t="s">
        <v>3952</v>
      </c>
      <c r="BQ296" t="s">
        <v>3949</v>
      </c>
      <c r="BR296">
        <v>3</v>
      </c>
      <c r="BS296">
        <v>0</v>
      </c>
      <c r="BU296" t="s">
        <v>1908</v>
      </c>
      <c r="BV296">
        <v>0</v>
      </c>
      <c r="BW296" t="s">
        <v>1934</v>
      </c>
      <c r="BX296" t="s">
        <v>1949</v>
      </c>
      <c r="BY296" t="s">
        <v>2039</v>
      </c>
      <c r="BZ296" t="s">
        <v>1910</v>
      </c>
      <c r="CA296" t="s">
        <v>1950</v>
      </c>
      <c r="CB296" t="s">
        <v>3953</v>
      </c>
      <c r="CC296" t="s">
        <v>1996</v>
      </c>
      <c r="CD296" t="s">
        <v>1997</v>
      </c>
      <c r="CE296">
        <v>82</v>
      </c>
      <c r="CF296">
        <v>50.5</v>
      </c>
      <c r="CG296">
        <v>80.7</v>
      </c>
      <c r="CH296">
        <v>1015</v>
      </c>
      <c r="CI296">
        <v>33</v>
      </c>
      <c r="CJ296">
        <v>56.8</v>
      </c>
      <c r="CK296">
        <v>82</v>
      </c>
      <c r="CL296">
        <v>80.7</v>
      </c>
      <c r="CM296">
        <v>82</v>
      </c>
      <c r="CN296">
        <v>31680</v>
      </c>
      <c r="CO296">
        <v>9.6</v>
      </c>
      <c r="CP296">
        <v>292</v>
      </c>
      <c r="CQ296">
        <v>14</v>
      </c>
      <c r="CR296">
        <v>0</v>
      </c>
      <c r="CS296">
        <v>0</v>
      </c>
      <c r="CT296" t="s">
        <v>1915</v>
      </c>
      <c r="CU296">
        <v>148.8500061035156</v>
      </c>
      <c r="CV296">
        <v>102</v>
      </c>
      <c r="CW296">
        <v>1.75</v>
      </c>
      <c r="CX296">
        <v>1.3500000238418579</v>
      </c>
      <c r="CY296">
        <v>3.1500000953674321</v>
      </c>
      <c r="CZ296">
        <v>3.4500000476837158</v>
      </c>
      <c r="DA296">
        <v>1</v>
      </c>
      <c r="DB296">
        <v>1</v>
      </c>
      <c r="DC296">
        <v>0</v>
      </c>
      <c r="DD296">
        <v>0</v>
      </c>
      <c r="DE296">
        <v>37.51</v>
      </c>
      <c r="DF296">
        <v>5.28</v>
      </c>
      <c r="DG296">
        <v>3.09</v>
      </c>
      <c r="DH296">
        <v>0</v>
      </c>
      <c r="DI296">
        <v>0</v>
      </c>
      <c r="DJ296" t="s">
        <v>3954</v>
      </c>
      <c r="DM296">
        <v>3.36</v>
      </c>
      <c r="DN296">
        <v>1831</v>
      </c>
      <c r="DR296" t="s">
        <v>2039</v>
      </c>
      <c r="DS296">
        <v>746095</v>
      </c>
      <c r="DT296" t="s">
        <v>3955</v>
      </c>
      <c r="DU296" t="s">
        <v>2039</v>
      </c>
      <c r="DV296" t="s">
        <v>2039</v>
      </c>
      <c r="DW296" t="s">
        <v>2039</v>
      </c>
      <c r="EL296">
        <v>0</v>
      </c>
      <c r="EM296" t="s">
        <v>1588</v>
      </c>
    </row>
    <row r="297" spans="1:143" x14ac:dyDescent="0.35">
      <c r="A297" t="s">
        <v>73</v>
      </c>
      <c r="B297" t="s">
        <v>1590</v>
      </c>
      <c r="C297" t="s">
        <v>116</v>
      </c>
      <c r="D297" t="s">
        <v>120</v>
      </c>
      <c r="E297">
        <v>19</v>
      </c>
      <c r="G297" t="s">
        <v>3956</v>
      </c>
      <c r="K297" t="s">
        <v>3947</v>
      </c>
      <c r="L297" t="s">
        <v>1896</v>
      </c>
      <c r="M297" t="s">
        <v>3957</v>
      </c>
      <c r="R297" t="s">
        <v>119</v>
      </c>
      <c r="S297" t="s">
        <v>1591</v>
      </c>
      <c r="T297" t="s">
        <v>117</v>
      </c>
      <c r="Z297" t="s">
        <v>3958</v>
      </c>
      <c r="AB297">
        <v>2</v>
      </c>
      <c r="AC297">
        <v>0</v>
      </c>
      <c r="AG297" t="s">
        <v>2234</v>
      </c>
      <c r="AH297" t="s">
        <v>1903</v>
      </c>
      <c r="AI297">
        <v>128000</v>
      </c>
      <c r="AJ297">
        <v>0</v>
      </c>
      <c r="AL297">
        <v>0</v>
      </c>
      <c r="AS297" t="b">
        <v>0</v>
      </c>
      <c r="AT297">
        <v>0</v>
      </c>
      <c r="AV297" t="s">
        <v>1591</v>
      </c>
      <c r="AX297" t="s">
        <v>1594</v>
      </c>
      <c r="BD297" t="s">
        <v>3959</v>
      </c>
      <c r="BF297" t="s">
        <v>1906</v>
      </c>
      <c r="BI297" t="s">
        <v>1591</v>
      </c>
      <c r="BK297" t="b">
        <v>0</v>
      </c>
      <c r="BM297" t="s">
        <v>1592</v>
      </c>
      <c r="BN297" t="s">
        <v>1592</v>
      </c>
      <c r="BO297" t="s">
        <v>1592</v>
      </c>
      <c r="BP297" t="s">
        <v>3960</v>
      </c>
      <c r="BQ297" t="s">
        <v>3958</v>
      </c>
      <c r="BR297">
        <v>2</v>
      </c>
      <c r="BS297">
        <v>0</v>
      </c>
      <c r="BU297" t="s">
        <v>1908</v>
      </c>
      <c r="BV297">
        <v>0</v>
      </c>
      <c r="BW297" t="s">
        <v>2128</v>
      </c>
      <c r="BX297" t="s">
        <v>1910</v>
      </c>
      <c r="BY297" t="s">
        <v>1911</v>
      </c>
      <c r="BZ297" t="s">
        <v>1910</v>
      </c>
      <c r="CB297" t="s">
        <v>3961</v>
      </c>
      <c r="CC297" t="s">
        <v>1972</v>
      </c>
      <c r="CD297" t="s">
        <v>1973</v>
      </c>
      <c r="CE297">
        <v>62.5</v>
      </c>
      <c r="CF297">
        <v>55.5</v>
      </c>
      <c r="CG297">
        <v>62.5</v>
      </c>
      <c r="CH297">
        <v>1014</v>
      </c>
      <c r="CI297">
        <v>87</v>
      </c>
      <c r="CJ297">
        <v>51.6</v>
      </c>
      <c r="CK297">
        <v>68.400000000000006</v>
      </c>
      <c r="CL297">
        <v>62.5</v>
      </c>
      <c r="CM297">
        <v>62.5</v>
      </c>
      <c r="CN297">
        <v>5280</v>
      </c>
      <c r="CO297">
        <v>6.5</v>
      </c>
      <c r="CP297">
        <v>296</v>
      </c>
      <c r="CQ297">
        <v>100</v>
      </c>
      <c r="CR297">
        <v>0</v>
      </c>
      <c r="CS297">
        <v>0</v>
      </c>
      <c r="CT297" t="s">
        <v>1915</v>
      </c>
      <c r="CU297">
        <v>178.8500061035156</v>
      </c>
      <c r="CV297">
        <v>130</v>
      </c>
      <c r="CW297">
        <v>8.1499996185302734</v>
      </c>
      <c r="CX297">
        <v>4.5500001907348633</v>
      </c>
      <c r="CY297">
        <v>15.05000019073486</v>
      </c>
      <c r="CZ297">
        <v>15.44999980926514</v>
      </c>
      <c r="DA297">
        <v>1</v>
      </c>
      <c r="DB297">
        <v>2</v>
      </c>
      <c r="DC297">
        <v>0</v>
      </c>
      <c r="DD297">
        <v>0</v>
      </c>
      <c r="DE297">
        <v>157.05000000000001</v>
      </c>
      <c r="DF297">
        <v>116.05</v>
      </c>
      <c r="DG297">
        <v>0</v>
      </c>
      <c r="DH297">
        <v>0</v>
      </c>
      <c r="DI297">
        <v>0</v>
      </c>
      <c r="DJ297" t="s">
        <v>3962</v>
      </c>
      <c r="DM297">
        <v>12.28</v>
      </c>
      <c r="DN297">
        <v>583.1</v>
      </c>
      <c r="DR297" t="s">
        <v>2039</v>
      </c>
      <c r="DS297">
        <v>709650</v>
      </c>
      <c r="DT297" t="s">
        <v>3963</v>
      </c>
      <c r="DU297" t="s">
        <v>2039</v>
      </c>
      <c r="DV297" t="s">
        <v>2039</v>
      </c>
      <c r="DW297" t="s">
        <v>2257</v>
      </c>
      <c r="EL297">
        <v>0</v>
      </c>
      <c r="EM297" t="s">
        <v>1593</v>
      </c>
    </row>
    <row r="298" spans="1:143" x14ac:dyDescent="0.35">
      <c r="A298" t="s">
        <v>73</v>
      </c>
      <c r="B298" t="s">
        <v>1595</v>
      </c>
      <c r="C298" t="s">
        <v>116</v>
      </c>
      <c r="D298" t="s">
        <v>120</v>
      </c>
      <c r="E298">
        <v>92</v>
      </c>
      <c r="G298" t="s">
        <v>3964</v>
      </c>
      <c r="K298" t="s">
        <v>3503</v>
      </c>
      <c r="L298" t="s">
        <v>1896</v>
      </c>
      <c r="M298" t="s">
        <v>3948</v>
      </c>
      <c r="R298" t="s">
        <v>119</v>
      </c>
      <c r="S298" t="s">
        <v>1596</v>
      </c>
      <c r="T298" t="s">
        <v>117</v>
      </c>
      <c r="Z298" t="s">
        <v>3965</v>
      </c>
      <c r="AB298">
        <v>4</v>
      </c>
      <c r="AC298">
        <v>0</v>
      </c>
      <c r="AE298">
        <v>1999</v>
      </c>
      <c r="AG298" t="s">
        <v>1928</v>
      </c>
      <c r="AH298" t="s">
        <v>1929</v>
      </c>
      <c r="AI298">
        <v>169900</v>
      </c>
      <c r="AJ298">
        <v>0</v>
      </c>
      <c r="AL298">
        <v>0</v>
      </c>
      <c r="AS298" t="b">
        <v>0</v>
      </c>
      <c r="AT298">
        <v>0</v>
      </c>
      <c r="AV298" t="s">
        <v>1596</v>
      </c>
      <c r="AX298" t="s">
        <v>1599</v>
      </c>
      <c r="AY298" t="b">
        <v>1</v>
      </c>
      <c r="AZ298" t="b">
        <v>1</v>
      </c>
      <c r="BA298" t="s">
        <v>1956</v>
      </c>
      <c r="BD298" t="s">
        <v>3966</v>
      </c>
      <c r="BF298" t="s">
        <v>1906</v>
      </c>
      <c r="BI298" t="s">
        <v>1596</v>
      </c>
      <c r="BK298" t="b">
        <v>0</v>
      </c>
      <c r="BM298" t="s">
        <v>1597</v>
      </c>
      <c r="BN298" t="s">
        <v>1597</v>
      </c>
      <c r="BO298" t="s">
        <v>1597</v>
      </c>
      <c r="BP298" t="s">
        <v>3967</v>
      </c>
      <c r="BQ298" t="s">
        <v>3965</v>
      </c>
      <c r="BR298">
        <v>4</v>
      </c>
      <c r="BS298">
        <v>0</v>
      </c>
      <c r="BU298" t="s">
        <v>1908</v>
      </c>
      <c r="BV298">
        <v>0</v>
      </c>
      <c r="BW298" t="s">
        <v>2093</v>
      </c>
      <c r="BX298" t="s">
        <v>1949</v>
      </c>
      <c r="BY298" t="s">
        <v>1970</v>
      </c>
      <c r="BZ298" t="s">
        <v>1910</v>
      </c>
      <c r="CA298" t="s">
        <v>1950</v>
      </c>
      <c r="CB298" t="s">
        <v>2489</v>
      </c>
      <c r="CC298" t="s">
        <v>1996</v>
      </c>
      <c r="CD298" t="s">
        <v>1997</v>
      </c>
      <c r="CE298">
        <v>63.9</v>
      </c>
      <c r="CF298">
        <v>41.9</v>
      </c>
      <c r="CG298">
        <v>63.9</v>
      </c>
      <c r="CH298">
        <v>1013</v>
      </c>
      <c r="CI298">
        <v>43</v>
      </c>
      <c r="CJ298">
        <v>36.1</v>
      </c>
      <c r="CK298">
        <v>64.599999999999994</v>
      </c>
      <c r="CL298">
        <v>63.9</v>
      </c>
      <c r="CM298">
        <v>63.9</v>
      </c>
      <c r="CN298">
        <v>31680</v>
      </c>
      <c r="CO298">
        <v>5.8</v>
      </c>
      <c r="CP298">
        <v>109</v>
      </c>
      <c r="CQ298">
        <v>16</v>
      </c>
      <c r="CR298">
        <v>0</v>
      </c>
      <c r="CS298">
        <v>0</v>
      </c>
      <c r="CT298" t="s">
        <v>1915</v>
      </c>
      <c r="CU298">
        <v>156.8500061035156</v>
      </c>
      <c r="CV298">
        <v>88</v>
      </c>
      <c r="CW298">
        <v>8.75</v>
      </c>
      <c r="CX298">
        <v>2.6500000953674321</v>
      </c>
      <c r="CY298">
        <v>8.0500001907348633</v>
      </c>
      <c r="CZ298">
        <v>10.35000038146973</v>
      </c>
      <c r="DA298">
        <v>1</v>
      </c>
      <c r="DB298">
        <v>1</v>
      </c>
      <c r="DC298">
        <v>0</v>
      </c>
      <c r="DD298">
        <v>0</v>
      </c>
      <c r="DE298">
        <v>360.47</v>
      </c>
      <c r="DF298">
        <v>412.06</v>
      </c>
      <c r="DG298">
        <v>0</v>
      </c>
      <c r="DH298">
        <v>0</v>
      </c>
      <c r="DI298">
        <v>0</v>
      </c>
      <c r="DJ298" t="s">
        <v>3962</v>
      </c>
      <c r="DM298">
        <v>12.28</v>
      </c>
      <c r="DN298">
        <v>583.1</v>
      </c>
      <c r="DR298" t="s">
        <v>2039</v>
      </c>
      <c r="DS298">
        <v>675486</v>
      </c>
      <c r="DT298" t="s">
        <v>3968</v>
      </c>
      <c r="DU298" t="s">
        <v>2039</v>
      </c>
      <c r="DV298" t="s">
        <v>2039</v>
      </c>
      <c r="DW298" t="s">
        <v>2257</v>
      </c>
      <c r="EL298">
        <v>0</v>
      </c>
      <c r="EM298" t="s">
        <v>1598</v>
      </c>
    </row>
    <row r="299" spans="1:143" x14ac:dyDescent="0.35">
      <c r="A299" t="s">
        <v>73</v>
      </c>
      <c r="B299" t="s">
        <v>1600</v>
      </c>
      <c r="C299" t="s">
        <v>116</v>
      </c>
      <c r="D299" t="s">
        <v>120</v>
      </c>
      <c r="E299">
        <v>1</v>
      </c>
      <c r="G299" t="s">
        <v>3969</v>
      </c>
      <c r="J299" t="s">
        <v>3970</v>
      </c>
      <c r="K299" t="s">
        <v>3947</v>
      </c>
      <c r="L299" t="s">
        <v>1896</v>
      </c>
      <c r="M299" t="s">
        <v>3957</v>
      </c>
      <c r="R299" t="s">
        <v>119</v>
      </c>
      <c r="S299" t="s">
        <v>1601</v>
      </c>
      <c r="T299" t="s">
        <v>117</v>
      </c>
      <c r="Z299" t="s">
        <v>3971</v>
      </c>
      <c r="AB299">
        <v>2</v>
      </c>
      <c r="AC299">
        <v>0</v>
      </c>
      <c r="AE299">
        <v>1918</v>
      </c>
      <c r="AG299" t="s">
        <v>3529</v>
      </c>
      <c r="AH299" t="s">
        <v>1903</v>
      </c>
      <c r="AI299">
        <v>1697500</v>
      </c>
      <c r="AJ299">
        <v>0</v>
      </c>
      <c r="AL299">
        <v>0</v>
      </c>
      <c r="AS299" t="b">
        <v>0</v>
      </c>
      <c r="AT299">
        <v>0</v>
      </c>
      <c r="AV299" t="s">
        <v>1601</v>
      </c>
      <c r="AX299" t="s">
        <v>1604</v>
      </c>
      <c r="BD299" t="s">
        <v>3972</v>
      </c>
      <c r="BF299" t="s">
        <v>1906</v>
      </c>
      <c r="BI299" t="s">
        <v>1601</v>
      </c>
      <c r="BK299" t="b">
        <v>0</v>
      </c>
      <c r="BM299" t="s">
        <v>1602</v>
      </c>
      <c r="BN299" t="s">
        <v>1602</v>
      </c>
      <c r="BO299" t="s">
        <v>1602</v>
      </c>
      <c r="BP299" t="s">
        <v>3973</v>
      </c>
      <c r="BQ299" t="s">
        <v>3971</v>
      </c>
      <c r="BR299">
        <v>2</v>
      </c>
      <c r="BS299">
        <v>0</v>
      </c>
      <c r="BU299" t="s">
        <v>1908</v>
      </c>
      <c r="BV299">
        <v>0</v>
      </c>
      <c r="BW299" t="s">
        <v>1909</v>
      </c>
      <c r="BX299" t="s">
        <v>1910</v>
      </c>
      <c r="BY299" t="s">
        <v>1970</v>
      </c>
      <c r="BZ299" t="s">
        <v>1910</v>
      </c>
      <c r="CA299" t="s">
        <v>2129</v>
      </c>
      <c r="CB299" t="s">
        <v>3974</v>
      </c>
      <c r="CC299" t="s">
        <v>1996</v>
      </c>
      <c r="CD299" t="s">
        <v>1997</v>
      </c>
      <c r="CE299">
        <v>58.6</v>
      </c>
      <c r="CF299">
        <v>30.6</v>
      </c>
      <c r="CG299">
        <v>58.1</v>
      </c>
      <c r="CH299">
        <v>1023</v>
      </c>
      <c r="CI299">
        <v>33</v>
      </c>
      <c r="CJ299">
        <v>37</v>
      </c>
      <c r="CK299">
        <v>60.1</v>
      </c>
      <c r="CL299">
        <v>58.6</v>
      </c>
      <c r="CM299">
        <v>58.1</v>
      </c>
      <c r="CN299">
        <v>31680</v>
      </c>
      <c r="CO299">
        <v>7.4</v>
      </c>
      <c r="CP299">
        <v>62</v>
      </c>
      <c r="CQ299">
        <v>0</v>
      </c>
      <c r="CR299">
        <v>0</v>
      </c>
      <c r="CS299">
        <v>0</v>
      </c>
      <c r="CT299" t="s">
        <v>1915</v>
      </c>
      <c r="CU299">
        <v>151.8500061035156</v>
      </c>
      <c r="CV299">
        <v>71</v>
      </c>
      <c r="CW299">
        <v>9.25</v>
      </c>
      <c r="CX299">
        <v>2.6500000953674321</v>
      </c>
      <c r="CY299">
        <v>8.9499998092651367</v>
      </c>
      <c r="CZ299">
        <v>11.94999980926514</v>
      </c>
      <c r="DA299">
        <v>1</v>
      </c>
      <c r="DB299">
        <v>1</v>
      </c>
      <c r="DC299">
        <v>0</v>
      </c>
      <c r="DD299">
        <v>0</v>
      </c>
      <c r="DE299">
        <v>231.49</v>
      </c>
      <c r="DF299">
        <v>267.64</v>
      </c>
      <c r="DG299">
        <v>0</v>
      </c>
      <c r="DH299">
        <v>0</v>
      </c>
      <c r="DI299">
        <v>0</v>
      </c>
      <c r="DJ299" t="s">
        <v>3954</v>
      </c>
      <c r="DM299">
        <v>3.36</v>
      </c>
      <c r="DN299">
        <v>1831</v>
      </c>
      <c r="DR299" t="s">
        <v>2039</v>
      </c>
      <c r="DS299">
        <v>653088</v>
      </c>
      <c r="DT299" t="s">
        <v>3975</v>
      </c>
      <c r="DU299" t="s">
        <v>2039</v>
      </c>
      <c r="DV299" t="s">
        <v>2039</v>
      </c>
      <c r="DW299" t="s">
        <v>2039</v>
      </c>
      <c r="EL299">
        <v>0</v>
      </c>
      <c r="EM299" t="s">
        <v>1603</v>
      </c>
    </row>
    <row r="300" spans="1:143" x14ac:dyDescent="0.35">
      <c r="A300" t="s">
        <v>73</v>
      </c>
      <c r="B300" t="s">
        <v>1605</v>
      </c>
      <c r="C300" t="s">
        <v>116</v>
      </c>
      <c r="D300" t="s">
        <v>120</v>
      </c>
      <c r="G300" t="s">
        <v>3969</v>
      </c>
      <c r="K300" t="s">
        <v>3947</v>
      </c>
      <c r="L300" t="s">
        <v>1896</v>
      </c>
      <c r="M300" t="s">
        <v>3957</v>
      </c>
      <c r="N300" t="s">
        <v>2556</v>
      </c>
      <c r="R300" t="s">
        <v>119</v>
      </c>
      <c r="S300" t="s">
        <v>1606</v>
      </c>
      <c r="T300" t="s">
        <v>117</v>
      </c>
      <c r="Z300" t="s">
        <v>3976</v>
      </c>
      <c r="AB300">
        <v>2</v>
      </c>
      <c r="AC300">
        <v>0</v>
      </c>
      <c r="AJ300">
        <v>0</v>
      </c>
      <c r="AL300">
        <v>0</v>
      </c>
      <c r="AS300" t="b">
        <v>0</v>
      </c>
      <c r="AT300">
        <v>0</v>
      </c>
      <c r="AV300" t="s">
        <v>1606</v>
      </c>
      <c r="AX300" t="s">
        <v>1609</v>
      </c>
      <c r="AY300" t="b">
        <v>1</v>
      </c>
      <c r="AZ300" t="b">
        <v>1</v>
      </c>
      <c r="BA300" t="s">
        <v>2164</v>
      </c>
      <c r="BD300" t="s">
        <v>3977</v>
      </c>
      <c r="BF300" t="s">
        <v>1906</v>
      </c>
      <c r="BI300" t="s">
        <v>1606</v>
      </c>
      <c r="BK300" t="b">
        <v>0</v>
      </c>
      <c r="BM300" t="s">
        <v>1607</v>
      </c>
      <c r="BN300" t="s">
        <v>1607</v>
      </c>
      <c r="BO300" t="s">
        <v>1607</v>
      </c>
      <c r="BP300" t="s">
        <v>3978</v>
      </c>
      <c r="BQ300" t="s">
        <v>3976</v>
      </c>
      <c r="BR300">
        <v>2</v>
      </c>
      <c r="BS300">
        <v>0</v>
      </c>
      <c r="BU300" t="s">
        <v>1908</v>
      </c>
      <c r="BV300">
        <v>0</v>
      </c>
      <c r="BW300" t="s">
        <v>1934</v>
      </c>
      <c r="BX300" t="s">
        <v>1949</v>
      </c>
      <c r="BY300" t="s">
        <v>2039</v>
      </c>
      <c r="BZ300" t="s">
        <v>1910</v>
      </c>
      <c r="CB300" t="s">
        <v>2496</v>
      </c>
      <c r="CC300" t="s">
        <v>1961</v>
      </c>
      <c r="CD300" t="s">
        <v>1962</v>
      </c>
      <c r="CE300">
        <v>54.3</v>
      </c>
      <c r="CF300">
        <v>32.4</v>
      </c>
      <c r="CG300">
        <v>52.3</v>
      </c>
      <c r="CH300">
        <v>1021</v>
      </c>
      <c r="CI300">
        <v>46</v>
      </c>
      <c r="CJ300">
        <v>39</v>
      </c>
      <c r="CK300">
        <v>56</v>
      </c>
      <c r="CL300">
        <v>54.3</v>
      </c>
      <c r="CM300">
        <v>52.3</v>
      </c>
      <c r="CN300">
        <v>31680</v>
      </c>
      <c r="CO300">
        <v>7.2</v>
      </c>
      <c r="CP300">
        <v>79</v>
      </c>
      <c r="CQ300">
        <v>59</v>
      </c>
      <c r="CR300">
        <v>0</v>
      </c>
      <c r="CS300">
        <v>0</v>
      </c>
      <c r="CT300" t="s">
        <v>1915</v>
      </c>
      <c r="CU300">
        <v>153.8500061035156</v>
      </c>
      <c r="CV300">
        <v>99</v>
      </c>
      <c r="CW300">
        <v>5.25</v>
      </c>
      <c r="CX300">
        <v>2.0499999523162842</v>
      </c>
      <c r="CY300">
        <v>4.4499998092651367</v>
      </c>
      <c r="CZ300">
        <v>5.6500000953674316</v>
      </c>
      <c r="DA300">
        <v>1</v>
      </c>
      <c r="DB300">
        <v>1</v>
      </c>
      <c r="DC300">
        <v>0</v>
      </c>
      <c r="DD300">
        <v>0</v>
      </c>
      <c r="DE300">
        <v>318.89999999999998</v>
      </c>
      <c r="DF300">
        <v>451.07</v>
      </c>
      <c r="DG300">
        <v>0</v>
      </c>
      <c r="DH300">
        <v>0</v>
      </c>
      <c r="DI300">
        <v>0</v>
      </c>
      <c r="DJ300" t="s">
        <v>3954</v>
      </c>
      <c r="DM300">
        <v>3.36</v>
      </c>
      <c r="DN300">
        <v>1831</v>
      </c>
      <c r="DR300" t="s">
        <v>2039</v>
      </c>
      <c r="DS300">
        <v>652935</v>
      </c>
      <c r="DT300" t="s">
        <v>3979</v>
      </c>
      <c r="DU300" t="s">
        <v>2039</v>
      </c>
      <c r="DV300" t="s">
        <v>2039</v>
      </c>
      <c r="DW300" t="s">
        <v>2039</v>
      </c>
      <c r="EL300">
        <v>0</v>
      </c>
      <c r="EM300" t="s">
        <v>1608</v>
      </c>
    </row>
    <row r="301" spans="1:143" x14ac:dyDescent="0.35">
      <c r="A301" t="s">
        <v>75</v>
      </c>
      <c r="B301" t="s">
        <v>1610</v>
      </c>
      <c r="C301" t="s">
        <v>116</v>
      </c>
      <c r="D301" t="s">
        <v>146</v>
      </c>
      <c r="G301" t="s">
        <v>3980</v>
      </c>
      <c r="K301" t="s">
        <v>3981</v>
      </c>
      <c r="L301" t="s">
        <v>1896</v>
      </c>
      <c r="M301" t="s">
        <v>2322</v>
      </c>
      <c r="N301" t="s">
        <v>1898</v>
      </c>
      <c r="R301" t="s">
        <v>119</v>
      </c>
      <c r="S301" t="s">
        <v>1611</v>
      </c>
      <c r="T301" t="s">
        <v>117</v>
      </c>
      <c r="V301" t="s">
        <v>2197</v>
      </c>
      <c r="W301" t="s">
        <v>2206</v>
      </c>
      <c r="X301" t="s">
        <v>3982</v>
      </c>
      <c r="Z301" t="s">
        <v>3983</v>
      </c>
      <c r="AB301">
        <v>2</v>
      </c>
      <c r="AC301">
        <v>3</v>
      </c>
      <c r="AD301" t="s">
        <v>2221</v>
      </c>
      <c r="AF301" t="s">
        <v>2348</v>
      </c>
      <c r="AG301" t="s">
        <v>3984</v>
      </c>
      <c r="AH301" t="s">
        <v>1903</v>
      </c>
      <c r="AI301">
        <v>99700</v>
      </c>
      <c r="AJ301">
        <v>0</v>
      </c>
      <c r="AL301">
        <v>0</v>
      </c>
      <c r="AS301" t="b">
        <v>0</v>
      </c>
      <c r="AV301" t="s">
        <v>1611</v>
      </c>
      <c r="AX301" t="s">
        <v>1614</v>
      </c>
      <c r="AY301" t="b">
        <v>1</v>
      </c>
      <c r="AZ301" t="b">
        <v>1</v>
      </c>
      <c r="BA301" t="s">
        <v>2493</v>
      </c>
      <c r="BC301" t="s">
        <v>1931</v>
      </c>
      <c r="BF301" t="s">
        <v>1906</v>
      </c>
      <c r="BG301" t="s">
        <v>3985</v>
      </c>
      <c r="BI301" t="s">
        <v>1611</v>
      </c>
      <c r="BL301" t="s">
        <v>3986</v>
      </c>
      <c r="BM301" t="s">
        <v>1612</v>
      </c>
      <c r="BN301" t="s">
        <v>1612</v>
      </c>
      <c r="BO301" t="s">
        <v>1612</v>
      </c>
      <c r="BQ301" t="s">
        <v>3983</v>
      </c>
      <c r="BR301">
        <v>2</v>
      </c>
      <c r="BS301">
        <v>3</v>
      </c>
      <c r="BU301" t="s">
        <v>1908</v>
      </c>
      <c r="BV301">
        <v>0.4</v>
      </c>
      <c r="BW301" t="s">
        <v>2032</v>
      </c>
      <c r="BX301" t="s">
        <v>1949</v>
      </c>
      <c r="BY301" t="s">
        <v>1970</v>
      </c>
      <c r="BZ301" t="s">
        <v>3987</v>
      </c>
      <c r="CA301" t="s">
        <v>1950</v>
      </c>
      <c r="CB301" t="s">
        <v>3974</v>
      </c>
      <c r="CC301" t="s">
        <v>1996</v>
      </c>
      <c r="CD301" t="s">
        <v>1997</v>
      </c>
      <c r="CE301">
        <v>59.9</v>
      </c>
      <c r="CF301">
        <v>35.1</v>
      </c>
      <c r="CG301">
        <v>59.9</v>
      </c>
      <c r="CH301">
        <v>1023</v>
      </c>
      <c r="CI301">
        <v>38</v>
      </c>
      <c r="CJ301">
        <v>38.9</v>
      </c>
      <c r="CK301">
        <v>64</v>
      </c>
      <c r="CL301">
        <v>59.9</v>
      </c>
      <c r="CM301">
        <v>59.9</v>
      </c>
      <c r="CN301">
        <v>31680</v>
      </c>
      <c r="CO301">
        <v>6.3</v>
      </c>
      <c r="CP301">
        <v>84</v>
      </c>
      <c r="CQ301">
        <v>0</v>
      </c>
      <c r="CR301">
        <v>0</v>
      </c>
      <c r="CS301">
        <v>0</v>
      </c>
      <c r="CT301" t="s">
        <v>1915</v>
      </c>
      <c r="CU301">
        <v>150.8500061035156</v>
      </c>
      <c r="CV301">
        <v>67</v>
      </c>
      <c r="CW301">
        <v>9.25</v>
      </c>
      <c r="CX301">
        <v>3.0499999523162842</v>
      </c>
      <c r="CY301">
        <v>8.8500003814697266</v>
      </c>
      <c r="CZ301">
        <v>11.75</v>
      </c>
      <c r="DA301">
        <v>1</v>
      </c>
      <c r="DB301">
        <v>1</v>
      </c>
      <c r="DC301">
        <v>0</v>
      </c>
      <c r="DD301">
        <v>0</v>
      </c>
      <c r="DE301">
        <v>270.26</v>
      </c>
      <c r="DF301">
        <v>379.94</v>
      </c>
      <c r="DG301">
        <v>0</v>
      </c>
      <c r="DH301">
        <v>0</v>
      </c>
      <c r="DI301">
        <v>0</v>
      </c>
      <c r="DJ301" t="s">
        <v>3988</v>
      </c>
      <c r="DM301">
        <v>21.11</v>
      </c>
      <c r="DN301">
        <v>181.6</v>
      </c>
      <c r="DR301" t="s">
        <v>2039</v>
      </c>
      <c r="DS301">
        <v>664007</v>
      </c>
      <c r="DT301" t="s">
        <v>3989</v>
      </c>
      <c r="DU301" t="s">
        <v>2039</v>
      </c>
      <c r="DV301" t="s">
        <v>2257</v>
      </c>
      <c r="DW301" t="s">
        <v>2257</v>
      </c>
      <c r="DX301" t="s">
        <v>2257</v>
      </c>
      <c r="EL301">
        <v>1</v>
      </c>
      <c r="EM301" t="s">
        <v>1613</v>
      </c>
    </row>
    <row r="302" spans="1:143" x14ac:dyDescent="0.35">
      <c r="A302" t="s">
        <v>77</v>
      </c>
      <c r="B302" t="s">
        <v>1615</v>
      </c>
      <c r="C302" t="s">
        <v>116</v>
      </c>
      <c r="D302" t="s">
        <v>146</v>
      </c>
      <c r="G302" t="s">
        <v>3990</v>
      </c>
      <c r="K302" t="s">
        <v>3991</v>
      </c>
      <c r="L302" t="s">
        <v>1896</v>
      </c>
      <c r="M302" t="s">
        <v>3992</v>
      </c>
      <c r="N302" t="s">
        <v>1898</v>
      </c>
      <c r="R302" t="s">
        <v>119</v>
      </c>
      <c r="S302" t="s">
        <v>1616</v>
      </c>
      <c r="T302" t="s">
        <v>117</v>
      </c>
      <c r="Y302" t="s">
        <v>2136</v>
      </c>
      <c r="Z302" t="s">
        <v>2367</v>
      </c>
      <c r="AA302" t="s">
        <v>3993</v>
      </c>
      <c r="AB302">
        <v>1</v>
      </c>
      <c r="AC302">
        <v>3</v>
      </c>
      <c r="AD302" t="s">
        <v>2233</v>
      </c>
      <c r="AJ302">
        <v>0</v>
      </c>
      <c r="AL302">
        <v>0</v>
      </c>
      <c r="AS302" t="b">
        <v>0</v>
      </c>
      <c r="AV302" t="s">
        <v>1616</v>
      </c>
      <c r="AX302" t="s">
        <v>1619</v>
      </c>
      <c r="BF302" t="s">
        <v>1906</v>
      </c>
      <c r="BG302" t="s">
        <v>2235</v>
      </c>
      <c r="BI302" t="s">
        <v>1616</v>
      </c>
      <c r="BL302" t="s">
        <v>3994</v>
      </c>
      <c r="BM302" t="s">
        <v>1617</v>
      </c>
      <c r="BN302" t="s">
        <v>1617</v>
      </c>
      <c r="BO302" t="s">
        <v>1617</v>
      </c>
      <c r="BQ302" t="s">
        <v>2367</v>
      </c>
      <c r="BR302">
        <v>1</v>
      </c>
      <c r="BS302">
        <v>3</v>
      </c>
      <c r="BU302" t="s">
        <v>1908</v>
      </c>
      <c r="BV302">
        <v>0</v>
      </c>
      <c r="BW302" t="s">
        <v>1934</v>
      </c>
      <c r="BX302" t="s">
        <v>1910</v>
      </c>
      <c r="BY302" t="s">
        <v>1911</v>
      </c>
      <c r="BZ302" t="s">
        <v>1910</v>
      </c>
      <c r="CB302" t="s">
        <v>3995</v>
      </c>
      <c r="CC302" t="s">
        <v>1996</v>
      </c>
      <c r="CD302" t="s">
        <v>1997</v>
      </c>
      <c r="CE302">
        <v>79.3</v>
      </c>
      <c r="CF302">
        <v>46.8</v>
      </c>
      <c r="CG302">
        <v>78.400000000000006</v>
      </c>
      <c r="CH302">
        <v>1010</v>
      </c>
      <c r="CI302">
        <v>33</v>
      </c>
      <c r="CJ302">
        <v>56.9</v>
      </c>
      <c r="CK302">
        <v>80.7</v>
      </c>
      <c r="CL302">
        <v>78.400000000000006</v>
      </c>
      <c r="CM302">
        <v>79.3</v>
      </c>
      <c r="CN302">
        <v>31680</v>
      </c>
      <c r="CO302">
        <v>8.6999999999999993</v>
      </c>
      <c r="CP302">
        <v>310</v>
      </c>
      <c r="CQ302">
        <v>0</v>
      </c>
      <c r="CR302">
        <v>0</v>
      </c>
      <c r="CS302">
        <v>0</v>
      </c>
      <c r="CT302" t="s">
        <v>1915</v>
      </c>
      <c r="CU302">
        <v>108</v>
      </c>
      <c r="CV302">
        <v>87</v>
      </c>
      <c r="CW302">
        <v>0.9</v>
      </c>
      <c r="CX302">
        <v>0.3</v>
      </c>
      <c r="CY302">
        <v>1.1000000000000001</v>
      </c>
      <c r="CZ302">
        <v>1.1000000000000001</v>
      </c>
      <c r="DA302">
        <v>1</v>
      </c>
      <c r="DB302">
        <v>1</v>
      </c>
      <c r="DC302">
        <v>0</v>
      </c>
      <c r="DD302">
        <v>0</v>
      </c>
      <c r="DE302">
        <v>0</v>
      </c>
      <c r="DF302">
        <v>0</v>
      </c>
      <c r="DG302">
        <v>257.54000000000002</v>
      </c>
      <c r="DH302">
        <v>65.44</v>
      </c>
      <c r="DI302">
        <v>0</v>
      </c>
      <c r="DJ302" t="s">
        <v>3996</v>
      </c>
      <c r="DM302">
        <v>1.2</v>
      </c>
      <c r="DN302">
        <v>3140.8</v>
      </c>
      <c r="EL302">
        <v>0</v>
      </c>
      <c r="EM302" t="s">
        <v>1618</v>
      </c>
    </row>
    <row r="303" spans="1:143" x14ac:dyDescent="0.35">
      <c r="A303" t="s">
        <v>77</v>
      </c>
      <c r="B303" t="s">
        <v>1620</v>
      </c>
      <c r="C303" t="s">
        <v>116</v>
      </c>
      <c r="D303" t="s">
        <v>146</v>
      </c>
      <c r="G303" t="s">
        <v>3997</v>
      </c>
      <c r="K303" t="s">
        <v>3991</v>
      </c>
      <c r="L303" t="s">
        <v>1896</v>
      </c>
      <c r="M303" t="s">
        <v>3992</v>
      </c>
      <c r="N303" t="s">
        <v>1898</v>
      </c>
      <c r="R303" t="s">
        <v>119</v>
      </c>
      <c r="S303" t="s">
        <v>1621</v>
      </c>
      <c r="T303" t="s">
        <v>117</v>
      </c>
      <c r="U303" t="s">
        <v>174</v>
      </c>
      <c r="Z303" t="s">
        <v>2367</v>
      </c>
      <c r="AA303" t="s">
        <v>3993</v>
      </c>
      <c r="AB303">
        <v>1</v>
      </c>
      <c r="AC303">
        <v>3</v>
      </c>
      <c r="AJ303">
        <v>0</v>
      </c>
      <c r="AL303">
        <v>0</v>
      </c>
      <c r="AS303" t="b">
        <v>0</v>
      </c>
      <c r="AV303" t="s">
        <v>1621</v>
      </c>
      <c r="AX303" t="s">
        <v>1624</v>
      </c>
      <c r="BF303" t="s">
        <v>1906</v>
      </c>
      <c r="BG303" t="s">
        <v>1907</v>
      </c>
      <c r="BI303" t="s">
        <v>1621</v>
      </c>
      <c r="BL303" t="s">
        <v>3998</v>
      </c>
      <c r="BM303" t="s">
        <v>1622</v>
      </c>
      <c r="BN303" t="s">
        <v>1622</v>
      </c>
      <c r="BO303" t="s">
        <v>1622</v>
      </c>
      <c r="BQ303" t="s">
        <v>2367</v>
      </c>
      <c r="BR303">
        <v>1</v>
      </c>
      <c r="BS303">
        <v>3</v>
      </c>
      <c r="BU303" t="s">
        <v>1908</v>
      </c>
      <c r="BV303">
        <v>0</v>
      </c>
      <c r="BW303" t="s">
        <v>1948</v>
      </c>
      <c r="BX303" t="s">
        <v>2094</v>
      </c>
      <c r="BY303" t="s">
        <v>1970</v>
      </c>
      <c r="BZ303" t="s">
        <v>1995</v>
      </c>
      <c r="CA303" t="s">
        <v>1936</v>
      </c>
      <c r="CB303" t="s">
        <v>3995</v>
      </c>
      <c r="CC303" t="s">
        <v>1996</v>
      </c>
      <c r="CD303" t="s">
        <v>1997</v>
      </c>
      <c r="CE303">
        <v>79.3</v>
      </c>
      <c r="CF303">
        <v>46.8</v>
      </c>
      <c r="CG303">
        <v>78.400000000000006</v>
      </c>
      <c r="CH303">
        <v>1010</v>
      </c>
      <c r="CI303">
        <v>33</v>
      </c>
      <c r="CJ303">
        <v>56.9</v>
      </c>
      <c r="CK303">
        <v>80.7</v>
      </c>
      <c r="CL303">
        <v>78.400000000000006</v>
      </c>
      <c r="CM303">
        <v>79.3</v>
      </c>
      <c r="CN303">
        <v>31680</v>
      </c>
      <c r="CO303">
        <v>8.6999999999999993</v>
      </c>
      <c r="CP303">
        <v>310</v>
      </c>
      <c r="CQ303">
        <v>0</v>
      </c>
      <c r="CR303">
        <v>0</v>
      </c>
      <c r="CS303">
        <v>0</v>
      </c>
      <c r="CT303" t="s">
        <v>1915</v>
      </c>
      <c r="CU303">
        <v>108</v>
      </c>
      <c r="CV303">
        <v>87</v>
      </c>
      <c r="CW303">
        <v>0.9</v>
      </c>
      <c r="CX303">
        <v>0.3</v>
      </c>
      <c r="CY303">
        <v>1.1000000000000001</v>
      </c>
      <c r="CZ303">
        <v>1.1000000000000001</v>
      </c>
      <c r="DA303">
        <v>1</v>
      </c>
      <c r="DB303">
        <v>1</v>
      </c>
      <c r="DC303">
        <v>0</v>
      </c>
      <c r="DD303">
        <v>0</v>
      </c>
      <c r="DE303">
        <v>0</v>
      </c>
      <c r="DF303">
        <v>0</v>
      </c>
      <c r="DG303">
        <v>257.45</v>
      </c>
      <c r="DH303">
        <v>65.42</v>
      </c>
      <c r="DI303">
        <v>0</v>
      </c>
      <c r="DJ303" t="s">
        <v>3999</v>
      </c>
      <c r="DM303">
        <v>11.86</v>
      </c>
      <c r="DN303">
        <v>571.5</v>
      </c>
      <c r="EL303">
        <v>0</v>
      </c>
      <c r="EM303" t="s">
        <v>1623</v>
      </c>
    </row>
    <row r="304" spans="1:143" x14ac:dyDescent="0.35">
      <c r="A304" t="s">
        <v>77</v>
      </c>
      <c r="B304" t="s">
        <v>1625</v>
      </c>
      <c r="C304" t="s">
        <v>116</v>
      </c>
      <c r="D304" t="s">
        <v>146</v>
      </c>
      <c r="G304" t="s">
        <v>4000</v>
      </c>
      <c r="K304" t="s">
        <v>3991</v>
      </c>
      <c r="L304" t="s">
        <v>1896</v>
      </c>
      <c r="M304" t="s">
        <v>3992</v>
      </c>
      <c r="N304" t="s">
        <v>1898</v>
      </c>
      <c r="R304" t="s">
        <v>119</v>
      </c>
      <c r="S304" t="s">
        <v>1626</v>
      </c>
      <c r="T304" t="s">
        <v>117</v>
      </c>
      <c r="Y304" t="s">
        <v>2136</v>
      </c>
      <c r="Z304" t="s">
        <v>2367</v>
      </c>
      <c r="AA304" t="s">
        <v>3993</v>
      </c>
      <c r="AB304">
        <v>1</v>
      </c>
      <c r="AC304">
        <v>3</v>
      </c>
      <c r="AJ304">
        <v>0</v>
      </c>
      <c r="AL304">
        <v>0</v>
      </c>
      <c r="AS304" t="b">
        <v>0</v>
      </c>
      <c r="AV304" t="s">
        <v>1626</v>
      </c>
      <c r="AX304" t="s">
        <v>1629</v>
      </c>
      <c r="BF304" t="s">
        <v>1906</v>
      </c>
      <c r="BG304" t="s">
        <v>1907</v>
      </c>
      <c r="BI304" t="s">
        <v>1626</v>
      </c>
      <c r="BL304" t="s">
        <v>4001</v>
      </c>
      <c r="BM304" t="s">
        <v>1627</v>
      </c>
      <c r="BN304" t="s">
        <v>1627</v>
      </c>
      <c r="BO304" t="s">
        <v>1627</v>
      </c>
      <c r="BQ304" t="s">
        <v>2367</v>
      </c>
      <c r="BR304">
        <v>1</v>
      </c>
      <c r="BS304">
        <v>3</v>
      </c>
      <c r="BU304" t="s">
        <v>1908</v>
      </c>
      <c r="BW304" t="s">
        <v>1909</v>
      </c>
      <c r="BX304" t="s">
        <v>1949</v>
      </c>
      <c r="BY304" t="s">
        <v>1970</v>
      </c>
      <c r="BZ304" t="s">
        <v>1910</v>
      </c>
      <c r="CA304" t="s">
        <v>1950</v>
      </c>
      <c r="CB304" t="s">
        <v>4002</v>
      </c>
      <c r="CC304" t="s">
        <v>1913</v>
      </c>
      <c r="CD304" t="s">
        <v>1914</v>
      </c>
      <c r="CE304">
        <v>53.6</v>
      </c>
      <c r="CF304">
        <v>34.200000000000003</v>
      </c>
      <c r="CG304">
        <v>51.2</v>
      </c>
      <c r="CH304">
        <v>1010</v>
      </c>
      <c r="CI304">
        <v>46</v>
      </c>
      <c r="CJ304">
        <v>42.1</v>
      </c>
      <c r="CK304">
        <v>53.6</v>
      </c>
      <c r="CL304">
        <v>53.6</v>
      </c>
      <c r="CM304">
        <v>51.2</v>
      </c>
      <c r="CN304">
        <v>31680</v>
      </c>
      <c r="CO304">
        <v>7.8</v>
      </c>
      <c r="CP304">
        <v>281</v>
      </c>
      <c r="CQ304">
        <v>52</v>
      </c>
      <c r="CR304">
        <v>0.02</v>
      </c>
      <c r="CS304">
        <v>0</v>
      </c>
      <c r="CT304" t="s">
        <v>1915</v>
      </c>
      <c r="CU304">
        <v>151.8500061035156</v>
      </c>
      <c r="CV304">
        <v>98</v>
      </c>
      <c r="CW304">
        <v>2.4500000476837158</v>
      </c>
      <c r="CX304">
        <v>1.3500000238418579</v>
      </c>
      <c r="CY304">
        <v>4.0500001907348633</v>
      </c>
      <c r="CZ304">
        <v>4.5500001907348633</v>
      </c>
      <c r="DA304">
        <v>1</v>
      </c>
      <c r="DB304">
        <v>1</v>
      </c>
      <c r="DC304">
        <v>0</v>
      </c>
      <c r="DD304">
        <v>0</v>
      </c>
      <c r="DE304">
        <v>97.06</v>
      </c>
      <c r="DF304">
        <v>102.67</v>
      </c>
      <c r="DG304">
        <v>0</v>
      </c>
      <c r="DH304">
        <v>0</v>
      </c>
      <c r="DI304">
        <v>0</v>
      </c>
      <c r="DJ304" t="s">
        <v>3996</v>
      </c>
      <c r="DM304">
        <v>1.2</v>
      </c>
      <c r="DN304">
        <v>3140.8</v>
      </c>
      <c r="EL304">
        <v>0</v>
      </c>
      <c r="EM304" t="s">
        <v>1628</v>
      </c>
    </row>
    <row r="305" spans="1:143" x14ac:dyDescent="0.35">
      <c r="A305" t="s">
        <v>77</v>
      </c>
      <c r="B305" t="s">
        <v>1630</v>
      </c>
      <c r="C305" t="s">
        <v>116</v>
      </c>
      <c r="D305" t="s">
        <v>146</v>
      </c>
      <c r="G305" t="s">
        <v>4003</v>
      </c>
      <c r="K305" t="s">
        <v>3991</v>
      </c>
      <c r="L305" t="s">
        <v>1896</v>
      </c>
      <c r="M305" t="s">
        <v>3992</v>
      </c>
      <c r="N305" t="s">
        <v>1898</v>
      </c>
      <c r="R305" t="s">
        <v>119</v>
      </c>
      <c r="S305" t="s">
        <v>1631</v>
      </c>
      <c r="T305" t="s">
        <v>117</v>
      </c>
      <c r="Z305" t="s">
        <v>2367</v>
      </c>
      <c r="AA305" t="s">
        <v>3993</v>
      </c>
      <c r="AB305">
        <v>1</v>
      </c>
      <c r="AC305">
        <v>3</v>
      </c>
      <c r="AJ305">
        <v>0</v>
      </c>
      <c r="AL305">
        <v>0</v>
      </c>
      <c r="AS305" t="b">
        <v>0</v>
      </c>
      <c r="AU305">
        <v>0</v>
      </c>
      <c r="AV305" t="s">
        <v>1631</v>
      </c>
      <c r="AX305" t="s">
        <v>1634</v>
      </c>
      <c r="BF305" t="s">
        <v>1906</v>
      </c>
      <c r="BG305" t="s">
        <v>1907</v>
      </c>
      <c r="BI305" t="s">
        <v>1631</v>
      </c>
      <c r="BL305" t="s">
        <v>4004</v>
      </c>
      <c r="BM305" t="s">
        <v>1632</v>
      </c>
      <c r="BN305" t="s">
        <v>1632</v>
      </c>
      <c r="BO305" t="s">
        <v>1632</v>
      </c>
      <c r="BQ305" t="s">
        <v>2367</v>
      </c>
      <c r="BR305">
        <v>1</v>
      </c>
      <c r="BS305">
        <v>3</v>
      </c>
      <c r="BU305" t="s">
        <v>1908</v>
      </c>
      <c r="BW305" t="s">
        <v>1948</v>
      </c>
      <c r="BX305" t="s">
        <v>1949</v>
      </c>
      <c r="BY305" t="s">
        <v>1970</v>
      </c>
      <c r="BZ305" t="s">
        <v>1910</v>
      </c>
      <c r="CB305" t="s">
        <v>4005</v>
      </c>
      <c r="CC305" t="s">
        <v>1913</v>
      </c>
      <c r="CD305" t="s">
        <v>1914</v>
      </c>
      <c r="CE305">
        <v>53.6</v>
      </c>
      <c r="CF305">
        <v>40.799999999999997</v>
      </c>
      <c r="CG305">
        <v>50.2</v>
      </c>
      <c r="CH305">
        <v>1011</v>
      </c>
      <c r="CI305">
        <v>61</v>
      </c>
      <c r="CJ305">
        <v>36.700000000000003</v>
      </c>
      <c r="CK305">
        <v>53.6</v>
      </c>
      <c r="CL305">
        <v>53.6</v>
      </c>
      <c r="CM305">
        <v>50.2</v>
      </c>
      <c r="CN305">
        <v>31680</v>
      </c>
      <c r="CO305">
        <v>11.2</v>
      </c>
      <c r="CP305">
        <v>327</v>
      </c>
      <c r="CQ305">
        <v>100</v>
      </c>
      <c r="CR305">
        <v>0</v>
      </c>
      <c r="CS305">
        <v>0</v>
      </c>
      <c r="CT305" t="s">
        <v>1915</v>
      </c>
      <c r="CU305">
        <v>160.8500061035156</v>
      </c>
      <c r="CV305">
        <v>110</v>
      </c>
      <c r="CW305">
        <v>1.75</v>
      </c>
      <c r="CX305">
        <v>1.8500000238418579</v>
      </c>
      <c r="CY305">
        <v>5.8499999046325684</v>
      </c>
      <c r="CZ305">
        <v>7.1500000953674316</v>
      </c>
      <c r="DA305">
        <v>1</v>
      </c>
      <c r="DB305">
        <v>1</v>
      </c>
      <c r="DC305">
        <v>0</v>
      </c>
      <c r="DD305">
        <v>0</v>
      </c>
      <c r="DE305">
        <v>340.93</v>
      </c>
      <c r="DF305">
        <v>501.23</v>
      </c>
      <c r="DG305">
        <v>0</v>
      </c>
      <c r="DH305">
        <v>0</v>
      </c>
      <c r="DI305">
        <v>0</v>
      </c>
      <c r="DJ305" t="s">
        <v>4006</v>
      </c>
      <c r="DM305">
        <v>1.1200000000000001</v>
      </c>
      <c r="DN305">
        <v>3687.5</v>
      </c>
      <c r="EL305">
        <v>0</v>
      </c>
      <c r="EM305" t="s">
        <v>1633</v>
      </c>
    </row>
    <row r="306" spans="1:143" x14ac:dyDescent="0.35">
      <c r="A306" t="s">
        <v>79</v>
      </c>
      <c r="B306" t="s">
        <v>1635</v>
      </c>
      <c r="C306" t="s">
        <v>116</v>
      </c>
      <c r="D306" t="s">
        <v>146</v>
      </c>
      <c r="G306" t="s">
        <v>4007</v>
      </c>
      <c r="K306" t="s">
        <v>4008</v>
      </c>
      <c r="L306" t="s">
        <v>1896</v>
      </c>
      <c r="M306" t="s">
        <v>4009</v>
      </c>
      <c r="N306" t="s">
        <v>1898</v>
      </c>
      <c r="R306" t="s">
        <v>119</v>
      </c>
      <c r="S306" t="s">
        <v>1636</v>
      </c>
      <c r="T306" t="s">
        <v>117</v>
      </c>
      <c r="Z306" t="s">
        <v>4010</v>
      </c>
      <c r="AB306">
        <v>2</v>
      </c>
      <c r="AC306">
        <v>6</v>
      </c>
      <c r="AD306" t="s">
        <v>2221</v>
      </c>
      <c r="AJ306">
        <v>0</v>
      </c>
      <c r="AL306">
        <v>0</v>
      </c>
      <c r="AS306" t="b">
        <v>0</v>
      </c>
      <c r="AV306" t="s">
        <v>1636</v>
      </c>
      <c r="AX306" t="s">
        <v>1639</v>
      </c>
      <c r="AY306" t="b">
        <v>1</v>
      </c>
      <c r="AZ306" t="b">
        <v>1</v>
      </c>
      <c r="BA306" t="s">
        <v>1956</v>
      </c>
      <c r="BF306" t="s">
        <v>1906</v>
      </c>
      <c r="BG306" t="s">
        <v>4011</v>
      </c>
      <c r="BI306" t="s">
        <v>1636</v>
      </c>
      <c r="BL306" t="s">
        <v>4012</v>
      </c>
      <c r="BM306" t="s">
        <v>1637</v>
      </c>
      <c r="BN306" t="s">
        <v>1637</v>
      </c>
      <c r="BO306" t="s">
        <v>1637</v>
      </c>
      <c r="BQ306" t="s">
        <v>4010</v>
      </c>
      <c r="BR306">
        <v>2</v>
      </c>
      <c r="BS306">
        <v>6</v>
      </c>
      <c r="BU306" t="s">
        <v>1908</v>
      </c>
      <c r="BW306" t="s">
        <v>1948</v>
      </c>
      <c r="BX306" t="s">
        <v>1949</v>
      </c>
      <c r="BY306" t="s">
        <v>2039</v>
      </c>
      <c r="BZ306" t="s">
        <v>1995</v>
      </c>
      <c r="CA306" t="s">
        <v>1950</v>
      </c>
      <c r="CB306" t="s">
        <v>4013</v>
      </c>
      <c r="CC306" t="s">
        <v>1961</v>
      </c>
      <c r="CD306" t="s">
        <v>1962</v>
      </c>
      <c r="CE306">
        <v>76.099999999999994</v>
      </c>
      <c r="CF306">
        <v>60.2</v>
      </c>
      <c r="CG306">
        <v>78.7</v>
      </c>
      <c r="CH306">
        <v>1011</v>
      </c>
      <c r="CI306">
        <v>77</v>
      </c>
      <c r="CJ306">
        <v>57.7</v>
      </c>
      <c r="CK306">
        <v>77.900000000000006</v>
      </c>
      <c r="CL306">
        <v>78.7</v>
      </c>
      <c r="CM306">
        <v>76.099999999999994</v>
      </c>
      <c r="CN306">
        <v>31680</v>
      </c>
      <c r="CO306">
        <v>4.5</v>
      </c>
      <c r="CP306">
        <v>208</v>
      </c>
      <c r="CQ306">
        <v>53</v>
      </c>
      <c r="CR306">
        <v>0</v>
      </c>
      <c r="CS306">
        <v>0</v>
      </c>
      <c r="CT306" t="s">
        <v>1915</v>
      </c>
      <c r="CU306">
        <v>166.8500061035156</v>
      </c>
      <c r="CV306">
        <v>119</v>
      </c>
      <c r="CW306">
        <v>4.0500001907348633</v>
      </c>
      <c r="CX306">
        <v>4.75</v>
      </c>
      <c r="CY306">
        <v>11.55000019073486</v>
      </c>
      <c r="CZ306">
        <v>12.14999961853027</v>
      </c>
      <c r="DA306">
        <v>1</v>
      </c>
      <c r="DB306">
        <v>1</v>
      </c>
      <c r="DC306">
        <v>0</v>
      </c>
      <c r="DD306">
        <v>0</v>
      </c>
      <c r="DE306">
        <v>117.38</v>
      </c>
      <c r="DF306">
        <v>175.08</v>
      </c>
      <c r="DG306">
        <v>0</v>
      </c>
      <c r="DH306">
        <v>0</v>
      </c>
      <c r="DI306">
        <v>0</v>
      </c>
      <c r="DJ306" t="s">
        <v>2346</v>
      </c>
      <c r="DM306">
        <v>21.95</v>
      </c>
      <c r="DN306">
        <v>215.7</v>
      </c>
      <c r="DR306" t="s">
        <v>2039</v>
      </c>
      <c r="DS306">
        <v>805389</v>
      </c>
      <c r="DT306" t="s">
        <v>4014</v>
      </c>
      <c r="DU306" t="s">
        <v>2039</v>
      </c>
      <c r="DV306" t="s">
        <v>2257</v>
      </c>
      <c r="DW306" t="s">
        <v>2257</v>
      </c>
      <c r="DX306" t="s">
        <v>2257</v>
      </c>
      <c r="EL306">
        <v>0</v>
      </c>
      <c r="EM306" t="s">
        <v>1638</v>
      </c>
    </row>
    <row r="307" spans="1:143" x14ac:dyDescent="0.35">
      <c r="A307" t="s">
        <v>81</v>
      </c>
      <c r="B307" t="s">
        <v>1640</v>
      </c>
      <c r="C307" t="s">
        <v>116</v>
      </c>
      <c r="D307" t="s">
        <v>146</v>
      </c>
      <c r="G307" t="s">
        <v>4015</v>
      </c>
      <c r="K307" t="s">
        <v>2072</v>
      </c>
      <c r="L307" t="s">
        <v>1896</v>
      </c>
      <c r="M307" t="s">
        <v>2073</v>
      </c>
      <c r="N307" t="s">
        <v>1898</v>
      </c>
      <c r="R307" t="s">
        <v>119</v>
      </c>
      <c r="S307" t="s">
        <v>1641</v>
      </c>
      <c r="T307" t="s">
        <v>117</v>
      </c>
      <c r="Z307" t="s">
        <v>4016</v>
      </c>
      <c r="AB307">
        <v>1</v>
      </c>
      <c r="AC307">
        <v>1</v>
      </c>
      <c r="AJ307">
        <v>0</v>
      </c>
      <c r="AL307">
        <v>0</v>
      </c>
      <c r="AV307" t="s">
        <v>1641</v>
      </c>
      <c r="AX307" t="s">
        <v>1644</v>
      </c>
      <c r="BF307" t="s">
        <v>1906</v>
      </c>
      <c r="BG307" t="s">
        <v>4017</v>
      </c>
      <c r="BI307" t="s">
        <v>1641</v>
      </c>
      <c r="BM307" t="s">
        <v>1642</v>
      </c>
      <c r="BN307" t="s">
        <v>1642</v>
      </c>
      <c r="BO307" t="s">
        <v>1642</v>
      </c>
      <c r="BQ307" t="s">
        <v>4016</v>
      </c>
      <c r="BR307">
        <v>1</v>
      </c>
      <c r="BS307">
        <v>1</v>
      </c>
      <c r="BT307" t="s">
        <v>4018</v>
      </c>
      <c r="BU307" t="s">
        <v>1908</v>
      </c>
      <c r="BW307" t="s">
        <v>2114</v>
      </c>
      <c r="BX307" t="s">
        <v>1949</v>
      </c>
      <c r="BY307" t="s">
        <v>1911</v>
      </c>
      <c r="CB307" t="s">
        <v>4019</v>
      </c>
      <c r="CC307" t="s">
        <v>1913</v>
      </c>
      <c r="CD307" t="s">
        <v>1914</v>
      </c>
      <c r="CE307">
        <v>83.7</v>
      </c>
      <c r="CF307">
        <v>61.9</v>
      </c>
      <c r="CG307">
        <v>84.9</v>
      </c>
      <c r="CH307">
        <v>1015</v>
      </c>
      <c r="CI307">
        <v>48</v>
      </c>
      <c r="CJ307">
        <v>59.9</v>
      </c>
      <c r="CK307">
        <v>84.6</v>
      </c>
      <c r="CL307">
        <v>84.9</v>
      </c>
      <c r="CM307">
        <v>83.7</v>
      </c>
      <c r="CN307">
        <v>31680</v>
      </c>
      <c r="CO307">
        <v>8.3000000000000007</v>
      </c>
      <c r="CP307">
        <v>194</v>
      </c>
      <c r="CQ307">
        <v>88</v>
      </c>
      <c r="CR307">
        <v>0.02</v>
      </c>
      <c r="CS307">
        <v>0</v>
      </c>
      <c r="CT307" t="s">
        <v>1915</v>
      </c>
      <c r="CU307">
        <v>129</v>
      </c>
      <c r="CV307">
        <v>117</v>
      </c>
      <c r="CW307">
        <v>1.2</v>
      </c>
      <c r="CX307">
        <v>0.7</v>
      </c>
      <c r="CY307">
        <v>7.7</v>
      </c>
      <c r="CZ307">
        <v>9.6999999999999993</v>
      </c>
      <c r="DA307">
        <v>1</v>
      </c>
      <c r="DB307">
        <v>1</v>
      </c>
      <c r="DC307">
        <v>0</v>
      </c>
      <c r="DD307">
        <v>0</v>
      </c>
      <c r="DE307">
        <v>0</v>
      </c>
      <c r="DF307">
        <v>0</v>
      </c>
      <c r="DG307">
        <v>23.73</v>
      </c>
      <c r="DH307">
        <v>63.67</v>
      </c>
      <c r="DI307">
        <v>55.54</v>
      </c>
      <c r="DJ307" t="s">
        <v>2078</v>
      </c>
      <c r="DK307" t="s">
        <v>2079</v>
      </c>
      <c r="DL307" t="s">
        <v>4020</v>
      </c>
      <c r="DM307">
        <v>20.079999999999998</v>
      </c>
      <c r="DN307">
        <v>282.10000000000002</v>
      </c>
      <c r="EL307">
        <v>0</v>
      </c>
      <c r="EM307" t="s">
        <v>1643</v>
      </c>
    </row>
    <row r="308" spans="1:143" x14ac:dyDescent="0.35">
      <c r="A308" t="s">
        <v>81</v>
      </c>
      <c r="B308" t="s">
        <v>1645</v>
      </c>
      <c r="C308" t="s">
        <v>116</v>
      </c>
      <c r="D308" t="s">
        <v>120</v>
      </c>
      <c r="G308" t="s">
        <v>4021</v>
      </c>
      <c r="H308" t="s">
        <v>1920</v>
      </c>
      <c r="L308" t="s">
        <v>1896</v>
      </c>
      <c r="M308" t="s">
        <v>2073</v>
      </c>
      <c r="N308" t="s">
        <v>1898</v>
      </c>
      <c r="R308" t="s">
        <v>119</v>
      </c>
      <c r="S308" t="s">
        <v>1646</v>
      </c>
      <c r="T308" t="s">
        <v>117</v>
      </c>
      <c r="Z308" t="s">
        <v>4022</v>
      </c>
      <c r="AB308">
        <v>1</v>
      </c>
      <c r="AC308">
        <v>2</v>
      </c>
      <c r="AE308">
        <v>1900</v>
      </c>
      <c r="AF308" t="s">
        <v>3678</v>
      </c>
      <c r="AG308" t="s">
        <v>1928</v>
      </c>
      <c r="AH308" t="s">
        <v>1929</v>
      </c>
      <c r="AI308">
        <v>208700</v>
      </c>
      <c r="AJ308">
        <v>0</v>
      </c>
      <c r="AL308">
        <v>0</v>
      </c>
      <c r="AV308" t="s">
        <v>1646</v>
      </c>
      <c r="AX308" t="s">
        <v>1649</v>
      </c>
      <c r="BD308" t="s">
        <v>4023</v>
      </c>
      <c r="BF308" t="s">
        <v>1906</v>
      </c>
      <c r="BG308" t="s">
        <v>4024</v>
      </c>
      <c r="BI308" t="s">
        <v>1646</v>
      </c>
      <c r="BM308" t="s">
        <v>1647</v>
      </c>
      <c r="BN308" t="s">
        <v>1647</v>
      </c>
      <c r="BO308" t="s">
        <v>1647</v>
      </c>
      <c r="BQ308" t="s">
        <v>4022</v>
      </c>
      <c r="BR308">
        <v>1</v>
      </c>
      <c r="BS308">
        <v>2</v>
      </c>
      <c r="BU308" t="s">
        <v>1908</v>
      </c>
      <c r="BW308" t="s">
        <v>2114</v>
      </c>
      <c r="BX308" t="s">
        <v>1949</v>
      </c>
      <c r="BY308" t="s">
        <v>1911</v>
      </c>
      <c r="CB308" t="s">
        <v>4025</v>
      </c>
      <c r="CC308" t="s">
        <v>1996</v>
      </c>
      <c r="CD308" t="s">
        <v>2414</v>
      </c>
      <c r="CE308">
        <v>60.4</v>
      </c>
      <c r="CF308">
        <v>48.5</v>
      </c>
      <c r="CG308">
        <v>60.4</v>
      </c>
      <c r="CH308">
        <v>1022</v>
      </c>
      <c r="CI308">
        <v>65</v>
      </c>
      <c r="CJ308">
        <v>60.1</v>
      </c>
      <c r="CK308">
        <v>85.6</v>
      </c>
      <c r="CL308">
        <v>60.4</v>
      </c>
      <c r="CM308">
        <v>60.4</v>
      </c>
      <c r="CN308">
        <v>31680</v>
      </c>
      <c r="CO308">
        <v>2.9</v>
      </c>
      <c r="CP308">
        <v>268</v>
      </c>
      <c r="CQ308">
        <v>0</v>
      </c>
      <c r="CR308">
        <v>0</v>
      </c>
      <c r="CS308">
        <v>0</v>
      </c>
      <c r="CT308" t="s">
        <v>2415</v>
      </c>
      <c r="CU308">
        <v>216</v>
      </c>
      <c r="CV308">
        <v>40</v>
      </c>
      <c r="CW308">
        <v>23</v>
      </c>
      <c r="CX308">
        <v>0.5</v>
      </c>
      <c r="CY308">
        <v>13.6</v>
      </c>
      <c r="CZ308">
        <v>14</v>
      </c>
      <c r="DA308">
        <v>1</v>
      </c>
      <c r="DB308">
        <v>2</v>
      </c>
      <c r="DC308">
        <v>0</v>
      </c>
      <c r="DD308">
        <v>0</v>
      </c>
      <c r="DE308">
        <v>0</v>
      </c>
      <c r="DF308">
        <v>0</v>
      </c>
      <c r="DG308">
        <v>42.35</v>
      </c>
      <c r="DH308">
        <v>33.549999999999997</v>
      </c>
      <c r="DI308">
        <v>0</v>
      </c>
      <c r="DJ308" t="s">
        <v>2078</v>
      </c>
      <c r="DK308" t="s">
        <v>2079</v>
      </c>
      <c r="DL308" t="s">
        <v>4026</v>
      </c>
      <c r="DM308">
        <v>20.079999999999998</v>
      </c>
      <c r="DN308">
        <v>282.10000000000002</v>
      </c>
      <c r="EL308">
        <v>0</v>
      </c>
      <c r="EM308" t="s">
        <v>1648</v>
      </c>
    </row>
    <row r="309" spans="1:143" x14ac:dyDescent="0.35">
      <c r="A309" t="s">
        <v>81</v>
      </c>
      <c r="B309" t="s">
        <v>1650</v>
      </c>
      <c r="C309" t="s">
        <v>116</v>
      </c>
      <c r="D309" t="s">
        <v>146</v>
      </c>
      <c r="G309" t="s">
        <v>4027</v>
      </c>
      <c r="K309" t="s">
        <v>2072</v>
      </c>
      <c r="L309" t="s">
        <v>1896</v>
      </c>
      <c r="M309" t="s">
        <v>2073</v>
      </c>
      <c r="N309" t="s">
        <v>1898</v>
      </c>
      <c r="R309" t="s">
        <v>119</v>
      </c>
      <c r="S309" t="s">
        <v>1651</v>
      </c>
      <c r="T309" t="s">
        <v>117</v>
      </c>
      <c r="Z309" t="s">
        <v>4016</v>
      </c>
      <c r="AB309">
        <v>1</v>
      </c>
      <c r="AC309">
        <v>2</v>
      </c>
      <c r="AJ309">
        <v>0</v>
      </c>
      <c r="AL309">
        <v>0</v>
      </c>
      <c r="AV309" t="s">
        <v>1651</v>
      </c>
      <c r="AX309" t="s">
        <v>1654</v>
      </c>
      <c r="BF309" t="s">
        <v>1906</v>
      </c>
      <c r="BG309" t="s">
        <v>4028</v>
      </c>
      <c r="BI309" t="s">
        <v>1651</v>
      </c>
      <c r="BM309" t="s">
        <v>1652</v>
      </c>
      <c r="BN309" t="s">
        <v>1652</v>
      </c>
      <c r="BO309" t="s">
        <v>1652</v>
      </c>
      <c r="BQ309" t="s">
        <v>4016</v>
      </c>
      <c r="BR309">
        <v>1</v>
      </c>
      <c r="BS309">
        <v>2</v>
      </c>
      <c r="BU309" t="s">
        <v>1908</v>
      </c>
      <c r="BW309" t="s">
        <v>2114</v>
      </c>
      <c r="BX309" t="s">
        <v>1949</v>
      </c>
      <c r="BY309" t="s">
        <v>1911</v>
      </c>
      <c r="CB309" t="s">
        <v>4029</v>
      </c>
      <c r="CC309" t="s">
        <v>1996</v>
      </c>
      <c r="CD309" t="s">
        <v>1997</v>
      </c>
      <c r="CE309">
        <v>76.599999999999994</v>
      </c>
      <c r="CF309">
        <v>53.9</v>
      </c>
      <c r="CG309">
        <v>77.8</v>
      </c>
      <c r="CH309">
        <v>1007</v>
      </c>
      <c r="CI309">
        <v>47</v>
      </c>
      <c r="CJ309">
        <v>64.400000000000006</v>
      </c>
      <c r="CK309">
        <v>79.7</v>
      </c>
      <c r="CL309">
        <v>77.8</v>
      </c>
      <c r="CM309">
        <v>76.599999999999994</v>
      </c>
      <c r="CN309">
        <v>31680</v>
      </c>
      <c r="CO309">
        <v>12.5</v>
      </c>
      <c r="CP309">
        <v>316</v>
      </c>
      <c r="CQ309">
        <v>2</v>
      </c>
      <c r="CR309">
        <v>0</v>
      </c>
      <c r="CS309">
        <v>0</v>
      </c>
      <c r="CT309" t="s">
        <v>1915</v>
      </c>
      <c r="CU309">
        <v>123</v>
      </c>
      <c r="CV309">
        <v>77</v>
      </c>
      <c r="CW309">
        <v>0.6</v>
      </c>
      <c r="CX309">
        <v>0.3</v>
      </c>
      <c r="CY309">
        <v>1.9</v>
      </c>
      <c r="CZ309">
        <v>1.9</v>
      </c>
      <c r="DA309">
        <v>1</v>
      </c>
      <c r="DB309">
        <v>1</v>
      </c>
      <c r="DC309">
        <v>0</v>
      </c>
      <c r="DD309">
        <v>0</v>
      </c>
      <c r="DE309">
        <v>0</v>
      </c>
      <c r="DF309">
        <v>0</v>
      </c>
      <c r="DG309">
        <v>84.65</v>
      </c>
      <c r="DH309">
        <v>50.24</v>
      </c>
      <c r="DI309">
        <v>0</v>
      </c>
      <c r="DJ309" t="s">
        <v>2078</v>
      </c>
      <c r="DK309" t="s">
        <v>2079</v>
      </c>
      <c r="DL309" t="s">
        <v>4020</v>
      </c>
      <c r="DM309">
        <v>20.079999999999998</v>
      </c>
      <c r="DN309">
        <v>282.10000000000002</v>
      </c>
      <c r="EL309">
        <v>0</v>
      </c>
      <c r="EM309" t="s">
        <v>1653</v>
      </c>
    </row>
    <row r="310" spans="1:143" x14ac:dyDescent="0.35">
      <c r="A310" t="s">
        <v>81</v>
      </c>
      <c r="B310" t="s">
        <v>1655</v>
      </c>
      <c r="C310" t="s">
        <v>116</v>
      </c>
      <c r="D310" t="s">
        <v>146</v>
      </c>
      <c r="G310" t="s">
        <v>2071</v>
      </c>
      <c r="K310" t="s">
        <v>2072</v>
      </c>
      <c r="L310" t="s">
        <v>1896</v>
      </c>
      <c r="M310" t="s">
        <v>2073</v>
      </c>
      <c r="N310" t="s">
        <v>1898</v>
      </c>
      <c r="R310" t="s">
        <v>119</v>
      </c>
      <c r="S310" t="s">
        <v>1656</v>
      </c>
      <c r="T310" t="s">
        <v>382</v>
      </c>
      <c r="U310" t="s">
        <v>4030</v>
      </c>
      <c r="V310" t="s">
        <v>4031</v>
      </c>
      <c r="W310" t="s">
        <v>4032</v>
      </c>
      <c r="X310" t="s">
        <v>4033</v>
      </c>
      <c r="Y310" t="s">
        <v>2027</v>
      </c>
      <c r="Z310" t="s">
        <v>4034</v>
      </c>
      <c r="AB310">
        <v>4</v>
      </c>
      <c r="AC310">
        <v>6</v>
      </c>
      <c r="AJ310">
        <v>0</v>
      </c>
      <c r="AL310">
        <v>0</v>
      </c>
      <c r="AV310" t="s">
        <v>1656</v>
      </c>
      <c r="AX310" t="s">
        <v>1660</v>
      </c>
      <c r="BF310" t="s">
        <v>1906</v>
      </c>
      <c r="BG310" t="s">
        <v>2529</v>
      </c>
      <c r="BI310" t="s">
        <v>1656</v>
      </c>
      <c r="BK310" t="b">
        <v>0</v>
      </c>
      <c r="BM310" t="s">
        <v>1657</v>
      </c>
      <c r="BN310" t="s">
        <v>1657</v>
      </c>
      <c r="BO310" t="s">
        <v>1657</v>
      </c>
      <c r="BQ310" t="s">
        <v>4034</v>
      </c>
      <c r="BR310">
        <v>4</v>
      </c>
      <c r="BS310">
        <v>6</v>
      </c>
      <c r="BU310" t="s">
        <v>1908</v>
      </c>
      <c r="BV310">
        <v>0.5</v>
      </c>
      <c r="BW310" t="s">
        <v>2032</v>
      </c>
      <c r="BX310" t="s">
        <v>1949</v>
      </c>
      <c r="BY310" t="s">
        <v>1970</v>
      </c>
      <c r="CA310" t="s">
        <v>4035</v>
      </c>
      <c r="CB310" t="s">
        <v>2077</v>
      </c>
      <c r="CC310" t="s">
        <v>1996</v>
      </c>
      <c r="CD310" t="s">
        <v>1997</v>
      </c>
      <c r="CE310">
        <v>82.8</v>
      </c>
      <c r="CF310">
        <v>40.799999999999997</v>
      </c>
      <c r="CG310">
        <v>79.599999999999994</v>
      </c>
      <c r="CH310">
        <v>1015</v>
      </c>
      <c r="CI310">
        <v>23</v>
      </c>
      <c r="CJ310">
        <v>57.4</v>
      </c>
      <c r="CK310">
        <v>83.1</v>
      </c>
      <c r="CL310">
        <v>79.599999999999994</v>
      </c>
      <c r="CM310">
        <v>82.8</v>
      </c>
      <c r="CN310">
        <v>31680</v>
      </c>
      <c r="CO310">
        <v>7.4</v>
      </c>
      <c r="CP310">
        <v>310</v>
      </c>
      <c r="CQ310">
        <v>9</v>
      </c>
      <c r="CR310">
        <v>0</v>
      </c>
      <c r="CS310">
        <v>0</v>
      </c>
      <c r="CT310" t="s">
        <v>1915</v>
      </c>
      <c r="CU310">
        <v>105</v>
      </c>
      <c r="CV310">
        <v>90</v>
      </c>
      <c r="CW310">
        <v>0.5</v>
      </c>
      <c r="CX310">
        <v>0.3</v>
      </c>
      <c r="CY310">
        <v>2.9</v>
      </c>
      <c r="CZ310">
        <v>3.1</v>
      </c>
      <c r="DA310">
        <v>1</v>
      </c>
      <c r="DB310">
        <v>1</v>
      </c>
      <c r="DC310">
        <v>0</v>
      </c>
      <c r="DD310">
        <v>0</v>
      </c>
      <c r="DE310">
        <v>0</v>
      </c>
      <c r="DF310">
        <v>0</v>
      </c>
      <c r="DG310">
        <v>230.27</v>
      </c>
      <c r="DH310">
        <v>143.04</v>
      </c>
      <c r="DI310">
        <v>0</v>
      </c>
      <c r="DJ310" t="s">
        <v>2078</v>
      </c>
      <c r="DK310" t="s">
        <v>2079</v>
      </c>
      <c r="DL310" t="s">
        <v>2080</v>
      </c>
      <c r="DM310">
        <v>20.079999999999998</v>
      </c>
      <c r="DN310">
        <v>282.10000000000002</v>
      </c>
      <c r="EL310">
        <v>0</v>
      </c>
      <c r="EM310" t="s">
        <v>1658</v>
      </c>
    </row>
    <row r="311" spans="1:143" x14ac:dyDescent="0.35">
      <c r="A311" t="s">
        <v>81</v>
      </c>
      <c r="B311" t="s">
        <v>1661</v>
      </c>
      <c r="C311" t="s">
        <v>116</v>
      </c>
      <c r="D311" t="s">
        <v>146</v>
      </c>
      <c r="G311" t="s">
        <v>2516</v>
      </c>
      <c r="K311" t="s">
        <v>2097</v>
      </c>
      <c r="L311" t="s">
        <v>1896</v>
      </c>
      <c r="M311" t="s">
        <v>2098</v>
      </c>
      <c r="N311" t="s">
        <v>1898</v>
      </c>
      <c r="R311" t="s">
        <v>119</v>
      </c>
      <c r="S311" t="s">
        <v>1662</v>
      </c>
      <c r="T311" t="s">
        <v>117</v>
      </c>
      <c r="V311" t="s">
        <v>2014</v>
      </c>
      <c r="W311" t="s">
        <v>1923</v>
      </c>
      <c r="X311" t="s">
        <v>36</v>
      </c>
      <c r="Z311" t="s">
        <v>4036</v>
      </c>
      <c r="AB311">
        <v>1</v>
      </c>
      <c r="AC311">
        <v>1</v>
      </c>
      <c r="AG311" t="s">
        <v>2518</v>
      </c>
      <c r="AH311" t="s">
        <v>1903</v>
      </c>
      <c r="AI311">
        <v>308200</v>
      </c>
      <c r="AJ311">
        <v>0</v>
      </c>
      <c r="AL311">
        <v>0</v>
      </c>
      <c r="AV311" t="s">
        <v>1662</v>
      </c>
      <c r="AX311" t="s">
        <v>1664</v>
      </c>
      <c r="BF311" t="s">
        <v>1906</v>
      </c>
      <c r="BG311" t="s">
        <v>4037</v>
      </c>
      <c r="BI311" t="s">
        <v>1662</v>
      </c>
      <c r="BM311" t="s">
        <v>498</v>
      </c>
      <c r="BN311" t="s">
        <v>498</v>
      </c>
      <c r="BO311" t="s">
        <v>498</v>
      </c>
      <c r="BQ311" t="s">
        <v>4036</v>
      </c>
      <c r="BR311">
        <v>1</v>
      </c>
      <c r="BS311">
        <v>1</v>
      </c>
      <c r="BT311" t="s">
        <v>2520</v>
      </c>
      <c r="CB311" t="s">
        <v>2521</v>
      </c>
      <c r="CC311" t="s">
        <v>1938</v>
      </c>
      <c r="CD311" t="s">
        <v>1939</v>
      </c>
      <c r="CE311">
        <v>73.599999999999994</v>
      </c>
      <c r="CF311">
        <v>61.2</v>
      </c>
      <c r="CG311">
        <v>77</v>
      </c>
      <c r="CH311">
        <v>1022</v>
      </c>
      <c r="CI311">
        <v>65</v>
      </c>
      <c r="CJ311">
        <v>63.5</v>
      </c>
      <c r="CK311">
        <v>75.2</v>
      </c>
      <c r="CL311">
        <v>77</v>
      </c>
      <c r="CM311">
        <v>73.599999999999994</v>
      </c>
      <c r="CN311">
        <v>15840</v>
      </c>
      <c r="CO311">
        <v>3.8</v>
      </c>
      <c r="CP311">
        <v>123</v>
      </c>
      <c r="CQ311">
        <v>74</v>
      </c>
      <c r="CR311">
        <v>0</v>
      </c>
      <c r="CS311">
        <v>0</v>
      </c>
      <c r="CT311" t="s">
        <v>1915</v>
      </c>
      <c r="CU311">
        <v>132</v>
      </c>
      <c r="CV311">
        <v>100</v>
      </c>
      <c r="CW311">
        <v>3.2</v>
      </c>
      <c r="CX311">
        <v>0.4</v>
      </c>
      <c r="CY311">
        <v>8.5</v>
      </c>
      <c r="CZ311">
        <v>9.1999999999999993</v>
      </c>
      <c r="DA311">
        <v>1</v>
      </c>
      <c r="DB311">
        <v>1</v>
      </c>
      <c r="DC311">
        <v>0</v>
      </c>
      <c r="DD311">
        <v>0</v>
      </c>
      <c r="DE311">
        <v>0</v>
      </c>
      <c r="DF311">
        <v>0</v>
      </c>
      <c r="DG311">
        <v>65.72</v>
      </c>
      <c r="DH311">
        <v>31.2</v>
      </c>
      <c r="DI311">
        <v>0</v>
      </c>
      <c r="DJ311" t="s">
        <v>2101</v>
      </c>
      <c r="DK311" t="s">
        <v>2522</v>
      </c>
      <c r="DL311" t="s">
        <v>2523</v>
      </c>
      <c r="DM311">
        <v>27.98</v>
      </c>
      <c r="DN311">
        <v>301.7</v>
      </c>
      <c r="EL311">
        <v>0</v>
      </c>
      <c r="EM311" t="s">
        <v>1663</v>
      </c>
    </row>
    <row r="312" spans="1:143" x14ac:dyDescent="0.35">
      <c r="A312" t="s">
        <v>81</v>
      </c>
      <c r="B312" t="s">
        <v>1665</v>
      </c>
      <c r="C312" t="s">
        <v>116</v>
      </c>
      <c r="D312" t="s">
        <v>120</v>
      </c>
      <c r="G312" t="s">
        <v>4038</v>
      </c>
      <c r="H312" t="s">
        <v>1920</v>
      </c>
      <c r="L312" t="s">
        <v>1896</v>
      </c>
      <c r="M312" t="s">
        <v>2073</v>
      </c>
      <c r="N312" t="s">
        <v>1898</v>
      </c>
      <c r="R312" t="s">
        <v>119</v>
      </c>
      <c r="S312" t="s">
        <v>1666</v>
      </c>
      <c r="T312" t="s">
        <v>117</v>
      </c>
      <c r="Y312" t="s">
        <v>2136</v>
      </c>
      <c r="Z312" t="s">
        <v>4039</v>
      </c>
      <c r="AB312">
        <v>3</v>
      </c>
      <c r="AC312">
        <v>5</v>
      </c>
      <c r="AD312" t="s">
        <v>1966</v>
      </c>
      <c r="AJ312">
        <v>0</v>
      </c>
      <c r="AL312">
        <v>0</v>
      </c>
      <c r="AV312" t="s">
        <v>1666</v>
      </c>
      <c r="AX312" t="s">
        <v>1669</v>
      </c>
      <c r="AY312" t="b">
        <v>1</v>
      </c>
      <c r="BA312" t="s">
        <v>2164</v>
      </c>
      <c r="BD312" t="s">
        <v>4040</v>
      </c>
      <c r="BF312" t="s">
        <v>1906</v>
      </c>
      <c r="BG312" t="s">
        <v>1907</v>
      </c>
      <c r="BI312" t="s">
        <v>1666</v>
      </c>
      <c r="BK312" t="b">
        <v>0</v>
      </c>
      <c r="BM312" t="s">
        <v>1667</v>
      </c>
      <c r="BN312" t="s">
        <v>1667</v>
      </c>
      <c r="BO312" t="s">
        <v>1667</v>
      </c>
      <c r="BQ312" t="s">
        <v>4039</v>
      </c>
      <c r="BR312">
        <v>3</v>
      </c>
      <c r="BS312">
        <v>5</v>
      </c>
      <c r="BU312" t="s">
        <v>1908</v>
      </c>
      <c r="BV312">
        <v>0</v>
      </c>
      <c r="BW312" t="s">
        <v>1934</v>
      </c>
      <c r="BX312" t="s">
        <v>1949</v>
      </c>
      <c r="BY312" t="s">
        <v>1911</v>
      </c>
      <c r="CB312" t="s">
        <v>2934</v>
      </c>
      <c r="CC312" t="s">
        <v>1996</v>
      </c>
      <c r="CD312" t="s">
        <v>1997</v>
      </c>
      <c r="CE312">
        <v>89.7</v>
      </c>
      <c r="CF312">
        <v>57.1</v>
      </c>
      <c r="CG312">
        <v>88.4</v>
      </c>
      <c r="CH312">
        <v>1012</v>
      </c>
      <c r="CI312">
        <v>33</v>
      </c>
      <c r="CJ312">
        <v>58.1</v>
      </c>
      <c r="CK312">
        <v>90.3</v>
      </c>
      <c r="CL312">
        <v>88.4</v>
      </c>
      <c r="CM312">
        <v>89.7</v>
      </c>
      <c r="CN312">
        <v>31680</v>
      </c>
      <c r="CO312">
        <v>7.8</v>
      </c>
      <c r="CP312">
        <v>300</v>
      </c>
      <c r="CQ312">
        <v>0</v>
      </c>
      <c r="CR312">
        <v>0</v>
      </c>
      <c r="CS312">
        <v>0</v>
      </c>
      <c r="CT312" t="s">
        <v>1915</v>
      </c>
      <c r="CU312">
        <v>131</v>
      </c>
      <c r="CV312">
        <v>135</v>
      </c>
      <c r="CW312">
        <v>0.8</v>
      </c>
      <c r="CX312">
        <v>1.1000000000000001</v>
      </c>
      <c r="CY312">
        <v>4.5999999999999996</v>
      </c>
      <c r="CZ312">
        <v>5.6</v>
      </c>
      <c r="DA312">
        <v>1</v>
      </c>
      <c r="DB312">
        <v>1</v>
      </c>
      <c r="DC312">
        <v>0</v>
      </c>
      <c r="DD312">
        <v>0</v>
      </c>
      <c r="DE312">
        <v>0</v>
      </c>
      <c r="DF312">
        <v>0</v>
      </c>
      <c r="DG312">
        <v>208.23</v>
      </c>
      <c r="DH312">
        <v>0</v>
      </c>
      <c r="DI312">
        <v>0</v>
      </c>
      <c r="DJ312" t="s">
        <v>2078</v>
      </c>
      <c r="DM312">
        <v>20.079999999999998</v>
      </c>
      <c r="DN312">
        <v>282.10000000000002</v>
      </c>
      <c r="EL312">
        <v>0</v>
      </c>
      <c r="EM312" t="s">
        <v>1668</v>
      </c>
    </row>
    <row r="313" spans="1:143" x14ac:dyDescent="0.35">
      <c r="A313" t="s">
        <v>81</v>
      </c>
      <c r="B313" t="s">
        <v>1670</v>
      </c>
      <c r="C313" t="s">
        <v>116</v>
      </c>
      <c r="D313" t="s">
        <v>146</v>
      </c>
      <c r="K313" t="s">
        <v>2072</v>
      </c>
      <c r="L313" t="s">
        <v>1896</v>
      </c>
      <c r="M313" t="s">
        <v>2073</v>
      </c>
      <c r="N313" t="s">
        <v>1898</v>
      </c>
      <c r="R313" t="s">
        <v>119</v>
      </c>
      <c r="S313" t="s">
        <v>1671</v>
      </c>
      <c r="T313" t="s">
        <v>117</v>
      </c>
      <c r="V313" t="s">
        <v>2014</v>
      </c>
      <c r="W313" t="s">
        <v>2134</v>
      </c>
      <c r="X313" t="s">
        <v>69</v>
      </c>
      <c r="Z313" t="s">
        <v>4041</v>
      </c>
      <c r="AB313">
        <v>2</v>
      </c>
      <c r="AC313">
        <v>3</v>
      </c>
      <c r="AJ313">
        <v>0</v>
      </c>
      <c r="AL313">
        <v>0</v>
      </c>
      <c r="AV313" t="s">
        <v>1671</v>
      </c>
      <c r="AX313" t="s">
        <v>1673</v>
      </c>
      <c r="BF313" t="s">
        <v>1906</v>
      </c>
      <c r="BG313" t="s">
        <v>4042</v>
      </c>
      <c r="BI313" t="s">
        <v>1671</v>
      </c>
      <c r="BM313" t="s">
        <v>1552</v>
      </c>
      <c r="BN313" t="s">
        <v>1552</v>
      </c>
      <c r="BO313" t="s">
        <v>1552</v>
      </c>
      <c r="BQ313" t="s">
        <v>4041</v>
      </c>
      <c r="BR313">
        <v>2</v>
      </c>
      <c r="BS313">
        <v>3</v>
      </c>
      <c r="BU313" t="s">
        <v>1908</v>
      </c>
      <c r="BW313" t="s">
        <v>2128</v>
      </c>
      <c r="BX313" t="s">
        <v>1949</v>
      </c>
      <c r="BY313" t="s">
        <v>1970</v>
      </c>
      <c r="CB313" t="s">
        <v>2166</v>
      </c>
      <c r="CC313" t="s">
        <v>1996</v>
      </c>
      <c r="CD313" t="s">
        <v>1997</v>
      </c>
      <c r="CE313">
        <v>89.2</v>
      </c>
      <c r="CF313">
        <v>61.7</v>
      </c>
      <c r="CG313">
        <v>90.2</v>
      </c>
      <c r="CH313">
        <v>1013</v>
      </c>
      <c r="CI313">
        <v>39</v>
      </c>
      <c r="CJ313">
        <v>66.7</v>
      </c>
      <c r="CK313">
        <v>91.6</v>
      </c>
      <c r="CL313">
        <v>90.2</v>
      </c>
      <c r="CM313">
        <v>89.2</v>
      </c>
      <c r="CN313">
        <v>31680</v>
      </c>
      <c r="CO313">
        <v>10.7</v>
      </c>
      <c r="CP313">
        <v>267</v>
      </c>
      <c r="CQ313">
        <v>10</v>
      </c>
      <c r="CR313">
        <v>0</v>
      </c>
      <c r="CS313">
        <v>0</v>
      </c>
      <c r="CT313" t="s">
        <v>1915</v>
      </c>
      <c r="CU313">
        <v>191.8500061035156</v>
      </c>
      <c r="CV313">
        <v>143</v>
      </c>
      <c r="CW313">
        <v>3.4500000476837158</v>
      </c>
      <c r="CX313">
        <v>1.8500000238418579</v>
      </c>
      <c r="CY313">
        <v>11.55000019073486</v>
      </c>
      <c r="CZ313">
        <v>13.64999961853027</v>
      </c>
      <c r="DA313">
        <v>1</v>
      </c>
      <c r="DB313">
        <v>1</v>
      </c>
      <c r="DC313">
        <v>0</v>
      </c>
      <c r="DD313">
        <v>0</v>
      </c>
      <c r="DE313">
        <v>25.2</v>
      </c>
      <c r="DF313">
        <v>1.26</v>
      </c>
      <c r="DG313">
        <v>5.72</v>
      </c>
      <c r="DH313">
        <v>0</v>
      </c>
      <c r="DI313">
        <v>0</v>
      </c>
      <c r="DJ313" t="s">
        <v>2078</v>
      </c>
      <c r="DM313">
        <v>20.079999999999998</v>
      </c>
      <c r="DN313">
        <v>282.10000000000002</v>
      </c>
      <c r="EL313">
        <v>0</v>
      </c>
      <c r="EM313" t="s">
        <v>1672</v>
      </c>
    </row>
    <row r="314" spans="1:143" x14ac:dyDescent="0.35">
      <c r="A314" t="s">
        <v>81</v>
      </c>
      <c r="B314" t="s">
        <v>1674</v>
      </c>
      <c r="C314" t="s">
        <v>116</v>
      </c>
      <c r="D314" t="s">
        <v>146</v>
      </c>
      <c r="G314" t="s">
        <v>3885</v>
      </c>
      <c r="K314" t="s">
        <v>2097</v>
      </c>
      <c r="L314" t="s">
        <v>1896</v>
      </c>
      <c r="M314" t="s">
        <v>2098</v>
      </c>
      <c r="N314" t="s">
        <v>1898</v>
      </c>
      <c r="R314" t="s">
        <v>119</v>
      </c>
      <c r="S314" t="s">
        <v>1675</v>
      </c>
      <c r="T314" t="s">
        <v>117</v>
      </c>
      <c r="V314" t="s">
        <v>2014</v>
      </c>
      <c r="W314" t="s">
        <v>1923</v>
      </c>
      <c r="X314" t="s">
        <v>36</v>
      </c>
      <c r="Z314" t="s">
        <v>4043</v>
      </c>
      <c r="AB314">
        <v>3</v>
      </c>
      <c r="AC314">
        <v>5</v>
      </c>
      <c r="AJ314">
        <v>0</v>
      </c>
      <c r="AL314">
        <v>0</v>
      </c>
      <c r="AV314" t="s">
        <v>1675</v>
      </c>
      <c r="AX314" t="s">
        <v>1677</v>
      </c>
      <c r="BF314" t="s">
        <v>1906</v>
      </c>
      <c r="BG314" t="s">
        <v>4044</v>
      </c>
      <c r="BI314" t="s">
        <v>1675</v>
      </c>
      <c r="BM314" t="s">
        <v>1567</v>
      </c>
      <c r="BN314" t="s">
        <v>1567</v>
      </c>
      <c r="BO314" t="s">
        <v>1567</v>
      </c>
      <c r="BQ314" t="s">
        <v>4043</v>
      </c>
      <c r="BR314">
        <v>3</v>
      </c>
      <c r="BS314">
        <v>5</v>
      </c>
      <c r="BT314" t="s">
        <v>4045</v>
      </c>
      <c r="CB314" t="s">
        <v>2333</v>
      </c>
      <c r="CC314" t="s">
        <v>1996</v>
      </c>
      <c r="CD314" t="s">
        <v>1997</v>
      </c>
      <c r="CE314">
        <v>78.099999999999994</v>
      </c>
      <c r="CF314">
        <v>50.7</v>
      </c>
      <c r="CG314">
        <v>78.3</v>
      </c>
      <c r="CH314">
        <v>1007</v>
      </c>
      <c r="CI314">
        <v>37</v>
      </c>
      <c r="CJ314">
        <v>49.5</v>
      </c>
      <c r="CK314">
        <v>78.099999999999994</v>
      </c>
      <c r="CL314">
        <v>78.3</v>
      </c>
      <c r="CM314">
        <v>78.099999999999994</v>
      </c>
      <c r="CN314">
        <v>31680</v>
      </c>
      <c r="CO314">
        <v>15.7</v>
      </c>
      <c r="CP314">
        <v>224</v>
      </c>
      <c r="CQ314">
        <v>21</v>
      </c>
      <c r="CR314">
        <v>0</v>
      </c>
      <c r="CS314">
        <v>0</v>
      </c>
      <c r="CT314" t="s">
        <v>1915</v>
      </c>
      <c r="CU314">
        <v>161.8500061035156</v>
      </c>
      <c r="CV314">
        <v>137</v>
      </c>
      <c r="CW314">
        <v>3.3499999046325679</v>
      </c>
      <c r="CX314">
        <v>3.8499999046325679</v>
      </c>
      <c r="CY314">
        <v>11.14999961853027</v>
      </c>
      <c r="CZ314">
        <v>12.14999961853027</v>
      </c>
      <c r="DA314">
        <v>1</v>
      </c>
      <c r="DB314">
        <v>1</v>
      </c>
      <c r="DC314">
        <v>0</v>
      </c>
      <c r="DD314">
        <v>0</v>
      </c>
      <c r="DE314">
        <v>333.65</v>
      </c>
      <c r="DF314">
        <v>413.84</v>
      </c>
      <c r="DG314">
        <v>0</v>
      </c>
      <c r="DH314">
        <v>0</v>
      </c>
      <c r="DI314">
        <v>0</v>
      </c>
      <c r="DJ314" t="s">
        <v>2101</v>
      </c>
      <c r="DM314">
        <v>27.98</v>
      </c>
      <c r="DN314">
        <v>301.7</v>
      </c>
      <c r="EL314">
        <v>0</v>
      </c>
      <c r="EM314" t="s">
        <v>1676</v>
      </c>
    </row>
    <row r="315" spans="1:143" x14ac:dyDescent="0.35">
      <c r="A315" t="s">
        <v>81</v>
      </c>
      <c r="B315" t="s">
        <v>1678</v>
      </c>
      <c r="C315" t="s">
        <v>116</v>
      </c>
      <c r="D315" t="s">
        <v>146</v>
      </c>
      <c r="F315" t="s">
        <v>2149</v>
      </c>
      <c r="G315" t="s">
        <v>2072</v>
      </c>
      <c r="K315" t="s">
        <v>2072</v>
      </c>
      <c r="L315" t="s">
        <v>1896</v>
      </c>
      <c r="M315" t="s">
        <v>2073</v>
      </c>
      <c r="N315" t="s">
        <v>1898</v>
      </c>
      <c r="R315" t="s">
        <v>119</v>
      </c>
      <c r="S315" t="s">
        <v>1679</v>
      </c>
      <c r="T315" t="s">
        <v>117</v>
      </c>
      <c r="Z315" t="s">
        <v>4046</v>
      </c>
      <c r="AB315">
        <v>1</v>
      </c>
      <c r="AC315">
        <v>1</v>
      </c>
      <c r="AJ315">
        <v>0</v>
      </c>
      <c r="AL315">
        <v>0</v>
      </c>
      <c r="AV315" t="s">
        <v>1679</v>
      </c>
      <c r="AX315" t="s">
        <v>1682</v>
      </c>
      <c r="BF315" t="s">
        <v>1906</v>
      </c>
      <c r="BG315" t="s">
        <v>4024</v>
      </c>
      <c r="BI315" t="s">
        <v>1679</v>
      </c>
      <c r="BM315" t="s">
        <v>1680</v>
      </c>
      <c r="BN315" t="s">
        <v>1680</v>
      </c>
      <c r="BO315" t="s">
        <v>1680</v>
      </c>
      <c r="BQ315" t="s">
        <v>4046</v>
      </c>
      <c r="BR315">
        <v>1</v>
      </c>
      <c r="BS315">
        <v>1</v>
      </c>
      <c r="BU315" t="s">
        <v>1908</v>
      </c>
      <c r="BW315" t="s">
        <v>2114</v>
      </c>
      <c r="BX315" t="s">
        <v>3238</v>
      </c>
      <c r="BY315" t="s">
        <v>1970</v>
      </c>
      <c r="CB315" t="s">
        <v>4047</v>
      </c>
      <c r="CC315" t="s">
        <v>1961</v>
      </c>
      <c r="CD315" t="s">
        <v>1962</v>
      </c>
      <c r="CE315">
        <v>50.4</v>
      </c>
      <c r="CF315">
        <v>28.6</v>
      </c>
      <c r="CG315">
        <v>47.8</v>
      </c>
      <c r="CH315">
        <v>1016</v>
      </c>
      <c r="CI315">
        <v>42</v>
      </c>
      <c r="CJ315">
        <v>32.200000000000003</v>
      </c>
      <c r="CK315">
        <v>52.2</v>
      </c>
      <c r="CL315">
        <v>50.4</v>
      </c>
      <c r="CM315">
        <v>47.8</v>
      </c>
      <c r="CN315">
        <v>31680</v>
      </c>
      <c r="CO315">
        <v>6.9</v>
      </c>
      <c r="CP315">
        <v>109</v>
      </c>
      <c r="CQ315">
        <v>61</v>
      </c>
      <c r="CR315">
        <v>0</v>
      </c>
      <c r="CS315">
        <v>0</v>
      </c>
      <c r="CT315" t="s">
        <v>1915</v>
      </c>
      <c r="CU315">
        <v>156.8500061035156</v>
      </c>
      <c r="CV315">
        <v>89</v>
      </c>
      <c r="CW315">
        <v>5.6500000953674316</v>
      </c>
      <c r="CX315">
        <v>2.0499999523162842</v>
      </c>
      <c r="CY315">
        <v>3.8499999046325679</v>
      </c>
      <c r="CZ315">
        <v>4.1500000953674316</v>
      </c>
      <c r="DA315">
        <v>1</v>
      </c>
      <c r="DB315">
        <v>1</v>
      </c>
      <c r="DC315">
        <v>0</v>
      </c>
      <c r="DD315">
        <v>0</v>
      </c>
      <c r="DE315">
        <v>343.73</v>
      </c>
      <c r="DF315">
        <v>405.27</v>
      </c>
      <c r="DG315">
        <v>0</v>
      </c>
      <c r="DH315">
        <v>0</v>
      </c>
      <c r="DI315">
        <v>0</v>
      </c>
      <c r="DJ315" t="s">
        <v>2078</v>
      </c>
      <c r="DM315">
        <v>20.079999999999998</v>
      </c>
      <c r="DN315">
        <v>282.10000000000002</v>
      </c>
      <c r="EL315">
        <v>0</v>
      </c>
      <c r="EM315" t="s">
        <v>1681</v>
      </c>
    </row>
    <row r="316" spans="1:143" x14ac:dyDescent="0.35">
      <c r="A316" t="s">
        <v>81</v>
      </c>
      <c r="B316" t="s">
        <v>1683</v>
      </c>
      <c r="C316" t="s">
        <v>116</v>
      </c>
      <c r="D316" t="s">
        <v>146</v>
      </c>
      <c r="G316" t="s">
        <v>4048</v>
      </c>
      <c r="K316" t="s">
        <v>2072</v>
      </c>
      <c r="L316" t="s">
        <v>1896</v>
      </c>
      <c r="M316" t="s">
        <v>2073</v>
      </c>
      <c r="N316" t="s">
        <v>1898</v>
      </c>
      <c r="R316" t="s">
        <v>119</v>
      </c>
      <c r="S316" t="s">
        <v>1684</v>
      </c>
      <c r="T316" t="s">
        <v>117</v>
      </c>
      <c r="Z316" t="s">
        <v>4049</v>
      </c>
      <c r="AB316">
        <v>4</v>
      </c>
      <c r="AC316">
        <v>5</v>
      </c>
      <c r="AD316" t="s">
        <v>2273</v>
      </c>
      <c r="AJ316">
        <v>0</v>
      </c>
      <c r="AL316">
        <v>0</v>
      </c>
      <c r="AS316" t="b">
        <v>1</v>
      </c>
      <c r="AV316" t="s">
        <v>1684</v>
      </c>
      <c r="AX316" t="s">
        <v>1687</v>
      </c>
      <c r="AY316" t="b">
        <v>1</v>
      </c>
      <c r="AZ316" t="b">
        <v>1</v>
      </c>
      <c r="BA316" t="s">
        <v>1977</v>
      </c>
      <c r="BF316" t="s">
        <v>1906</v>
      </c>
      <c r="BG316" t="s">
        <v>1907</v>
      </c>
      <c r="BI316" t="s">
        <v>1684</v>
      </c>
      <c r="BK316" t="b">
        <v>0</v>
      </c>
      <c r="BM316" t="s">
        <v>1685</v>
      </c>
      <c r="BN316" t="s">
        <v>1685</v>
      </c>
      <c r="BO316" t="s">
        <v>1685</v>
      </c>
      <c r="BQ316" t="s">
        <v>4049</v>
      </c>
      <c r="BR316">
        <v>4</v>
      </c>
      <c r="BS316">
        <v>5</v>
      </c>
      <c r="BU316" t="s">
        <v>1908</v>
      </c>
      <c r="BV316">
        <v>0.2</v>
      </c>
      <c r="BW316" t="s">
        <v>1948</v>
      </c>
      <c r="BX316" t="s">
        <v>1949</v>
      </c>
      <c r="BY316" t="s">
        <v>1911</v>
      </c>
      <c r="CA316" t="s">
        <v>2147</v>
      </c>
      <c r="CB316" t="s">
        <v>4005</v>
      </c>
      <c r="CC316" t="s">
        <v>1972</v>
      </c>
      <c r="CD316" t="s">
        <v>1973</v>
      </c>
      <c r="CE316">
        <v>53.6</v>
      </c>
      <c r="CF316">
        <v>35.4</v>
      </c>
      <c r="CG316">
        <v>49.5</v>
      </c>
      <c r="CH316">
        <v>1011</v>
      </c>
      <c r="CI316">
        <v>49</v>
      </c>
      <c r="CJ316">
        <v>36.9</v>
      </c>
      <c r="CK316">
        <v>53.6</v>
      </c>
      <c r="CL316">
        <v>53.6</v>
      </c>
      <c r="CM316">
        <v>49.5</v>
      </c>
      <c r="CN316">
        <v>31680</v>
      </c>
      <c r="CO316">
        <v>14.1</v>
      </c>
      <c r="CP316">
        <v>325</v>
      </c>
      <c r="CQ316">
        <v>92</v>
      </c>
      <c r="CR316">
        <v>0</v>
      </c>
      <c r="CS316">
        <v>0</v>
      </c>
      <c r="CT316" t="s">
        <v>1915</v>
      </c>
      <c r="CU316">
        <v>153.8500061035156</v>
      </c>
      <c r="CV316">
        <v>110</v>
      </c>
      <c r="CW316">
        <v>1.8500000238418579</v>
      </c>
      <c r="CX316">
        <v>1.75</v>
      </c>
      <c r="CY316">
        <v>5.5500001907348633</v>
      </c>
      <c r="CZ316">
        <v>6.75</v>
      </c>
      <c r="DA316">
        <v>1</v>
      </c>
      <c r="DB316">
        <v>1</v>
      </c>
      <c r="DC316">
        <v>0</v>
      </c>
      <c r="DD316">
        <v>0</v>
      </c>
      <c r="DE316">
        <v>346.41</v>
      </c>
      <c r="DF316">
        <v>509.28</v>
      </c>
      <c r="DG316">
        <v>0</v>
      </c>
      <c r="DH316">
        <v>0</v>
      </c>
      <c r="DI316">
        <v>0</v>
      </c>
      <c r="DJ316" t="s">
        <v>2078</v>
      </c>
      <c r="DM316">
        <v>20.079999999999998</v>
      </c>
      <c r="DN316">
        <v>282.10000000000002</v>
      </c>
      <c r="DR316" t="s">
        <v>2039</v>
      </c>
      <c r="DS316">
        <v>628066</v>
      </c>
      <c r="DT316" t="s">
        <v>4050</v>
      </c>
      <c r="DU316" t="s">
        <v>2039</v>
      </c>
      <c r="DV316" t="s">
        <v>2039</v>
      </c>
      <c r="DW316" t="s">
        <v>2039</v>
      </c>
      <c r="DX316" t="s">
        <v>2039</v>
      </c>
      <c r="EL316">
        <v>0</v>
      </c>
      <c r="EM316" t="s">
        <v>1686</v>
      </c>
    </row>
    <row r="317" spans="1:143" x14ac:dyDescent="0.35">
      <c r="A317" t="s">
        <v>81</v>
      </c>
      <c r="B317" t="s">
        <v>1688</v>
      </c>
      <c r="C317" t="s">
        <v>116</v>
      </c>
      <c r="D317" t="s">
        <v>146</v>
      </c>
      <c r="G317" t="s">
        <v>2072</v>
      </c>
      <c r="K317" t="s">
        <v>2097</v>
      </c>
      <c r="L317" t="s">
        <v>1896</v>
      </c>
      <c r="M317" t="s">
        <v>2098</v>
      </c>
      <c r="N317" t="s">
        <v>1898</v>
      </c>
      <c r="R317" t="s">
        <v>119</v>
      </c>
      <c r="S317" t="s">
        <v>1689</v>
      </c>
      <c r="T317" t="s">
        <v>117</v>
      </c>
      <c r="V317" t="s">
        <v>2014</v>
      </c>
      <c r="W317" t="s">
        <v>1923</v>
      </c>
      <c r="X317" t="s">
        <v>36</v>
      </c>
      <c r="Z317" t="s">
        <v>4051</v>
      </c>
      <c r="AB317">
        <v>1</v>
      </c>
      <c r="AC317">
        <v>2</v>
      </c>
      <c r="AJ317">
        <v>0</v>
      </c>
      <c r="AL317">
        <v>0</v>
      </c>
      <c r="AV317" t="s">
        <v>1689</v>
      </c>
      <c r="AX317" t="s">
        <v>1691</v>
      </c>
      <c r="BF317" t="s">
        <v>1906</v>
      </c>
      <c r="BG317" t="s">
        <v>3214</v>
      </c>
      <c r="BI317" t="s">
        <v>1689</v>
      </c>
      <c r="BM317" t="s">
        <v>508</v>
      </c>
      <c r="BN317" t="s">
        <v>508</v>
      </c>
      <c r="BO317" t="s">
        <v>508</v>
      </c>
      <c r="BQ317" t="s">
        <v>4051</v>
      </c>
      <c r="BR317">
        <v>1</v>
      </c>
      <c r="BS317">
        <v>2</v>
      </c>
      <c r="CB317" t="s">
        <v>2531</v>
      </c>
      <c r="CC317" t="s">
        <v>1961</v>
      </c>
      <c r="CD317" t="s">
        <v>1962</v>
      </c>
      <c r="CE317">
        <v>47.1</v>
      </c>
      <c r="CF317">
        <v>22.8</v>
      </c>
      <c r="CG317">
        <v>46.2</v>
      </c>
      <c r="CH317">
        <v>1033</v>
      </c>
      <c r="CI317">
        <v>39</v>
      </c>
      <c r="CJ317">
        <v>37.6</v>
      </c>
      <c r="CK317">
        <v>51.6</v>
      </c>
      <c r="CL317">
        <v>47.1</v>
      </c>
      <c r="CM317">
        <v>46.2</v>
      </c>
      <c r="CN317">
        <v>31680</v>
      </c>
      <c r="CO317">
        <v>2.5</v>
      </c>
      <c r="CP317">
        <v>298</v>
      </c>
      <c r="CQ317">
        <v>54</v>
      </c>
      <c r="CR317">
        <v>0</v>
      </c>
      <c r="CS317">
        <v>0</v>
      </c>
      <c r="CT317" t="s">
        <v>1915</v>
      </c>
      <c r="CU317">
        <v>161.8500061035156</v>
      </c>
      <c r="CV317">
        <v>103</v>
      </c>
      <c r="CW317">
        <v>3.8499999046325679</v>
      </c>
      <c r="CX317">
        <v>1.950000047683716</v>
      </c>
      <c r="CY317">
        <v>4.8499999046325684</v>
      </c>
      <c r="CZ317">
        <v>5.8499999046325684</v>
      </c>
      <c r="DA317">
        <v>1</v>
      </c>
      <c r="DB317">
        <v>1</v>
      </c>
      <c r="DC317">
        <v>0</v>
      </c>
      <c r="DD317">
        <v>0</v>
      </c>
      <c r="DE317">
        <v>114.91</v>
      </c>
      <c r="DF317">
        <v>164.24</v>
      </c>
      <c r="DG317">
        <v>0</v>
      </c>
      <c r="DH317">
        <v>0</v>
      </c>
      <c r="DI317">
        <v>0</v>
      </c>
      <c r="DJ317" t="s">
        <v>2101</v>
      </c>
      <c r="DM317">
        <v>27.98</v>
      </c>
      <c r="DN317">
        <v>301.7</v>
      </c>
      <c r="EL317">
        <v>0</v>
      </c>
      <c r="EM317" t="s">
        <v>1690</v>
      </c>
    </row>
    <row r="318" spans="1:143" x14ac:dyDescent="0.35">
      <c r="A318" t="s">
        <v>81</v>
      </c>
      <c r="B318" t="s">
        <v>1692</v>
      </c>
      <c r="C318" t="s">
        <v>116</v>
      </c>
      <c r="D318" t="s">
        <v>146</v>
      </c>
      <c r="G318" t="s">
        <v>2238</v>
      </c>
      <c r="K318" t="s">
        <v>2217</v>
      </c>
      <c r="L318" t="s">
        <v>1896</v>
      </c>
      <c r="M318" t="s">
        <v>2218</v>
      </c>
      <c r="N318" t="s">
        <v>1898</v>
      </c>
      <c r="R318" t="s">
        <v>119</v>
      </c>
      <c r="S318" t="s">
        <v>1693</v>
      </c>
      <c r="T318" t="s">
        <v>117</v>
      </c>
      <c r="V318" t="s">
        <v>2014</v>
      </c>
      <c r="W318" t="s">
        <v>1923</v>
      </c>
      <c r="X318" t="s">
        <v>2219</v>
      </c>
      <c r="Z318" t="s">
        <v>4051</v>
      </c>
      <c r="AB318">
        <v>1</v>
      </c>
      <c r="AC318">
        <v>2</v>
      </c>
      <c r="AJ318">
        <v>0</v>
      </c>
      <c r="AL318">
        <v>0</v>
      </c>
      <c r="AV318" t="s">
        <v>1693</v>
      </c>
      <c r="AX318" t="s">
        <v>1696</v>
      </c>
      <c r="BF318" t="s">
        <v>1906</v>
      </c>
      <c r="BG318" t="s">
        <v>3214</v>
      </c>
      <c r="BI318" t="s">
        <v>1693</v>
      </c>
      <c r="BM318" t="s">
        <v>1694</v>
      </c>
      <c r="BN318" t="s">
        <v>1694</v>
      </c>
      <c r="BO318" t="s">
        <v>1694</v>
      </c>
      <c r="BQ318" t="s">
        <v>4051</v>
      </c>
      <c r="BR318">
        <v>1</v>
      </c>
      <c r="BS318">
        <v>2</v>
      </c>
      <c r="CB318" t="s">
        <v>2241</v>
      </c>
      <c r="CC318" t="s">
        <v>1996</v>
      </c>
      <c r="CD318" t="s">
        <v>1997</v>
      </c>
      <c r="CE318">
        <v>55.8</v>
      </c>
      <c r="CF318">
        <v>30.4</v>
      </c>
      <c r="CG318">
        <v>52.3</v>
      </c>
      <c r="CH318">
        <v>1024</v>
      </c>
      <c r="CI318">
        <v>37</v>
      </c>
      <c r="CJ318">
        <v>43</v>
      </c>
      <c r="CK318">
        <v>56.3</v>
      </c>
      <c r="CL318">
        <v>55.8</v>
      </c>
      <c r="CM318">
        <v>52.3</v>
      </c>
      <c r="CN318">
        <v>31680</v>
      </c>
      <c r="CO318">
        <v>13.6</v>
      </c>
      <c r="CP318">
        <v>315</v>
      </c>
      <c r="CQ318">
        <v>0</v>
      </c>
      <c r="CR318">
        <v>0</v>
      </c>
      <c r="CS318">
        <v>0</v>
      </c>
      <c r="CT318" t="s">
        <v>1915</v>
      </c>
      <c r="CU318">
        <v>163.8500061035156</v>
      </c>
      <c r="CV318">
        <v>105</v>
      </c>
      <c r="CW318">
        <v>1.950000047683716</v>
      </c>
      <c r="CX318">
        <v>1.6499999761581421</v>
      </c>
      <c r="CY318">
        <v>3.0499999523162842</v>
      </c>
      <c r="CZ318">
        <v>3.3499999046325679</v>
      </c>
      <c r="DA318">
        <v>1</v>
      </c>
      <c r="DB318">
        <v>1</v>
      </c>
      <c r="DC318">
        <v>0</v>
      </c>
      <c r="DD318">
        <v>0</v>
      </c>
      <c r="DE318">
        <v>216.66</v>
      </c>
      <c r="DF318">
        <v>309.67</v>
      </c>
      <c r="DG318">
        <v>0</v>
      </c>
      <c r="DH318">
        <v>0</v>
      </c>
      <c r="DI318">
        <v>0</v>
      </c>
      <c r="DJ318" t="s">
        <v>2225</v>
      </c>
      <c r="DM318">
        <v>19.75</v>
      </c>
      <c r="DN318">
        <v>245.5</v>
      </c>
      <c r="EL318">
        <v>0</v>
      </c>
      <c r="EM318" t="s">
        <v>1695</v>
      </c>
    </row>
    <row r="319" spans="1:143" x14ac:dyDescent="0.35">
      <c r="A319" t="s">
        <v>83</v>
      </c>
      <c r="B319" t="s">
        <v>1697</v>
      </c>
      <c r="C319" t="s">
        <v>116</v>
      </c>
      <c r="D319" t="s">
        <v>146</v>
      </c>
      <c r="G319" t="s">
        <v>4052</v>
      </c>
      <c r="K319" t="s">
        <v>4053</v>
      </c>
      <c r="L319" t="s">
        <v>1896</v>
      </c>
      <c r="M319" t="s">
        <v>4054</v>
      </c>
      <c r="N319" t="s">
        <v>1898</v>
      </c>
      <c r="R319" t="s">
        <v>119</v>
      </c>
      <c r="S319" t="s">
        <v>1698</v>
      </c>
      <c r="T319" t="s">
        <v>117</v>
      </c>
      <c r="Z319" t="s">
        <v>4055</v>
      </c>
      <c r="AA319" t="s">
        <v>4056</v>
      </c>
      <c r="AB319">
        <v>4</v>
      </c>
      <c r="AC319">
        <v>6</v>
      </c>
      <c r="AF319" t="s">
        <v>4057</v>
      </c>
      <c r="AG319" t="s">
        <v>3335</v>
      </c>
      <c r="AH319" t="s">
        <v>1903</v>
      </c>
      <c r="AI319">
        <v>384000</v>
      </c>
      <c r="AJ319">
        <v>0</v>
      </c>
      <c r="AL319">
        <v>0</v>
      </c>
      <c r="AS319" t="b">
        <v>0</v>
      </c>
      <c r="AV319" t="s">
        <v>1698</v>
      </c>
      <c r="AX319" t="s">
        <v>1701</v>
      </c>
      <c r="BF319" t="s">
        <v>1906</v>
      </c>
      <c r="BG319" t="s">
        <v>1907</v>
      </c>
      <c r="BI319" t="s">
        <v>1698</v>
      </c>
      <c r="BL319" t="s">
        <v>4058</v>
      </c>
      <c r="BM319" t="s">
        <v>1699</v>
      </c>
      <c r="BN319" t="s">
        <v>1699</v>
      </c>
      <c r="BO319" t="s">
        <v>1699</v>
      </c>
      <c r="BQ319" t="s">
        <v>4055</v>
      </c>
      <c r="BR319">
        <v>4</v>
      </c>
      <c r="BS319">
        <v>6</v>
      </c>
      <c r="BU319" t="s">
        <v>1908</v>
      </c>
      <c r="BW319" t="s">
        <v>1909</v>
      </c>
      <c r="BX319" t="s">
        <v>1949</v>
      </c>
      <c r="BY319" t="s">
        <v>1911</v>
      </c>
      <c r="BZ319" t="s">
        <v>1995</v>
      </c>
      <c r="CB319" t="s">
        <v>4059</v>
      </c>
      <c r="CC319" t="s">
        <v>1996</v>
      </c>
      <c r="CD319" t="s">
        <v>1997</v>
      </c>
      <c r="CE319">
        <v>81.2</v>
      </c>
      <c r="CF319">
        <v>46.9</v>
      </c>
      <c r="CG319">
        <v>79.3</v>
      </c>
      <c r="CH319">
        <v>1022</v>
      </c>
      <c r="CI319">
        <v>29</v>
      </c>
      <c r="CJ319">
        <v>54.5</v>
      </c>
      <c r="CK319">
        <v>81.2</v>
      </c>
      <c r="CL319">
        <v>79.3</v>
      </c>
      <c r="CM319">
        <v>81.2</v>
      </c>
      <c r="CN319">
        <v>31680</v>
      </c>
      <c r="CO319">
        <v>1.6</v>
      </c>
      <c r="CP319">
        <v>248</v>
      </c>
      <c r="CQ319">
        <v>0</v>
      </c>
      <c r="CR319">
        <v>0</v>
      </c>
      <c r="CS319">
        <v>0</v>
      </c>
      <c r="CT319" t="s">
        <v>1915</v>
      </c>
      <c r="CU319">
        <v>113</v>
      </c>
      <c r="CV319">
        <v>112</v>
      </c>
      <c r="CW319">
        <v>1</v>
      </c>
      <c r="CX319">
        <v>0.3</v>
      </c>
      <c r="CY319">
        <v>3.9</v>
      </c>
      <c r="CZ319">
        <v>4.3</v>
      </c>
      <c r="DA319">
        <v>1</v>
      </c>
      <c r="DB319">
        <v>1</v>
      </c>
      <c r="DC319">
        <v>0</v>
      </c>
      <c r="DD319">
        <v>0</v>
      </c>
      <c r="DE319">
        <v>0</v>
      </c>
      <c r="DF319">
        <v>1.93</v>
      </c>
      <c r="DG319">
        <v>211.43</v>
      </c>
      <c r="DH319">
        <v>23.84</v>
      </c>
      <c r="DI319">
        <v>0</v>
      </c>
      <c r="DJ319" t="s">
        <v>4060</v>
      </c>
      <c r="DM319">
        <v>21.83</v>
      </c>
      <c r="DN319">
        <v>366.5</v>
      </c>
      <c r="EL319">
        <v>0</v>
      </c>
      <c r="EM319" t="s">
        <v>1700</v>
      </c>
    </row>
    <row r="320" spans="1:143" x14ac:dyDescent="0.35">
      <c r="A320" t="s">
        <v>83</v>
      </c>
      <c r="B320" t="s">
        <v>1702</v>
      </c>
      <c r="C320" t="s">
        <v>116</v>
      </c>
      <c r="D320" t="s">
        <v>146</v>
      </c>
      <c r="G320" t="s">
        <v>3890</v>
      </c>
      <c r="K320" t="s">
        <v>4053</v>
      </c>
      <c r="L320" t="s">
        <v>1896</v>
      </c>
      <c r="M320" t="s">
        <v>4054</v>
      </c>
      <c r="N320" t="s">
        <v>1898</v>
      </c>
      <c r="R320" t="s">
        <v>119</v>
      </c>
      <c r="S320" t="s">
        <v>1703</v>
      </c>
      <c r="T320" t="s">
        <v>117</v>
      </c>
      <c r="Z320" t="s">
        <v>4061</v>
      </c>
      <c r="AA320" t="s">
        <v>4062</v>
      </c>
      <c r="AB320">
        <v>3</v>
      </c>
      <c r="AC320">
        <v>4</v>
      </c>
      <c r="AE320">
        <v>1946</v>
      </c>
      <c r="AF320" t="s">
        <v>4057</v>
      </c>
      <c r="AG320" t="s">
        <v>1928</v>
      </c>
      <c r="AH320" t="s">
        <v>1929</v>
      </c>
      <c r="AI320">
        <v>266800</v>
      </c>
      <c r="AJ320">
        <v>0</v>
      </c>
      <c r="AL320">
        <v>0</v>
      </c>
      <c r="AS320" t="b">
        <v>0</v>
      </c>
      <c r="AV320" t="s">
        <v>1703</v>
      </c>
      <c r="AX320" t="s">
        <v>1706</v>
      </c>
      <c r="BF320" t="s">
        <v>1906</v>
      </c>
      <c r="BG320" t="s">
        <v>4063</v>
      </c>
      <c r="BI320" t="s">
        <v>1703</v>
      </c>
      <c r="BL320" t="s">
        <v>4064</v>
      </c>
      <c r="BM320" t="s">
        <v>1704</v>
      </c>
      <c r="BN320" t="s">
        <v>1704</v>
      </c>
      <c r="BO320" t="s">
        <v>1704</v>
      </c>
      <c r="BQ320" t="s">
        <v>4061</v>
      </c>
      <c r="BR320">
        <v>3</v>
      </c>
      <c r="BS320">
        <v>4</v>
      </c>
      <c r="BU320" t="s">
        <v>1908</v>
      </c>
      <c r="BW320" t="s">
        <v>2093</v>
      </c>
      <c r="BX320" t="s">
        <v>1949</v>
      </c>
      <c r="BY320" t="s">
        <v>1911</v>
      </c>
      <c r="BZ320" t="s">
        <v>1910</v>
      </c>
      <c r="CB320" t="s">
        <v>2496</v>
      </c>
      <c r="CC320" t="s">
        <v>1961</v>
      </c>
      <c r="CD320" t="s">
        <v>1962</v>
      </c>
      <c r="CE320">
        <v>54.3</v>
      </c>
      <c r="CF320">
        <v>32.4</v>
      </c>
      <c r="CG320">
        <v>52.3</v>
      </c>
      <c r="CH320">
        <v>1021</v>
      </c>
      <c r="CI320">
        <v>46</v>
      </c>
      <c r="CJ320">
        <v>39</v>
      </c>
      <c r="CK320">
        <v>54.7</v>
      </c>
      <c r="CL320">
        <v>54.3</v>
      </c>
      <c r="CM320">
        <v>52.3</v>
      </c>
      <c r="CN320">
        <v>31680</v>
      </c>
      <c r="CO320">
        <v>7.2</v>
      </c>
      <c r="CP320">
        <v>79</v>
      </c>
      <c r="CQ320">
        <v>59</v>
      </c>
      <c r="CR320">
        <v>0</v>
      </c>
      <c r="CS320">
        <v>0</v>
      </c>
      <c r="CT320" t="s">
        <v>1915</v>
      </c>
      <c r="CU320">
        <v>153.8500061035156</v>
      </c>
      <c r="CV320">
        <v>99</v>
      </c>
      <c r="CW320">
        <v>5.25</v>
      </c>
      <c r="CX320">
        <v>2.0499999523162842</v>
      </c>
      <c r="CY320">
        <v>4.4499998092651367</v>
      </c>
      <c r="CZ320">
        <v>5.6500000953674316</v>
      </c>
      <c r="DA320">
        <v>1</v>
      </c>
      <c r="DB320">
        <v>1</v>
      </c>
      <c r="DC320">
        <v>0</v>
      </c>
      <c r="DD320">
        <v>0</v>
      </c>
      <c r="DE320">
        <v>319.01</v>
      </c>
      <c r="DF320">
        <v>435</v>
      </c>
      <c r="DG320">
        <v>0</v>
      </c>
      <c r="DH320">
        <v>0</v>
      </c>
      <c r="DI320">
        <v>0</v>
      </c>
      <c r="DJ320" t="s">
        <v>4060</v>
      </c>
      <c r="DM320">
        <v>21.83</v>
      </c>
      <c r="DN320">
        <v>366.5</v>
      </c>
      <c r="EL320">
        <v>0</v>
      </c>
      <c r="EM320" t="s">
        <v>1705</v>
      </c>
    </row>
    <row r="321" spans="1:143" x14ac:dyDescent="0.35">
      <c r="A321" t="s">
        <v>85</v>
      </c>
      <c r="B321" t="s">
        <v>1707</v>
      </c>
      <c r="C321" t="s">
        <v>116</v>
      </c>
      <c r="D321" t="s">
        <v>146</v>
      </c>
      <c r="G321" t="s">
        <v>4065</v>
      </c>
      <c r="K321" t="s">
        <v>4066</v>
      </c>
      <c r="L321" t="s">
        <v>1896</v>
      </c>
      <c r="M321" t="s">
        <v>4067</v>
      </c>
      <c r="N321" t="s">
        <v>1898</v>
      </c>
      <c r="R321" t="s">
        <v>119</v>
      </c>
      <c r="S321" t="s">
        <v>1708</v>
      </c>
      <c r="T321" t="s">
        <v>117</v>
      </c>
      <c r="V321" t="s">
        <v>4031</v>
      </c>
      <c r="W321" t="s">
        <v>4032</v>
      </c>
      <c r="X321" t="s">
        <v>4068</v>
      </c>
      <c r="Z321" t="s">
        <v>4069</v>
      </c>
      <c r="AB321">
        <v>4</v>
      </c>
      <c r="AC321">
        <v>0</v>
      </c>
      <c r="AJ321">
        <v>0</v>
      </c>
      <c r="AL321">
        <v>0</v>
      </c>
      <c r="AV321" t="s">
        <v>1708</v>
      </c>
      <c r="AX321" t="s">
        <v>1711</v>
      </c>
      <c r="BF321" t="s">
        <v>1906</v>
      </c>
      <c r="BG321" t="s">
        <v>2183</v>
      </c>
      <c r="BI321" t="s">
        <v>1708</v>
      </c>
      <c r="BM321" t="s">
        <v>1709</v>
      </c>
      <c r="BN321" t="s">
        <v>1709</v>
      </c>
      <c r="BO321" t="s">
        <v>1709</v>
      </c>
      <c r="BQ321" t="s">
        <v>4069</v>
      </c>
      <c r="BR321">
        <v>4</v>
      </c>
      <c r="BS321">
        <v>0</v>
      </c>
      <c r="BT321" t="s">
        <v>4070</v>
      </c>
      <c r="BU321" t="s">
        <v>1908</v>
      </c>
      <c r="BV321">
        <v>0.25</v>
      </c>
      <c r="BW321" t="s">
        <v>1934</v>
      </c>
      <c r="BX321" t="s">
        <v>3238</v>
      </c>
      <c r="BY321" t="s">
        <v>1911</v>
      </c>
      <c r="CB321" t="s">
        <v>4071</v>
      </c>
      <c r="CC321" t="s">
        <v>1996</v>
      </c>
      <c r="CD321" t="s">
        <v>1997</v>
      </c>
      <c r="CE321">
        <v>82.1</v>
      </c>
      <c r="CF321">
        <v>56.6</v>
      </c>
      <c r="CG321">
        <v>82.3</v>
      </c>
      <c r="CH321">
        <v>1018</v>
      </c>
      <c r="CI321">
        <v>33</v>
      </c>
      <c r="CJ321">
        <v>63.3</v>
      </c>
      <c r="CK321">
        <v>89.4</v>
      </c>
      <c r="CL321">
        <v>82.3</v>
      </c>
      <c r="CM321">
        <v>82.1</v>
      </c>
      <c r="CN321">
        <v>31680</v>
      </c>
      <c r="CO321">
        <v>7.2</v>
      </c>
      <c r="CP321">
        <v>96</v>
      </c>
      <c r="CQ321">
        <v>0</v>
      </c>
      <c r="CR321">
        <v>0</v>
      </c>
      <c r="CS321">
        <v>0</v>
      </c>
      <c r="CT321" t="s">
        <v>1915</v>
      </c>
      <c r="CU321">
        <v>119</v>
      </c>
      <c r="CV321">
        <v>122</v>
      </c>
      <c r="CW321">
        <v>4</v>
      </c>
      <c r="CX321">
        <v>0.8</v>
      </c>
      <c r="CY321">
        <v>19</v>
      </c>
      <c r="CZ321">
        <v>19.8</v>
      </c>
      <c r="DA321">
        <v>2</v>
      </c>
      <c r="DB321">
        <v>2</v>
      </c>
      <c r="DC321">
        <v>0</v>
      </c>
      <c r="DD321">
        <v>0</v>
      </c>
      <c r="DE321">
        <v>0</v>
      </c>
      <c r="DF321">
        <v>0</v>
      </c>
      <c r="DG321">
        <v>303.52999999999997</v>
      </c>
      <c r="DH321">
        <v>106.25</v>
      </c>
      <c r="DI321">
        <v>0</v>
      </c>
      <c r="DJ321" t="s">
        <v>4072</v>
      </c>
      <c r="DK321" t="s">
        <v>4073</v>
      </c>
      <c r="DL321" t="s">
        <v>4074</v>
      </c>
      <c r="DM321">
        <v>13.86</v>
      </c>
      <c r="DN321">
        <v>530.20000000000005</v>
      </c>
      <c r="EL321">
        <v>0</v>
      </c>
      <c r="EM321" t="s">
        <v>1710</v>
      </c>
    </row>
    <row r="322" spans="1:143" x14ac:dyDescent="0.35">
      <c r="A322" t="s">
        <v>85</v>
      </c>
      <c r="B322" t="s">
        <v>1712</v>
      </c>
      <c r="C322" t="s">
        <v>116</v>
      </c>
      <c r="D322" t="s">
        <v>146</v>
      </c>
      <c r="G322" t="s">
        <v>4075</v>
      </c>
      <c r="K322" t="s">
        <v>4066</v>
      </c>
      <c r="L322" t="s">
        <v>1896</v>
      </c>
      <c r="M322" t="s">
        <v>4067</v>
      </c>
      <c r="N322" t="s">
        <v>1898</v>
      </c>
      <c r="R322" t="s">
        <v>119</v>
      </c>
      <c r="S322" t="s">
        <v>1713</v>
      </c>
      <c r="T322" t="s">
        <v>117</v>
      </c>
      <c r="V322" t="s">
        <v>2014</v>
      </c>
      <c r="W322" t="s">
        <v>2134</v>
      </c>
      <c r="X322" t="s">
        <v>4076</v>
      </c>
      <c r="Z322" t="s">
        <v>4077</v>
      </c>
      <c r="AB322">
        <v>5</v>
      </c>
      <c r="AC322">
        <v>0</v>
      </c>
      <c r="AJ322">
        <v>1</v>
      </c>
      <c r="AK322" t="s">
        <v>4078</v>
      </c>
      <c r="AL322">
        <v>0</v>
      </c>
      <c r="AS322" t="b">
        <v>1</v>
      </c>
      <c r="AU322">
        <v>0</v>
      </c>
      <c r="AV322" t="s">
        <v>1713</v>
      </c>
      <c r="AX322" t="s">
        <v>1716</v>
      </c>
      <c r="AY322" t="b">
        <v>1</v>
      </c>
      <c r="AZ322" t="b">
        <v>1</v>
      </c>
      <c r="BA322" t="s">
        <v>1931</v>
      </c>
      <c r="BF322" t="s">
        <v>1906</v>
      </c>
      <c r="BG322" t="s">
        <v>3809</v>
      </c>
      <c r="BI322" t="s">
        <v>1713</v>
      </c>
      <c r="BK322" t="b">
        <v>0</v>
      </c>
      <c r="BM322" t="s">
        <v>1714</v>
      </c>
      <c r="BN322" t="s">
        <v>1714</v>
      </c>
      <c r="BO322" t="s">
        <v>1714</v>
      </c>
      <c r="BQ322" t="s">
        <v>4077</v>
      </c>
      <c r="BR322">
        <v>5</v>
      </c>
      <c r="BS322">
        <v>0</v>
      </c>
      <c r="BT322" t="s">
        <v>4079</v>
      </c>
      <c r="BU322" t="s">
        <v>1908</v>
      </c>
      <c r="BV322">
        <v>1</v>
      </c>
      <c r="BW322" t="s">
        <v>1993</v>
      </c>
      <c r="BX322" t="s">
        <v>1949</v>
      </c>
      <c r="BY322" t="s">
        <v>2033</v>
      </c>
      <c r="BZ322" t="s">
        <v>1995</v>
      </c>
      <c r="CA322" t="s">
        <v>2147</v>
      </c>
      <c r="CB322" t="s">
        <v>4080</v>
      </c>
      <c r="CC322" t="s">
        <v>1996</v>
      </c>
      <c r="CD322" t="s">
        <v>1997</v>
      </c>
      <c r="CE322">
        <v>55</v>
      </c>
      <c r="CF322">
        <v>23.9</v>
      </c>
      <c r="CG322">
        <v>53.4</v>
      </c>
      <c r="CH322">
        <v>1033</v>
      </c>
      <c r="CI322">
        <v>28</v>
      </c>
      <c r="CJ322">
        <v>33.1</v>
      </c>
      <c r="CK322">
        <v>59.2</v>
      </c>
      <c r="CL322">
        <v>55</v>
      </c>
      <c r="CM322">
        <v>53.4</v>
      </c>
      <c r="CN322">
        <v>31680</v>
      </c>
      <c r="CO322">
        <v>8.9</v>
      </c>
      <c r="CP322">
        <v>177</v>
      </c>
      <c r="CQ322">
        <v>0</v>
      </c>
      <c r="CR322">
        <v>0</v>
      </c>
      <c r="CS322">
        <v>0</v>
      </c>
      <c r="CT322" t="s">
        <v>1915</v>
      </c>
      <c r="DJ322" t="s">
        <v>4081</v>
      </c>
      <c r="DM322">
        <v>13.89</v>
      </c>
      <c r="DN322">
        <v>319.2</v>
      </c>
      <c r="EL322">
        <v>0</v>
      </c>
      <c r="EM322" t="s">
        <v>1715</v>
      </c>
    </row>
    <row r="323" spans="1:143" x14ac:dyDescent="0.35">
      <c r="A323" t="s">
        <v>85</v>
      </c>
      <c r="B323" t="s">
        <v>1717</v>
      </c>
      <c r="C323" t="s">
        <v>116</v>
      </c>
      <c r="D323" t="s">
        <v>120</v>
      </c>
      <c r="G323" t="s">
        <v>4082</v>
      </c>
      <c r="H323" t="s">
        <v>1895</v>
      </c>
      <c r="L323" t="s">
        <v>1896</v>
      </c>
      <c r="M323" t="s">
        <v>4083</v>
      </c>
      <c r="N323" t="s">
        <v>1898</v>
      </c>
      <c r="R323" t="s">
        <v>119</v>
      </c>
      <c r="S323" t="s">
        <v>1718</v>
      </c>
      <c r="T323" t="s">
        <v>117</v>
      </c>
      <c r="V323" t="s">
        <v>2014</v>
      </c>
      <c r="W323" t="s">
        <v>1923</v>
      </c>
      <c r="X323" t="s">
        <v>4084</v>
      </c>
      <c r="Z323" t="s">
        <v>4085</v>
      </c>
      <c r="AB323">
        <v>1</v>
      </c>
      <c r="AC323">
        <v>0</v>
      </c>
      <c r="AE323">
        <v>1999</v>
      </c>
      <c r="AF323" t="s">
        <v>4086</v>
      </c>
      <c r="AG323" t="s">
        <v>2234</v>
      </c>
      <c r="AH323" t="s">
        <v>1903</v>
      </c>
      <c r="AI323">
        <v>409300</v>
      </c>
      <c r="AJ323">
        <v>0</v>
      </c>
      <c r="AL323">
        <v>0</v>
      </c>
      <c r="AV323" t="s">
        <v>1718</v>
      </c>
      <c r="AX323" t="s">
        <v>1721</v>
      </c>
      <c r="BD323" t="s">
        <v>4087</v>
      </c>
      <c r="BF323" t="s">
        <v>1906</v>
      </c>
      <c r="BG323" t="s">
        <v>3214</v>
      </c>
      <c r="BI323" t="s">
        <v>1718</v>
      </c>
      <c r="BM323" t="s">
        <v>1719</v>
      </c>
      <c r="BN323" t="s">
        <v>1719</v>
      </c>
      <c r="BO323" t="s">
        <v>1719</v>
      </c>
      <c r="BQ323" t="s">
        <v>4085</v>
      </c>
      <c r="BR323">
        <v>1</v>
      </c>
      <c r="BS323">
        <v>0</v>
      </c>
      <c r="BT323" t="s">
        <v>4088</v>
      </c>
      <c r="CB323" t="s">
        <v>4089</v>
      </c>
      <c r="CC323" t="s">
        <v>1996</v>
      </c>
      <c r="CD323" t="s">
        <v>1997</v>
      </c>
      <c r="CE323">
        <v>46.4</v>
      </c>
      <c r="CF323">
        <v>20.5</v>
      </c>
      <c r="CG323">
        <v>42.6</v>
      </c>
      <c r="CH323">
        <v>1024</v>
      </c>
      <c r="CI323">
        <v>35</v>
      </c>
      <c r="CJ323">
        <v>26.4</v>
      </c>
      <c r="CK323">
        <v>46.4</v>
      </c>
      <c r="CL323">
        <v>46.4</v>
      </c>
      <c r="CM323">
        <v>42.6</v>
      </c>
      <c r="CN323">
        <v>31680</v>
      </c>
      <c r="CO323">
        <v>5.4</v>
      </c>
      <c r="CP323">
        <v>267</v>
      </c>
      <c r="CQ323">
        <v>0</v>
      </c>
      <c r="CR323">
        <v>0</v>
      </c>
      <c r="CS323">
        <v>0</v>
      </c>
      <c r="CT323" t="s">
        <v>1915</v>
      </c>
      <c r="DJ323" t="s">
        <v>4090</v>
      </c>
      <c r="DM323">
        <v>0.23</v>
      </c>
      <c r="DN323">
        <v>7826.1</v>
      </c>
      <c r="EL323">
        <v>0</v>
      </c>
      <c r="EM323" t="s">
        <v>1720</v>
      </c>
    </row>
    <row r="324" spans="1:143" x14ac:dyDescent="0.35">
      <c r="A324" t="s">
        <v>85</v>
      </c>
      <c r="B324" t="s">
        <v>1722</v>
      </c>
      <c r="C324" t="s">
        <v>116</v>
      </c>
      <c r="D324" t="s">
        <v>120</v>
      </c>
      <c r="G324" t="s">
        <v>4091</v>
      </c>
      <c r="H324" t="s">
        <v>4092</v>
      </c>
      <c r="L324" t="s">
        <v>1896</v>
      </c>
      <c r="M324" t="s">
        <v>4067</v>
      </c>
      <c r="N324" t="s">
        <v>1898</v>
      </c>
      <c r="R324" t="s">
        <v>119</v>
      </c>
      <c r="S324" t="s">
        <v>1723</v>
      </c>
      <c r="T324" t="s">
        <v>428</v>
      </c>
      <c r="U324" t="s">
        <v>117</v>
      </c>
      <c r="Z324" t="s">
        <v>4093</v>
      </c>
      <c r="AB324">
        <v>3</v>
      </c>
      <c r="AC324">
        <v>5</v>
      </c>
      <c r="AE324">
        <v>1991</v>
      </c>
      <c r="AF324" t="s">
        <v>3445</v>
      </c>
      <c r="AG324" t="s">
        <v>2730</v>
      </c>
      <c r="AH324" t="s">
        <v>1903</v>
      </c>
      <c r="AI324">
        <v>188000</v>
      </c>
      <c r="AJ324">
        <v>0</v>
      </c>
      <c r="AL324">
        <v>0</v>
      </c>
      <c r="AO324" t="s">
        <v>4094</v>
      </c>
      <c r="AP324" t="s">
        <v>4095</v>
      </c>
      <c r="AR324" t="s">
        <v>4096</v>
      </c>
      <c r="AV324" t="s">
        <v>1723</v>
      </c>
      <c r="AX324" t="s">
        <v>1726</v>
      </c>
      <c r="BD324" t="s">
        <v>4097</v>
      </c>
      <c r="BF324" t="s">
        <v>1906</v>
      </c>
      <c r="BG324" t="s">
        <v>4098</v>
      </c>
      <c r="BI324" t="s">
        <v>1723</v>
      </c>
      <c r="BM324" t="s">
        <v>1724</v>
      </c>
      <c r="BN324" t="s">
        <v>1724</v>
      </c>
      <c r="BO324" t="s">
        <v>1724</v>
      </c>
      <c r="BQ324" t="s">
        <v>4093</v>
      </c>
      <c r="BR324">
        <v>3</v>
      </c>
      <c r="BS324">
        <v>5</v>
      </c>
      <c r="BT324" t="s">
        <v>4099</v>
      </c>
      <c r="BU324" t="s">
        <v>1908</v>
      </c>
      <c r="BV324">
        <v>0</v>
      </c>
      <c r="BW324" t="s">
        <v>2295</v>
      </c>
      <c r="BX324" t="s">
        <v>1910</v>
      </c>
      <c r="BY324" t="s">
        <v>1970</v>
      </c>
      <c r="CA324" t="s">
        <v>2129</v>
      </c>
      <c r="CB324" t="s">
        <v>4100</v>
      </c>
      <c r="CC324" t="s">
        <v>1961</v>
      </c>
      <c r="CD324" t="s">
        <v>1962</v>
      </c>
      <c r="CE324">
        <v>39.6</v>
      </c>
      <c r="CF324">
        <v>19</v>
      </c>
      <c r="CG324">
        <v>34.299999999999997</v>
      </c>
      <c r="CH324">
        <v>1030</v>
      </c>
      <c r="CI324">
        <v>41</v>
      </c>
      <c r="CJ324">
        <v>27.1</v>
      </c>
      <c r="CK324">
        <v>40.1</v>
      </c>
      <c r="CL324">
        <v>39.6</v>
      </c>
      <c r="CM324">
        <v>34.299999999999997</v>
      </c>
      <c r="CN324">
        <v>31680</v>
      </c>
      <c r="CO324">
        <v>9.8000000000000007</v>
      </c>
      <c r="CP324">
        <v>161</v>
      </c>
      <c r="CQ324">
        <v>36</v>
      </c>
      <c r="CR324">
        <v>0</v>
      </c>
      <c r="CS324">
        <v>0</v>
      </c>
      <c r="CT324" t="s">
        <v>1915</v>
      </c>
      <c r="DJ324" t="s">
        <v>4072</v>
      </c>
      <c r="DM324">
        <v>13.86</v>
      </c>
      <c r="DN324">
        <v>530.20000000000005</v>
      </c>
      <c r="EL324">
        <v>0</v>
      </c>
      <c r="EM324" t="s">
        <v>1725</v>
      </c>
    </row>
    <row r="325" spans="1:143" x14ac:dyDescent="0.35">
      <c r="A325" t="s">
        <v>87</v>
      </c>
      <c r="B325" t="s">
        <v>1727</v>
      </c>
      <c r="C325" t="s">
        <v>116</v>
      </c>
      <c r="D325" t="s">
        <v>146</v>
      </c>
      <c r="G325" t="s">
        <v>4101</v>
      </c>
      <c r="K325" t="s">
        <v>3424</v>
      </c>
      <c r="L325" t="s">
        <v>1896</v>
      </c>
      <c r="M325" t="s">
        <v>3425</v>
      </c>
      <c r="N325" t="s">
        <v>1898</v>
      </c>
      <c r="R325" t="s">
        <v>119</v>
      </c>
      <c r="S325" t="s">
        <v>1728</v>
      </c>
      <c r="U325" t="s">
        <v>117</v>
      </c>
      <c r="Z325" t="s">
        <v>4102</v>
      </c>
      <c r="AB325">
        <v>2</v>
      </c>
      <c r="AC325">
        <v>0</v>
      </c>
      <c r="AJ325">
        <v>0</v>
      </c>
      <c r="AL325">
        <v>0</v>
      </c>
      <c r="AV325" t="s">
        <v>1728</v>
      </c>
      <c r="AX325" t="s">
        <v>1731</v>
      </c>
      <c r="BF325" t="s">
        <v>1906</v>
      </c>
      <c r="BG325" t="s">
        <v>1907</v>
      </c>
      <c r="BI325" t="s">
        <v>1728</v>
      </c>
      <c r="BL325" t="s">
        <v>4103</v>
      </c>
      <c r="BM325" t="s">
        <v>1729</v>
      </c>
      <c r="BN325" t="s">
        <v>1729</v>
      </c>
      <c r="BO325" t="s">
        <v>1729</v>
      </c>
      <c r="BQ325" t="s">
        <v>4102</v>
      </c>
      <c r="BR325">
        <v>2</v>
      </c>
      <c r="BS325">
        <v>0</v>
      </c>
      <c r="BU325" t="s">
        <v>1908</v>
      </c>
      <c r="BW325" t="s">
        <v>1934</v>
      </c>
      <c r="BX325" t="s">
        <v>1949</v>
      </c>
      <c r="BY325" t="s">
        <v>1911</v>
      </c>
      <c r="BZ325" t="s">
        <v>1910</v>
      </c>
      <c r="CB325" t="s">
        <v>4104</v>
      </c>
      <c r="CC325" t="s">
        <v>1913</v>
      </c>
      <c r="CD325" t="s">
        <v>1914</v>
      </c>
      <c r="CE325">
        <v>68.400000000000006</v>
      </c>
      <c r="CF325">
        <v>65.900000000000006</v>
      </c>
      <c r="CG325">
        <v>68.5</v>
      </c>
      <c r="CH325">
        <v>1002</v>
      </c>
      <c r="CI325">
        <v>85</v>
      </c>
      <c r="CJ325">
        <v>61.5</v>
      </c>
      <c r="CK325">
        <v>82.6</v>
      </c>
      <c r="CL325">
        <v>68.400000000000006</v>
      </c>
      <c r="CM325">
        <v>68.400000000000006</v>
      </c>
      <c r="CN325">
        <v>31680</v>
      </c>
      <c r="CO325">
        <v>8.6999999999999993</v>
      </c>
      <c r="CP325">
        <v>211</v>
      </c>
      <c r="CQ325">
        <v>77</v>
      </c>
      <c r="CR325">
        <v>0</v>
      </c>
      <c r="CS325">
        <v>0</v>
      </c>
      <c r="CT325" t="s">
        <v>2415</v>
      </c>
      <c r="CU325">
        <v>151</v>
      </c>
      <c r="CV325">
        <v>103</v>
      </c>
      <c r="CW325">
        <v>4.4000000000000004</v>
      </c>
      <c r="CX325">
        <v>0.9</v>
      </c>
      <c r="CY325">
        <v>2.9</v>
      </c>
      <c r="CZ325">
        <v>3</v>
      </c>
      <c r="DA325">
        <v>1</v>
      </c>
      <c r="DB325">
        <v>1</v>
      </c>
      <c r="DC325">
        <v>0</v>
      </c>
      <c r="DD325">
        <v>0</v>
      </c>
      <c r="DE325">
        <v>0</v>
      </c>
      <c r="DF325">
        <v>0</v>
      </c>
      <c r="DG325">
        <v>24.37</v>
      </c>
      <c r="DH325">
        <v>12.2</v>
      </c>
      <c r="DI325">
        <v>0</v>
      </c>
      <c r="DJ325" t="s">
        <v>4105</v>
      </c>
      <c r="DK325" t="s">
        <v>4106</v>
      </c>
      <c r="DL325" t="s">
        <v>4107</v>
      </c>
      <c r="DM325">
        <v>4.28</v>
      </c>
      <c r="DN325">
        <v>1054.9000000000001</v>
      </c>
      <c r="EL325">
        <v>0</v>
      </c>
      <c r="EM325" t="s">
        <v>1730</v>
      </c>
    </row>
    <row r="326" spans="1:143" x14ac:dyDescent="0.35">
      <c r="A326" t="s">
        <v>87</v>
      </c>
      <c r="B326" t="s">
        <v>1732</v>
      </c>
      <c r="C326" t="s">
        <v>116</v>
      </c>
      <c r="D326" t="s">
        <v>146</v>
      </c>
      <c r="F326" t="s">
        <v>2149</v>
      </c>
      <c r="G326" t="s">
        <v>3424</v>
      </c>
      <c r="K326" t="s">
        <v>3424</v>
      </c>
      <c r="L326" t="s">
        <v>1896</v>
      </c>
      <c r="M326" t="s">
        <v>3425</v>
      </c>
      <c r="N326" t="s">
        <v>1898</v>
      </c>
      <c r="R326" t="s">
        <v>119</v>
      </c>
      <c r="S326" t="s">
        <v>1733</v>
      </c>
      <c r="U326" t="s">
        <v>117</v>
      </c>
      <c r="Z326" t="s">
        <v>4108</v>
      </c>
      <c r="AB326">
        <v>2</v>
      </c>
      <c r="AC326">
        <v>3</v>
      </c>
      <c r="AD326" t="s">
        <v>1966</v>
      </c>
      <c r="AJ326">
        <v>0</v>
      </c>
      <c r="AL326">
        <v>0</v>
      </c>
      <c r="AV326" t="s">
        <v>1733</v>
      </c>
      <c r="AX326" t="s">
        <v>1736</v>
      </c>
      <c r="AY326" t="b">
        <v>1</v>
      </c>
      <c r="BA326" t="s">
        <v>2164</v>
      </c>
      <c r="BF326" t="s">
        <v>1906</v>
      </c>
      <c r="BG326" t="s">
        <v>1907</v>
      </c>
      <c r="BI326" t="s">
        <v>1733</v>
      </c>
      <c r="BL326" t="s">
        <v>4109</v>
      </c>
      <c r="BM326" t="s">
        <v>1734</v>
      </c>
      <c r="BN326" t="s">
        <v>1734</v>
      </c>
      <c r="BO326" t="s">
        <v>1734</v>
      </c>
      <c r="BQ326" t="s">
        <v>4108</v>
      </c>
      <c r="BR326">
        <v>2</v>
      </c>
      <c r="BS326">
        <v>3</v>
      </c>
      <c r="BU326" t="s">
        <v>1908</v>
      </c>
      <c r="BW326" t="s">
        <v>1934</v>
      </c>
      <c r="BX326" t="s">
        <v>1949</v>
      </c>
      <c r="BY326" t="s">
        <v>1911</v>
      </c>
      <c r="BZ326" t="s">
        <v>1910</v>
      </c>
      <c r="CB326" t="s">
        <v>4110</v>
      </c>
      <c r="CC326" t="s">
        <v>1972</v>
      </c>
      <c r="CD326" t="s">
        <v>1973</v>
      </c>
      <c r="CE326">
        <v>69.2</v>
      </c>
      <c r="CF326">
        <v>66.400000000000006</v>
      </c>
      <c r="CG326">
        <v>69.2</v>
      </c>
      <c r="CH326">
        <v>1016</v>
      </c>
      <c r="CI326">
        <v>98</v>
      </c>
      <c r="CJ326">
        <v>64.8</v>
      </c>
      <c r="CK326">
        <v>84.3</v>
      </c>
      <c r="CL326">
        <v>69.2</v>
      </c>
      <c r="CM326">
        <v>69.2</v>
      </c>
      <c r="CN326">
        <v>0</v>
      </c>
      <c r="CO326">
        <v>4.3</v>
      </c>
      <c r="CP326">
        <v>156</v>
      </c>
      <c r="CQ326">
        <v>100</v>
      </c>
      <c r="CR326">
        <v>0</v>
      </c>
      <c r="CS326">
        <v>0</v>
      </c>
      <c r="CT326" t="s">
        <v>2415</v>
      </c>
      <c r="CU326">
        <v>146</v>
      </c>
      <c r="CV326">
        <v>80</v>
      </c>
      <c r="CW326">
        <v>4.2</v>
      </c>
      <c r="CX326">
        <v>0.4</v>
      </c>
      <c r="CY326">
        <v>16.3</v>
      </c>
      <c r="CZ326">
        <v>17.2</v>
      </c>
      <c r="DA326">
        <v>2</v>
      </c>
      <c r="DB326">
        <v>2</v>
      </c>
      <c r="DC326">
        <v>0</v>
      </c>
      <c r="DD326">
        <v>0</v>
      </c>
      <c r="DE326">
        <v>0</v>
      </c>
      <c r="DF326">
        <v>0</v>
      </c>
      <c r="DG326">
        <v>149.01</v>
      </c>
      <c r="DH326">
        <v>60.95</v>
      </c>
      <c r="DI326">
        <v>0</v>
      </c>
      <c r="DJ326" t="s">
        <v>4105</v>
      </c>
      <c r="DK326" t="s">
        <v>4106</v>
      </c>
      <c r="DL326" t="s">
        <v>2787</v>
      </c>
      <c r="DM326">
        <v>4.28</v>
      </c>
      <c r="DN326">
        <v>1054.9000000000001</v>
      </c>
      <c r="EL326">
        <v>0</v>
      </c>
      <c r="EM326" t="s">
        <v>1735</v>
      </c>
    </row>
    <row r="327" spans="1:143" x14ac:dyDescent="0.35">
      <c r="A327" t="s">
        <v>87</v>
      </c>
      <c r="B327" t="s">
        <v>1737</v>
      </c>
      <c r="C327" t="s">
        <v>116</v>
      </c>
      <c r="D327" t="s">
        <v>146</v>
      </c>
      <c r="G327" t="s">
        <v>2025</v>
      </c>
      <c r="K327" t="s">
        <v>4111</v>
      </c>
      <c r="L327" t="s">
        <v>1896</v>
      </c>
      <c r="M327" t="s">
        <v>4112</v>
      </c>
      <c r="N327" t="s">
        <v>4113</v>
      </c>
      <c r="R327" t="s">
        <v>119</v>
      </c>
      <c r="S327" t="s">
        <v>1738</v>
      </c>
      <c r="U327" t="s">
        <v>117</v>
      </c>
      <c r="V327" t="s">
        <v>2014</v>
      </c>
      <c r="W327" t="s">
        <v>1923</v>
      </c>
      <c r="X327" t="s">
        <v>4114</v>
      </c>
      <c r="Z327" t="s">
        <v>2052</v>
      </c>
      <c r="AB327">
        <v>1</v>
      </c>
      <c r="AC327">
        <v>2</v>
      </c>
      <c r="AE327">
        <v>1840</v>
      </c>
      <c r="AF327" t="s">
        <v>4115</v>
      </c>
      <c r="AG327" t="s">
        <v>1928</v>
      </c>
      <c r="AH327" t="s">
        <v>1929</v>
      </c>
      <c r="AI327">
        <v>27600</v>
      </c>
      <c r="AJ327">
        <v>0</v>
      </c>
      <c r="AL327">
        <v>0</v>
      </c>
      <c r="AV327" t="s">
        <v>1738</v>
      </c>
      <c r="AX327" t="s">
        <v>1741</v>
      </c>
      <c r="BF327" t="s">
        <v>1906</v>
      </c>
      <c r="BI327" t="s">
        <v>1738</v>
      </c>
      <c r="BL327" t="s">
        <v>4116</v>
      </c>
      <c r="BM327" t="s">
        <v>1739</v>
      </c>
      <c r="BN327" t="s">
        <v>1739</v>
      </c>
      <c r="BO327" t="s">
        <v>1739</v>
      </c>
      <c r="BQ327" t="s">
        <v>2052</v>
      </c>
      <c r="BR327">
        <v>1</v>
      </c>
      <c r="BS327">
        <v>2</v>
      </c>
      <c r="CB327" t="s">
        <v>4117</v>
      </c>
      <c r="CC327" t="s">
        <v>1996</v>
      </c>
      <c r="CD327" t="s">
        <v>1997</v>
      </c>
      <c r="CE327">
        <v>75.2</v>
      </c>
      <c r="CF327">
        <v>68.8</v>
      </c>
      <c r="CG327">
        <v>78.7</v>
      </c>
      <c r="CH327">
        <v>1011</v>
      </c>
      <c r="CI327">
        <v>81</v>
      </c>
      <c r="CJ327">
        <v>71.8</v>
      </c>
      <c r="CK327">
        <v>89.8</v>
      </c>
      <c r="CL327">
        <v>78.7</v>
      </c>
      <c r="CM327">
        <v>75.2</v>
      </c>
      <c r="CN327">
        <v>31680</v>
      </c>
      <c r="CO327">
        <v>3.1</v>
      </c>
      <c r="CP327">
        <v>256</v>
      </c>
      <c r="CQ327">
        <v>0</v>
      </c>
      <c r="CR327">
        <v>0</v>
      </c>
      <c r="CS327">
        <v>0</v>
      </c>
      <c r="CT327" t="s">
        <v>1915</v>
      </c>
      <c r="CU327">
        <v>145</v>
      </c>
      <c r="CV327">
        <v>102</v>
      </c>
      <c r="CW327">
        <v>2.2999999999999998</v>
      </c>
      <c r="CX327">
        <v>1</v>
      </c>
      <c r="CY327">
        <v>6.8</v>
      </c>
      <c r="CZ327">
        <v>7.3</v>
      </c>
      <c r="DA327">
        <v>1</v>
      </c>
      <c r="DB327">
        <v>1</v>
      </c>
      <c r="DC327">
        <v>0</v>
      </c>
      <c r="DD327">
        <v>0</v>
      </c>
      <c r="DE327">
        <v>0</v>
      </c>
      <c r="DF327">
        <v>0</v>
      </c>
      <c r="DG327">
        <v>30.89</v>
      </c>
      <c r="DH327">
        <v>15.25</v>
      </c>
      <c r="DI327">
        <v>0</v>
      </c>
      <c r="DJ327" t="s">
        <v>4118</v>
      </c>
      <c r="DK327" t="s">
        <v>4119</v>
      </c>
      <c r="DL327" t="s">
        <v>4120</v>
      </c>
      <c r="DM327">
        <v>24.45</v>
      </c>
      <c r="DN327">
        <v>150.1</v>
      </c>
      <c r="EL327">
        <v>0</v>
      </c>
      <c r="EM327" t="s">
        <v>1740</v>
      </c>
    </row>
    <row r="328" spans="1:143" x14ac:dyDescent="0.35">
      <c r="A328" t="s">
        <v>87</v>
      </c>
      <c r="B328" t="s">
        <v>1742</v>
      </c>
      <c r="C328" t="s">
        <v>116</v>
      </c>
      <c r="D328" t="s">
        <v>146</v>
      </c>
      <c r="G328" t="s">
        <v>4121</v>
      </c>
      <c r="K328" t="s">
        <v>4122</v>
      </c>
      <c r="L328" t="s">
        <v>1896</v>
      </c>
      <c r="M328" t="s">
        <v>4123</v>
      </c>
      <c r="N328" t="s">
        <v>4113</v>
      </c>
      <c r="R328" t="s">
        <v>119</v>
      </c>
      <c r="S328" t="s">
        <v>1743</v>
      </c>
      <c r="U328" t="s">
        <v>117</v>
      </c>
      <c r="V328" t="s">
        <v>2014</v>
      </c>
      <c r="W328" t="s">
        <v>1923</v>
      </c>
      <c r="X328" t="s">
        <v>4124</v>
      </c>
      <c r="Z328" t="s">
        <v>4125</v>
      </c>
      <c r="AB328">
        <v>2</v>
      </c>
      <c r="AC328">
        <v>2</v>
      </c>
      <c r="AD328" t="s">
        <v>2221</v>
      </c>
      <c r="AJ328">
        <v>0</v>
      </c>
      <c r="AL328">
        <v>0</v>
      </c>
      <c r="AV328" t="s">
        <v>1743</v>
      </c>
      <c r="AX328" t="s">
        <v>1746</v>
      </c>
      <c r="BF328" t="s">
        <v>2016</v>
      </c>
      <c r="BI328" t="s">
        <v>1743</v>
      </c>
      <c r="BL328" t="s">
        <v>4126</v>
      </c>
      <c r="BM328" t="s">
        <v>1744</v>
      </c>
      <c r="BN328" t="s">
        <v>1744</v>
      </c>
      <c r="BO328" t="s">
        <v>1744</v>
      </c>
      <c r="BQ328" t="s">
        <v>4125</v>
      </c>
      <c r="BR328">
        <v>2</v>
      </c>
      <c r="BS328">
        <v>2</v>
      </c>
      <c r="BU328" t="s">
        <v>1908</v>
      </c>
      <c r="BW328" t="s">
        <v>1934</v>
      </c>
      <c r="BX328" t="s">
        <v>1949</v>
      </c>
      <c r="BY328" t="s">
        <v>1959</v>
      </c>
      <c r="BZ328" t="s">
        <v>1910</v>
      </c>
      <c r="CB328" t="s">
        <v>2452</v>
      </c>
      <c r="CC328" t="s">
        <v>1996</v>
      </c>
      <c r="CD328" t="s">
        <v>1997</v>
      </c>
      <c r="CE328">
        <v>61.7</v>
      </c>
      <c r="CF328">
        <v>34</v>
      </c>
      <c r="CG328">
        <v>61.7</v>
      </c>
      <c r="CH328">
        <v>1020</v>
      </c>
      <c r="CI328">
        <v>34</v>
      </c>
      <c r="CJ328">
        <v>35.799999999999997</v>
      </c>
      <c r="CK328">
        <v>62.6</v>
      </c>
      <c r="CL328">
        <v>61.7</v>
      </c>
      <c r="CM328">
        <v>61.7</v>
      </c>
      <c r="CN328">
        <v>31680</v>
      </c>
      <c r="CO328">
        <v>8.6999999999999993</v>
      </c>
      <c r="CP328">
        <v>111</v>
      </c>
      <c r="CQ328">
        <v>0</v>
      </c>
      <c r="CR328">
        <v>0</v>
      </c>
      <c r="CS328">
        <v>0</v>
      </c>
      <c r="CT328" t="s">
        <v>1915</v>
      </c>
      <c r="CU328">
        <v>148.8500061035156</v>
      </c>
      <c r="CV328">
        <v>70</v>
      </c>
      <c r="CW328">
        <v>8.8500003814697266</v>
      </c>
      <c r="CX328">
        <v>2.25</v>
      </c>
      <c r="CY328">
        <v>8.5500001907348633</v>
      </c>
      <c r="CZ328">
        <v>10.94999980926514</v>
      </c>
      <c r="DA328">
        <v>1</v>
      </c>
      <c r="DB328">
        <v>1</v>
      </c>
      <c r="DC328">
        <v>0</v>
      </c>
      <c r="DD328">
        <v>0</v>
      </c>
      <c r="DE328">
        <v>375.13</v>
      </c>
      <c r="DF328">
        <v>416.16</v>
      </c>
      <c r="DG328">
        <v>0</v>
      </c>
      <c r="DH328">
        <v>0</v>
      </c>
      <c r="DI328">
        <v>0</v>
      </c>
      <c r="DJ328" t="s">
        <v>4127</v>
      </c>
      <c r="DM328">
        <v>108.76</v>
      </c>
      <c r="DN328">
        <v>42</v>
      </c>
      <c r="DO328" t="s">
        <v>3303</v>
      </c>
      <c r="EL328">
        <v>0</v>
      </c>
      <c r="EM328" t="s">
        <v>1745</v>
      </c>
    </row>
    <row r="329" spans="1:143" x14ac:dyDescent="0.35">
      <c r="A329" t="s">
        <v>87</v>
      </c>
      <c r="B329" t="s">
        <v>1747</v>
      </c>
      <c r="C329" t="s">
        <v>116</v>
      </c>
      <c r="D329" t="s">
        <v>146</v>
      </c>
      <c r="G329" t="s">
        <v>4128</v>
      </c>
      <c r="K329" t="s">
        <v>3424</v>
      </c>
      <c r="L329" t="s">
        <v>1896</v>
      </c>
      <c r="M329" t="s">
        <v>3425</v>
      </c>
      <c r="N329" t="s">
        <v>1898</v>
      </c>
      <c r="R329" t="s">
        <v>119</v>
      </c>
      <c r="S329" t="s">
        <v>1344</v>
      </c>
      <c r="U329" t="s">
        <v>117</v>
      </c>
      <c r="Z329" t="s">
        <v>4129</v>
      </c>
      <c r="AB329">
        <v>3</v>
      </c>
      <c r="AC329">
        <v>6</v>
      </c>
      <c r="AD329" t="s">
        <v>1926</v>
      </c>
      <c r="AJ329">
        <v>0</v>
      </c>
      <c r="AL329">
        <v>0</v>
      </c>
      <c r="AV329" t="s">
        <v>1344</v>
      </c>
      <c r="AX329" t="s">
        <v>1750</v>
      </c>
      <c r="BF329" t="s">
        <v>1906</v>
      </c>
      <c r="BG329" t="s">
        <v>2074</v>
      </c>
      <c r="BI329" t="s">
        <v>1344</v>
      </c>
      <c r="BL329" t="s">
        <v>4130</v>
      </c>
      <c r="BM329" t="s">
        <v>1748</v>
      </c>
      <c r="BN329" t="s">
        <v>1748</v>
      </c>
      <c r="BO329" t="s">
        <v>1748</v>
      </c>
      <c r="BQ329" t="s">
        <v>4129</v>
      </c>
      <c r="BR329">
        <v>3</v>
      </c>
      <c r="BS329">
        <v>6</v>
      </c>
      <c r="BU329" t="s">
        <v>1908</v>
      </c>
      <c r="BW329" t="s">
        <v>1948</v>
      </c>
      <c r="BX329" t="s">
        <v>1949</v>
      </c>
      <c r="BY329" t="s">
        <v>1911</v>
      </c>
      <c r="BZ329" t="s">
        <v>1995</v>
      </c>
      <c r="CB329" t="s">
        <v>4131</v>
      </c>
      <c r="CC329" t="s">
        <v>1972</v>
      </c>
      <c r="CD329" t="s">
        <v>1973</v>
      </c>
      <c r="CE329">
        <v>50</v>
      </c>
      <c r="CF329">
        <v>28</v>
      </c>
      <c r="CG329">
        <v>48</v>
      </c>
      <c r="CH329">
        <v>1016</v>
      </c>
      <c r="CI329">
        <v>42</v>
      </c>
      <c r="CJ329">
        <v>31.1</v>
      </c>
      <c r="CK329">
        <v>52.9</v>
      </c>
      <c r="CL329">
        <v>50</v>
      </c>
      <c r="CM329">
        <v>48</v>
      </c>
      <c r="CN329">
        <v>31680</v>
      </c>
      <c r="CO329">
        <v>5.4</v>
      </c>
      <c r="CP329">
        <v>132</v>
      </c>
      <c r="CQ329">
        <v>100</v>
      </c>
      <c r="CR329">
        <v>0</v>
      </c>
      <c r="CS329">
        <v>0</v>
      </c>
      <c r="CT329" t="s">
        <v>1915</v>
      </c>
      <c r="CU329">
        <v>144.8500061035156</v>
      </c>
      <c r="CV329">
        <v>89</v>
      </c>
      <c r="CW329">
        <v>2.5499999523162842</v>
      </c>
      <c r="CX329">
        <v>1.549999952316284</v>
      </c>
      <c r="CY329">
        <v>2.75</v>
      </c>
      <c r="CZ329">
        <v>3.0499999523162842</v>
      </c>
      <c r="DA329">
        <v>1</v>
      </c>
      <c r="DB329">
        <v>1</v>
      </c>
      <c r="DC329">
        <v>0</v>
      </c>
      <c r="DD329">
        <v>0</v>
      </c>
      <c r="DE329">
        <v>250.42</v>
      </c>
      <c r="DF329">
        <v>325.56</v>
      </c>
      <c r="DG329">
        <v>0</v>
      </c>
      <c r="DH329">
        <v>0</v>
      </c>
      <c r="DI329">
        <v>0</v>
      </c>
      <c r="DJ329" t="s">
        <v>4132</v>
      </c>
      <c r="DM329">
        <v>10.52</v>
      </c>
      <c r="DN329">
        <v>345.9</v>
      </c>
      <c r="EL329">
        <v>0</v>
      </c>
      <c r="EM329" t="s">
        <v>1749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
  <sheetViews>
    <sheetView workbookViewId="0">
      <pane ySplit="1" topLeftCell="A2" activePane="bottomLeft" state="frozen"/>
      <selection pane="bottomLeft"/>
    </sheetView>
  </sheetViews>
  <sheetFormatPr defaultRowHeight="14.5" x14ac:dyDescent="0.35"/>
  <cols>
    <col min="1" max="1" width="35" customWidth="1"/>
    <col min="2" max="2" width="22" customWidth="1"/>
    <col min="3" max="3" width="27" customWidth="1"/>
    <col min="4" max="4" width="60" customWidth="1"/>
    <col min="5" max="6" width="36" customWidth="1"/>
    <col min="7" max="7" width="37" customWidth="1"/>
    <col min="8" max="9" width="36" customWidth="1"/>
    <col min="10" max="11" width="12" customWidth="1"/>
    <col min="12" max="12" width="18" customWidth="1"/>
    <col min="13" max="13" width="14" customWidth="1"/>
    <col min="14" max="14" width="18" customWidth="1"/>
    <col min="15" max="15" width="21" customWidth="1"/>
  </cols>
  <sheetData>
    <row r="1" spans="1:15" x14ac:dyDescent="0.35">
      <c r="A1" s="1" t="s">
        <v>89</v>
      </c>
      <c r="B1" s="1" t="s">
        <v>0</v>
      </c>
      <c r="C1" s="1" t="s">
        <v>91</v>
      </c>
      <c r="D1" s="1" t="s">
        <v>92</v>
      </c>
      <c r="E1" s="1" t="s">
        <v>93</v>
      </c>
      <c r="F1" s="1" t="s">
        <v>94</v>
      </c>
      <c r="G1" s="1" t="s">
        <v>95</v>
      </c>
      <c r="H1" s="1" t="s">
        <v>96</v>
      </c>
      <c r="I1" s="1" t="s">
        <v>97</v>
      </c>
      <c r="J1" s="1" t="s">
        <v>4133</v>
      </c>
      <c r="K1" s="1" t="s">
        <v>4134</v>
      </c>
      <c r="L1" s="1" t="s">
        <v>4135</v>
      </c>
      <c r="M1" s="1" t="s">
        <v>4136</v>
      </c>
      <c r="N1" s="1" t="s">
        <v>4137</v>
      </c>
      <c r="O1" s="1" t="s">
        <v>4138</v>
      </c>
    </row>
    <row r="2" spans="1:15" x14ac:dyDescent="0.35">
      <c r="A2" t="s">
        <v>154</v>
      </c>
      <c r="B2" t="s">
        <v>13</v>
      </c>
      <c r="C2" t="s">
        <v>156</v>
      </c>
      <c r="D2" s="5">
        <f>IF(C2="","",DATE(VALUE(LEFT(C2,4)),VALUE(MID(C2,6,2)),VALUE(MID(C2,9,2)))+TIME(VALUE(MID(C2,12,2)),VALUE(MID(C2,15,2)),VALUE(MID(C2,18,2)))-IF(AND(DATE(VALUE(LEFT(C2,4)),VALUE(MID(C2,6,2)),VALUE(MID(C2,9,2)))+TIME(VALUE(MID(C2,12,2)),VALUE(MID(C2,15,2)),VALUE(MID(C2,18,2)))&gt;=DATE(VALUE(LEFT(C2,4)),3,1)+MOD(8-WEEKDAY(DATE(VALUE(LEFT(C2,4)),3,1)),7)+7+TIME(7,0,0),DATE(VALUE(LEFT(C2,4)),3,1)+MOD(8-WEEKDAY(DATE(VALUE(LEFT(C2,4)),3,1)),7)+7+TIME(7,0,0)&lt;DATE(VALUE(LEFT(C2,4)),11,1)+MOD(8-WEEKDAY(DATE(VALUE(LEFT(C2,4)),11,1)),7)+TIME(6,0,0)), TIME(4,0,0),TIME(5,0,0)))</f>
        <v>46146.411111111112</v>
      </c>
      <c r="E2" s="6">
        <f>IF(D2="","",INT(D2))</f>
        <v>46146</v>
      </c>
      <c r="F2" s="7">
        <f>IF(D2="","",MOD(D2,1))</f>
        <v>0.41111111111240461</v>
      </c>
      <c r="G2">
        <f>IF(D2="","",MONTH(D2))</f>
        <v>5</v>
      </c>
      <c r="H2">
        <f>IF(D2="","",YEAR(D2))</f>
        <v>2026</v>
      </c>
      <c r="I2">
        <f>IF(D2="","",HOUR(D2))</f>
        <v>9</v>
      </c>
      <c r="J2" t="s">
        <v>2002</v>
      </c>
      <c r="K2" t="s">
        <v>2003</v>
      </c>
      <c r="L2" t="s">
        <v>4139</v>
      </c>
      <c r="M2" t="s">
        <v>1959</v>
      </c>
      <c r="N2" t="s">
        <v>4140</v>
      </c>
      <c r="O2" t="s">
        <v>4141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RowHeight="14.5" x14ac:dyDescent="0.35"/>
  <cols>
    <col min="1" max="1" width="36" customWidth="1"/>
    <col min="2" max="2" width="85" customWidth="1"/>
  </cols>
  <sheetData>
    <row r="1" spans="1:2" x14ac:dyDescent="0.35">
      <c r="A1" s="8" t="s">
        <v>4142</v>
      </c>
      <c r="B1" s="8" t="s">
        <v>4143</v>
      </c>
    </row>
    <row r="2" spans="1:2" x14ac:dyDescent="0.35">
      <c r="A2" t="s">
        <v>4144</v>
      </c>
      <c r="B2" t="s">
        <v>4145</v>
      </c>
    </row>
    <row r="3" spans="1:2" x14ac:dyDescent="0.35">
      <c r="A3" t="s">
        <v>4146</v>
      </c>
      <c r="B3" t="s">
        <v>4147</v>
      </c>
    </row>
    <row r="5" spans="1:2" x14ac:dyDescent="0.35">
      <c r="A5" s="8" t="s">
        <v>4148</v>
      </c>
      <c r="B5" s="8" t="s">
        <v>4149</v>
      </c>
    </row>
    <row r="6" spans="1:2" x14ac:dyDescent="0.35">
      <c r="A6" t="s">
        <v>4150</v>
      </c>
      <c r="B6" t="s">
        <v>4151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Overview</vt:lpstr>
      <vt:lpstr>Raw Data</vt:lpstr>
      <vt:lpstr>Casualty &amp; Rescue</vt:lpstr>
      <vt:lpstr>Report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Dion, Derryl (DFS)</cp:lastModifiedBy>
  <dcterms:created xsi:type="dcterms:W3CDTF">2026-09-17T14:55:42Z</dcterms:created>
  <dcterms:modified xsi:type="dcterms:W3CDTF">2026-09-17T16:05:46Z</dcterms:modified>
</cp:coreProperties>
</file>