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 Details" sheetId="1" state="visible" r:id="rId1"/>
    <sheet name="Summary" sheetId="2" state="visible" r:id="rId2"/>
    <sheet name="Report Sources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mm/dd/yy hh:mm"/>
    <numFmt numFmtId="165" formatCode="mm/dd/yy"/>
    <numFmt numFmtId="166" formatCode="hh:mm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60" customWidth="1" min="3" max="3"/>
    <col width="25" customWidth="1" min="4" max="4"/>
    <col width="27" customWidth="1" min="5" max="5"/>
    <col width="25" customWidth="1" min="6" max="6"/>
    <col width="41" customWidth="1" min="7" max="7"/>
    <col width="60" customWidth="1" min="8" max="8"/>
    <col width="28" customWidth="1" min="9" max="9"/>
    <col width="17" customWidth="1" min="10" max="10"/>
    <col width="12" customWidth="1" min="11" max="11"/>
    <col width="12" customWidth="1" min="12" max="12"/>
    <col width="19" customWidth="1" min="13" max="13"/>
    <col width="47" customWidth="1" min="14" max="14"/>
    <col width="15" customWidth="1" min="15" max="15"/>
    <col width="12" customWidth="1" min="16" max="16"/>
    <col width="12" customWidth="1" min="17" max="17"/>
    <col width="60" customWidth="1" min="18" max="18"/>
    <col width="18" customWidth="1" min="19" max="19"/>
    <col width="46" customWidth="1" min="20" max="20"/>
    <col width="44" customWidth="1" min="21" max="21"/>
    <col width="25" customWidth="1" min="22" max="22"/>
    <col width="21" customWidth="1" min="23" max="23"/>
    <col width="22" customWidth="1" min="24" max="24"/>
    <col width="17" customWidth="1" min="25" max="25"/>
    <col width="60" customWidth="1" min="26" max="26"/>
    <col width="31" customWidth="1" min="27" max="27"/>
    <col width="40" customWidth="1" min="28" max="28"/>
    <col width="56" customWidth="1" min="29" max="29"/>
    <col width="31" customWidth="1" min="30" max="30"/>
    <col width="14" customWidth="1" min="31" max="31"/>
    <col width="18" customWidth="1" min="32" max="32"/>
    <col width="21" customWidth="1" min="33" max="33"/>
    <col width="15" customWidth="1" min="34" max="34"/>
    <col width="17" customWidth="1" min="35" max="35"/>
    <col width="22" customWidth="1" min="36" max="36"/>
    <col width="25" customWidth="1" min="37" max="37"/>
    <col width="22" customWidth="1" min="38" max="38"/>
    <col width="17" customWidth="1" min="39" max="39"/>
    <col width="16" customWidth="1" min="40" max="40"/>
    <col width="14" customWidth="1" min="41" max="41"/>
    <col width="19" customWidth="1" min="42" max="42"/>
  </cols>
  <sheetData>
    <row r="1">
      <c r="A1" s="1" t="inlineStr">
        <is>
          <t>Entity ID</t>
        </is>
      </c>
      <c r="B1" s="1" t="inlineStr">
        <is>
          <t>Department Name</t>
        </is>
      </c>
      <c r="C1" s="1" t="inlineStr">
        <is>
          <t>Incident Date/Time (UTC)</t>
        </is>
      </c>
      <c r="D1" s="1" t="inlineStr">
        <is>
          <t>Incident Date (Eastern)</t>
        </is>
      </c>
      <c r="E1" s="1" t="inlineStr">
        <is>
          <t>Incident Date</t>
        </is>
      </c>
      <c r="F1" s="1" t="inlineStr">
        <is>
          <t>Incident Time (Eastern)</t>
        </is>
      </c>
      <c r="G1" s="1" t="inlineStr">
        <is>
          <t>Incident Number</t>
        </is>
      </c>
      <c r="H1" s="1" t="inlineStr">
        <is>
          <t>Incident Types</t>
        </is>
      </c>
      <c r="I1" s="1" t="inlineStr">
        <is>
          <t>Address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Zip Code</t>
        </is>
      </c>
      <c r="M1" s="1" t="inlineStr">
        <is>
          <t>County</t>
        </is>
      </c>
      <c r="N1" s="1" t="inlineStr">
        <is>
          <t>Primary Use</t>
        </is>
      </c>
      <c r="O1" s="1" t="inlineStr">
        <is>
          <t>Secondary Use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NERIS ID</t>
        </is>
      </c>
      <c r="S1" s="1" t="inlineStr">
        <is>
          <t>Incident Status</t>
        </is>
      </c>
      <c r="T1" s="1" t="inlineStr">
        <is>
          <t>Structure Fire Cause - Battery_Power_storage</t>
        </is>
      </c>
      <c r="U1" s="1" t="inlineStr">
        <is>
          <t>Outside Fire Cause - Battery_Power_storage</t>
        </is>
      </c>
      <c r="V1" s="1" t="inlineStr">
        <is>
          <t>Electric Vehicle Status</t>
        </is>
      </c>
      <c r="W1" s="1" t="inlineStr">
        <is>
          <t>Electric Reignition</t>
        </is>
      </c>
      <c r="X1" s="1" t="inlineStr">
        <is>
          <t>Electric Suppression</t>
        </is>
      </c>
      <c r="Y1" s="1" t="inlineStr">
        <is>
          <t>Electric Target</t>
        </is>
      </c>
      <c r="Z1" s="1" t="inlineStr">
        <is>
          <t>Electric Hazard Types</t>
        </is>
      </c>
      <c r="AA1" s="1" t="inlineStr">
        <is>
          <t>Electric Hazard Source/Target</t>
        </is>
      </c>
      <c r="AB1" s="1" t="inlineStr">
        <is>
          <t>Electric Hazard Electrification Hazard</t>
        </is>
      </c>
      <c r="AC1" s="1" t="inlineStr">
        <is>
          <t>Electric Hazard Battery Powered/Stored Energy Category</t>
        </is>
      </c>
      <c r="AD1" s="1" t="inlineStr">
        <is>
          <t>Electric Hazard Specific Type</t>
        </is>
      </c>
      <c r="AE1" s="1" t="inlineStr">
        <is>
          <t>Product Type</t>
        </is>
      </c>
      <c r="AF1" s="1" t="inlineStr">
        <is>
          <t>Original Battery</t>
        </is>
      </c>
      <c r="AG1" s="1" t="inlineStr">
        <is>
          <t>Installation Status</t>
        </is>
      </c>
      <c r="AH1" s="1" t="inlineStr">
        <is>
          <t>Safety Listed</t>
        </is>
      </c>
      <c r="AI1" s="1" t="inlineStr">
        <is>
          <t>Vehicle Battery</t>
        </is>
      </c>
      <c r="AJ1" s="1" t="inlineStr">
        <is>
          <t>Charging at Ignition</t>
        </is>
      </c>
      <c r="AK1" s="1" t="inlineStr">
        <is>
          <t>Incident Indoor/Outdoor</t>
        </is>
      </c>
      <c r="AL1" s="1" t="inlineStr">
        <is>
          <t>Impacted from Source</t>
        </is>
      </c>
      <c r="AM1" s="1" t="inlineStr">
        <is>
          <t>Thermal Runaway</t>
        </is>
      </c>
      <c r="AN1" s="1" t="inlineStr">
        <is>
          <t>FD Suppression</t>
        </is>
      </c>
      <c r="AO1" s="1" t="inlineStr">
        <is>
          <t>Battery Cell</t>
        </is>
      </c>
      <c r="AP1" s="1" t="inlineStr">
        <is>
          <t>Battery Chemistry</t>
        </is>
      </c>
    </row>
    <row r="2">
      <c r="A2" t="inlineStr">
        <is>
          <t>FD25001280</t>
        </is>
      </c>
      <c r="B2" t="inlineStr"/>
      <c r="C2" s="2">
        <f>IF(C2="","",DATE(VALUE(LEFT(C2,4)),VALUE(MID(C2,6,2)),VALUE(MID(C2,9,2)))+TIME(VALUE(MID(C2,12,2)),VALUE(MID(C2,15,2)),VALUE(MID(C2,18,2)))-IF(AND(DATE(VALUE(LEFT(C2,4)),VALUE(MID(C2,6,2)),VALUE(MID(C2,9,2)))+TIME(VALUE(MID(C2,12,2)),VALUE(MID(C2,15,2)),VALUE(MID(C2,18,2)))&gt;=DATE(VALUE(LEFT(C2,4)),3,1)+MOD(8-WEEKDAY(DATE(VALUE(LEFT(C2,4)),3,1)),7)+7+TIME(7,0,0),DATE(VALUE(LEFT(C2,4)),3,1)+MOD(8-WEEKDAY(DATE(VALUE(LEFT(C2,4)),3,1)),7)+7+TIME(7,0,0)&lt;DATE(VALUE(LEFT(C2,4)),11,1)+MOD(8-WEEKDAY(DATE(VALUE(LEFT(C2,4)),11,1)),7)+TIME(6,0,0)),TIME(4,0,0),TIME(5,0,0)))</f>
        <v/>
      </c>
      <c r="D2" s="3">
        <f>IF(D2="","",INT(D2))</f>
        <v/>
      </c>
      <c r="E2" s="4">
        <f>IF(D2="","",MOD(D2,1))</f>
        <v/>
      </c>
      <c r="F2" t="inlineStr"/>
      <c r="G2" t="inlineStr">
        <is>
          <t>BRNE:2026:2498</t>
        </is>
      </c>
      <c r="H2" t="inlineStr">
        <is>
          <t>FIRE||SPECIAL_FIRE||EXPLOSION||MEDICAL||INJURY||BURNS_EXPLOSION</t>
        </is>
      </c>
      <c r="I2" t="inlineStr">
        <is>
          <t>101 ACADEMY</t>
        </is>
      </c>
      <c r="J2" t="inlineStr"/>
      <c r="K2" t="inlineStr">
        <is>
          <t>MA</t>
        </is>
      </c>
      <c r="L2" t="inlineStr"/>
      <c r="M2" t="inlineStr">
        <is>
          <t>Barnstable County</t>
        </is>
      </c>
      <c r="N2" t="inlineStr"/>
      <c r="O2" t="inlineStr"/>
      <c r="P2" t="inlineStr"/>
      <c r="Q2" t="inlineStr"/>
      <c r="R2" t="inlineStr">
        <is>
          <t>FD25001280|BRNE:2026:2498|1781625739</t>
        </is>
      </c>
      <c r="S2" t="inlineStr">
        <is>
          <t>APPROVED</t>
        </is>
      </c>
      <c r="T2" t="inlineStr"/>
      <c r="U2" t="inlineStr"/>
      <c r="V2" t="inlineStr"/>
      <c r="W2" t="inlineStr"/>
      <c r="X2" t="inlineStr"/>
      <c r="Y2" t="inlineStr"/>
      <c r="Z2" t="inlineStr">
        <is>
          <t>ENERGY_STORAGE_SYSTEM||BATTERY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FD25001798</t>
        </is>
      </c>
      <c r="B3" t="inlineStr"/>
      <c r="C3" s="2">
        <f>IF(C3="","",DATE(VALUE(LEFT(C3,4)),VALUE(MID(C3,6,2)),VALUE(MID(C3,9,2)))+TIME(VALUE(MID(C3,12,2)),VALUE(MID(C3,15,2)),VALUE(MID(C3,18,2)))-IF(AND(DATE(VALUE(LEFT(C3,4)),VALUE(MID(C3,6,2)),VALUE(MID(C3,9,2)))+TIME(VALUE(MID(C3,12,2)),VALUE(MID(C3,15,2)),VALUE(MID(C3,18,2)))&gt;=DATE(VALUE(LEFT(C3,4)),3,1)+MOD(8-WEEKDAY(DATE(VALUE(LEFT(C3,4)),3,1)),7)+7+TIME(7,0,0),DATE(VALUE(LEFT(C3,4)),3,1)+MOD(8-WEEKDAY(DATE(VALUE(LEFT(C3,4)),3,1)),7)+7+TIME(7,0,0)&lt;DATE(VALUE(LEFT(C3,4)),11,1)+MOD(8-WEEKDAY(DATE(VALUE(LEFT(C3,4)),11,1)),7)+TIME(6,0,0)),TIME(4,0,0),TIME(5,0,0)))</f>
        <v/>
      </c>
      <c r="D3" s="3">
        <f>IF(D3="","",INT(D3))</f>
        <v/>
      </c>
      <c r="E3" s="4">
        <f>IF(D3="","",MOD(D3,1))</f>
        <v/>
      </c>
      <c r="F3" t="inlineStr"/>
      <c r="G3" t="inlineStr">
        <is>
          <t>26-0002912_639181261427754698</t>
        </is>
      </c>
      <c r="H3" t="inlineStr">
        <is>
          <t>HAZSIT||HAZARDOUS_MATERIALS||HAZMAT_RELEASE_TRANSPORT</t>
        </is>
      </c>
      <c r="I3" t="inlineStr">
        <is>
          <t>Beach</t>
        </is>
      </c>
      <c r="J3" t="inlineStr">
        <is>
          <t>West Dennis</t>
        </is>
      </c>
      <c r="K3" t="inlineStr">
        <is>
          <t>MA</t>
        </is>
      </c>
      <c r="L3" t="inlineStr">
        <is>
          <t>02670</t>
        </is>
      </c>
      <c r="M3" t="inlineStr">
        <is>
          <t>Barnstable County</t>
        </is>
      </c>
      <c r="N3" t="inlineStr">
        <is>
          <t>OUTDOOR||WATERFRONT</t>
        </is>
      </c>
      <c r="O3" t="inlineStr"/>
      <c r="P3" t="inlineStr"/>
      <c r="Q3" t="inlineStr"/>
      <c r="R3" t="inlineStr">
        <is>
          <t>FD25001798|26-0002912_639181261427754698|1782508839</t>
        </is>
      </c>
      <c r="S3" t="inlineStr">
        <is>
          <t>APPROVED</t>
        </is>
      </c>
      <c r="T3" t="inlineStr"/>
      <c r="U3" t="inlineStr"/>
      <c r="V3" t="inlineStr"/>
      <c r="W3" t="inlineStr"/>
      <c r="X3" t="inlineStr"/>
      <c r="Y3" t="inlineStr"/>
      <c r="Z3" t="inlineStr">
        <is>
          <t>ELECTRIC_VEHICLE||BOAT_RECREATIONAL||FULL_ELECTRIC</t>
        </is>
      </c>
      <c r="AA3" t="inlineStr">
        <is>
          <t>SOURCE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FD25005492</t>
        </is>
      </c>
      <c r="B4" t="inlineStr"/>
      <c r="C4" s="2">
        <f>IF(C4="","",DATE(VALUE(LEFT(C4,4)),VALUE(MID(C4,6,2)),VALUE(MID(C4,9,2)))+TIME(VALUE(MID(C4,12,2)),VALUE(MID(C4,15,2)),VALUE(MID(C4,18,2)))-IF(AND(DATE(VALUE(LEFT(C4,4)),VALUE(MID(C4,6,2)),VALUE(MID(C4,9,2)))+TIME(VALUE(MID(C4,12,2)),VALUE(MID(C4,15,2)),VALUE(MID(C4,18,2)))&gt;=DATE(VALUE(LEFT(C4,4)),3,1)+MOD(8-WEEKDAY(DATE(VALUE(LEFT(C4,4)),3,1)),7)+7+TIME(7,0,0),DATE(VALUE(LEFT(C4,4)),3,1)+MOD(8-WEEKDAY(DATE(VALUE(LEFT(C4,4)),3,1)),7)+7+TIME(7,0,0)&lt;DATE(VALUE(LEFT(C4,4)),11,1)+MOD(8-WEEKDAY(DATE(VALUE(LEFT(C4,4)),11,1)),7)+TIME(6,0,0)),TIME(4,0,0),TIME(5,0,0)))</f>
        <v/>
      </c>
      <c r="D4" s="3">
        <f>IF(D4="","",INT(D4))</f>
        <v/>
      </c>
      <c r="E4" s="4">
        <f>IF(D4="","",MOD(D4,1))</f>
        <v/>
      </c>
      <c r="F4" t="inlineStr"/>
      <c r="G4" t="inlineStr">
        <is>
          <t>2026003195</t>
        </is>
      </c>
      <c r="H4" t="inlineStr">
        <is>
          <t>HAZSIT||HAZARD_NONCHEM||ELEC_HAZARD_SHORT_CIRCUIT</t>
        </is>
      </c>
      <c r="I4" t="inlineStr">
        <is>
          <t>Adamsdale</t>
        </is>
      </c>
      <c r="J4" t="inlineStr">
        <is>
          <t>North Attleboro</t>
        </is>
      </c>
      <c r="K4" t="inlineStr">
        <is>
          <t>MA</t>
        </is>
      </c>
      <c r="L4" t="inlineStr">
        <is>
          <t>02760</t>
        </is>
      </c>
      <c r="M4" t="inlineStr">
        <is>
          <t>Bristol County</t>
        </is>
      </c>
      <c r="N4" t="inlineStr">
        <is>
          <t>RESIDENTIAL||DETATCHED_SINGLE_FAMILY_DWELLING</t>
        </is>
      </c>
      <c r="O4" t="inlineStr"/>
      <c r="P4" t="inlineStr"/>
      <c r="Q4" t="inlineStr"/>
      <c r="R4" t="inlineStr">
        <is>
          <t>FD25005492|2026003195|1785014961</t>
        </is>
      </c>
      <c r="S4" t="inlineStr">
        <is>
          <t>APPROVED</t>
        </is>
      </c>
      <c r="T4" t="inlineStr"/>
      <c r="U4" t="inlineStr"/>
      <c r="V4" t="inlineStr"/>
      <c r="W4" t="inlineStr"/>
      <c r="X4" t="inlineStr"/>
      <c r="Y4" t="inlineStr"/>
      <c r="Z4" t="inlineStr">
        <is>
          <t>CONSUMER_PRODUCTS||POWER_BANK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FD25011903</t>
        </is>
      </c>
      <c r="B5" t="inlineStr"/>
      <c r="C5" s="2">
        <f>IF(C5="","",DATE(VALUE(LEFT(C5,4)),VALUE(MID(C5,6,2)),VALUE(MID(C5,9,2)))+TIME(VALUE(MID(C5,12,2)),VALUE(MID(C5,15,2)),VALUE(MID(C5,18,2)))-IF(AND(DATE(VALUE(LEFT(C5,4)),VALUE(MID(C5,6,2)),VALUE(MID(C5,9,2)))+TIME(VALUE(MID(C5,12,2)),VALUE(MID(C5,15,2)),VALUE(MID(C5,18,2)))&gt;=DATE(VALUE(LEFT(C5,4)),3,1)+MOD(8-WEEKDAY(DATE(VALUE(LEFT(C5,4)),3,1)),7)+7+TIME(7,0,0),DATE(VALUE(LEFT(C5,4)),3,1)+MOD(8-WEEKDAY(DATE(VALUE(LEFT(C5,4)),3,1)),7)+7+TIME(7,0,0)&lt;DATE(VALUE(LEFT(C5,4)),11,1)+MOD(8-WEEKDAY(DATE(VALUE(LEFT(C5,4)),11,1)),7)+TIME(6,0,0)),TIME(4,0,0),TIME(5,0,0)))</f>
        <v/>
      </c>
      <c r="D5" s="3">
        <f>IF(D5="","",INT(D5))</f>
        <v/>
      </c>
      <c r="E5" s="4">
        <f>IF(D5="","",MOD(D5,1))</f>
        <v/>
      </c>
      <c r="F5" t="inlineStr"/>
      <c r="G5" t="inlineStr">
        <is>
          <t>0e950018-3f32-44f8-85e8-735b6a861289</t>
        </is>
      </c>
      <c r="H5" t="inlineStr">
        <is>
          <t>PUBSERV||CITIZEN_ASSIST||CITIZEN_ASSIST_SERVICE_CALL</t>
        </is>
      </c>
      <c r="I5" t="inlineStr">
        <is>
          <t>West STREET</t>
        </is>
      </c>
      <c r="J5" t="inlineStr">
        <is>
          <t>Wendell</t>
        </is>
      </c>
      <c r="K5" t="inlineStr">
        <is>
          <t>MA</t>
        </is>
      </c>
      <c r="L5" t="inlineStr">
        <is>
          <t>01379</t>
        </is>
      </c>
      <c r="M5" t="inlineStr">
        <is>
          <t>Franklin County</t>
        </is>
      </c>
      <c r="N5" t="inlineStr">
        <is>
          <t>OUTDOOR||GROUND_VACANT_LAND</t>
        </is>
      </c>
      <c r="O5" t="inlineStr"/>
      <c r="P5" t="inlineStr"/>
      <c r="Q5" t="inlineStr"/>
      <c r="R5" t="inlineStr">
        <is>
          <t>FD25011903|1785870514|1785183936</t>
        </is>
      </c>
      <c r="S5" t="inlineStr">
        <is>
          <t>APPROVED</t>
        </is>
      </c>
      <c r="T5" t="inlineStr"/>
      <c r="U5" t="inlineStr"/>
      <c r="V5" t="inlineStr"/>
      <c r="W5" t="inlineStr"/>
      <c r="X5" t="inlineStr"/>
      <c r="Y5" t="inlineStr"/>
      <c r="Z5" t="inlineStr">
        <is>
          <t>E_MOBILITY||ELECTRIC_SCOOTER_MOPED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FD25013812</t>
        </is>
      </c>
      <c r="B6" t="inlineStr"/>
      <c r="C6" s="2">
        <f>IF(C6="","",DATE(VALUE(LEFT(C6,4)),VALUE(MID(C6,6,2)),VALUE(MID(C6,9,2)))+TIME(VALUE(MID(C6,12,2)),VALUE(MID(C6,15,2)),VALUE(MID(C6,18,2)))-IF(AND(DATE(VALUE(LEFT(C6,4)),VALUE(MID(C6,6,2)),VALUE(MID(C6,9,2)))+TIME(VALUE(MID(C6,12,2)),VALUE(MID(C6,15,2)),VALUE(MID(C6,18,2)))&gt;=DATE(VALUE(LEFT(C6,4)),3,1)+MOD(8-WEEKDAY(DATE(VALUE(LEFT(C6,4)),3,1)),7)+7+TIME(7,0,0),DATE(VALUE(LEFT(C6,4)),3,1)+MOD(8-WEEKDAY(DATE(VALUE(LEFT(C6,4)),3,1)),7)+7+TIME(7,0,0)&lt;DATE(VALUE(LEFT(C6,4)),11,1)+MOD(8-WEEKDAY(DATE(VALUE(LEFT(C6,4)),11,1)),7)+TIME(6,0,0)),TIME(4,0,0),TIME(5,0,0)))</f>
        <v/>
      </c>
      <c r="D6" s="3">
        <f>IF(D6="","",INT(D6))</f>
        <v/>
      </c>
      <c r="E6" s="4">
        <f>IF(D6="","",MOD(D6,1))</f>
        <v/>
      </c>
      <c r="F6" t="inlineStr"/>
      <c r="G6" t="inlineStr">
        <is>
          <t>26SWK-223-IN_639207915617597332</t>
        </is>
      </c>
      <c r="H6" t="inlineStr">
        <is>
          <t>FIRE||OUTSIDE_FIRE||TRASH_RUBBISH_FIRE</t>
        </is>
      </c>
      <c r="I6" t="inlineStr">
        <is>
          <t>Sheep Pasture</t>
        </is>
      </c>
      <c r="J6" t="inlineStr">
        <is>
          <t>Southwick</t>
        </is>
      </c>
      <c r="K6" t="inlineStr">
        <is>
          <t>MA</t>
        </is>
      </c>
      <c r="L6" t="inlineStr">
        <is>
          <t>01077</t>
        </is>
      </c>
      <c r="M6" t="inlineStr">
        <is>
          <t>Hampden County</t>
        </is>
      </c>
      <c r="N6" t="inlineStr">
        <is>
          <t>AGRICULTURE_STRUCT||VETERINARY_LIVESTOCK</t>
        </is>
      </c>
      <c r="O6" t="inlineStr"/>
      <c r="P6" t="inlineStr"/>
      <c r="Q6" t="inlineStr"/>
      <c r="R6" t="inlineStr">
        <is>
          <t>FD25013812|26SWK-223-IN_639207915617597332|1784645522</t>
        </is>
      </c>
      <c r="S6" t="inlineStr">
        <is>
          <t>APPROVED</t>
        </is>
      </c>
      <c r="T6" t="inlineStr"/>
      <c r="U6" t="inlineStr"/>
      <c r="V6" t="inlineStr"/>
      <c r="W6" t="inlineStr"/>
      <c r="X6" t="inlineStr"/>
      <c r="Y6" t="inlineStr"/>
      <c r="Z6" t="inlineStr">
        <is>
          <t>CONSUMER_PRODUCTS||TOY</t>
        </is>
      </c>
      <c r="AA6" t="inlineStr">
        <is>
          <t>SOURCE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FD25017027</t>
        </is>
      </c>
      <c r="B7" t="inlineStr"/>
      <c r="C7" s="2">
        <f>IF(C7="","",DATE(VALUE(LEFT(C7,4)),VALUE(MID(C7,6,2)),VALUE(MID(C7,9,2)))+TIME(VALUE(MID(C7,12,2)),VALUE(MID(C7,15,2)),VALUE(MID(C7,18,2)))-IF(AND(DATE(VALUE(LEFT(C7,4)),VALUE(MID(C7,6,2)),VALUE(MID(C7,9,2)))+TIME(VALUE(MID(C7,12,2)),VALUE(MID(C7,15,2)),VALUE(MID(C7,18,2)))&gt;=DATE(VALUE(LEFT(C7,4)),3,1)+MOD(8-WEEKDAY(DATE(VALUE(LEFT(C7,4)),3,1)),7)+7+TIME(7,0,0),DATE(VALUE(LEFT(C7,4)),3,1)+MOD(8-WEEKDAY(DATE(VALUE(LEFT(C7,4)),3,1)),7)+7+TIME(7,0,0)&lt;DATE(VALUE(LEFT(C7,4)),11,1)+MOD(8-WEEKDAY(DATE(VALUE(LEFT(C7,4)),11,1)),7)+TIME(6,0,0)),TIME(4,0,0),TIME(5,0,0)))</f>
        <v/>
      </c>
      <c r="D7" s="3">
        <f>IF(D7="","",INT(D7))</f>
        <v/>
      </c>
      <c r="E7" s="4">
        <f>IF(D7="","",MOD(D7,1))</f>
        <v/>
      </c>
      <c r="F7" t="inlineStr"/>
      <c r="G7" t="inlineStr">
        <is>
          <t>2026001842_639193954888045166</t>
        </is>
      </c>
      <c r="H7" t="inlineStr">
        <is>
          <t>FIRE||SPECIAL_FIRE||ESS_FIRE</t>
        </is>
      </c>
      <c r="I7" t="inlineStr">
        <is>
          <t>Redcoat ROAD</t>
        </is>
      </c>
      <c r="J7" t="inlineStr"/>
      <c r="K7" t="inlineStr">
        <is>
          <t>MA</t>
        </is>
      </c>
      <c r="L7" t="inlineStr">
        <is>
          <t>01730</t>
        </is>
      </c>
      <c r="M7" t="inlineStr"/>
      <c r="N7" t="inlineStr">
        <is>
          <t>RESIDENTIAL||ATTACHED_SINGLE_FAMILY_DWELLING</t>
        </is>
      </c>
      <c r="O7" t="inlineStr"/>
      <c r="P7" t="inlineStr"/>
      <c r="Q7" t="inlineStr"/>
      <c r="R7" t="inlineStr">
        <is>
          <t>FD25017027|2026001842_639193954888045166|1783717209</t>
        </is>
      </c>
      <c r="S7" t="inlineStr">
        <is>
          <t>APPROVED</t>
        </is>
      </c>
      <c r="T7" t="inlineStr"/>
      <c r="U7" t="inlineStr"/>
      <c r="V7" t="inlineStr"/>
      <c r="W7" t="inlineStr"/>
      <c r="X7" t="inlineStr"/>
      <c r="Y7" t="inlineStr"/>
      <c r="Z7" t="inlineStr">
        <is>
          <t>CONSUMER_PRODUCTS||APPLIANCE_TOOL</t>
        </is>
      </c>
      <c r="AA7" t="inlineStr">
        <is>
          <t>SOURCE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FD25017027</t>
        </is>
      </c>
      <c r="B8" t="inlineStr"/>
      <c r="C8" s="2">
        <f>IF(C8="","",DATE(VALUE(LEFT(C8,4)),VALUE(MID(C8,6,2)),VALUE(MID(C8,9,2)))+TIME(VALUE(MID(C8,12,2)),VALUE(MID(C8,15,2)),VALUE(MID(C8,18,2)))-IF(AND(DATE(VALUE(LEFT(C8,4)),VALUE(MID(C8,6,2)),VALUE(MID(C8,9,2)))+TIME(VALUE(MID(C8,12,2)),VALUE(MID(C8,15,2)),VALUE(MID(C8,18,2)))&gt;=DATE(VALUE(LEFT(C8,4)),3,1)+MOD(8-WEEKDAY(DATE(VALUE(LEFT(C8,4)),3,1)),7)+7+TIME(7,0,0),DATE(VALUE(LEFT(C8,4)),3,1)+MOD(8-WEEKDAY(DATE(VALUE(LEFT(C8,4)),3,1)),7)+7+TIME(7,0,0)&lt;DATE(VALUE(LEFT(C8,4)),11,1)+MOD(8-WEEKDAY(DATE(VALUE(LEFT(C8,4)),11,1)),7)+TIME(6,0,0)),TIME(4,0,0),TIME(5,0,0)))</f>
        <v/>
      </c>
      <c r="D8" s="3">
        <f>IF(D8="","",INT(D8))</f>
        <v/>
      </c>
      <c r="E8" s="4">
        <f>IF(D8="","",MOD(D8,1))</f>
        <v/>
      </c>
      <c r="F8" t="inlineStr"/>
      <c r="G8" t="inlineStr">
        <is>
          <t>2026001486_639166011917889069</t>
        </is>
      </c>
      <c r="H8" t="inlineStr">
        <is>
          <t>MEDICAL||INJURY||MOTOR_VEHICLE_COLLISION||FIRE||TRANSPORTATION_FIRE||POWERED_MOBILITY_DEVICE_FIRE</t>
        </is>
      </c>
      <c r="I8" t="inlineStr">
        <is>
          <t>Great ROAD</t>
        </is>
      </c>
      <c r="J8" t="inlineStr"/>
      <c r="K8" t="inlineStr">
        <is>
          <t>MA</t>
        </is>
      </c>
      <c r="L8" t="inlineStr">
        <is>
          <t>01730</t>
        </is>
      </c>
      <c r="M8" t="inlineStr">
        <is>
          <t>Middlesex County</t>
        </is>
      </c>
      <c r="N8" t="inlineStr">
        <is>
          <t>ROADWAY_ACCESS||STREET</t>
        </is>
      </c>
      <c r="O8" t="inlineStr"/>
      <c r="P8" t="inlineStr"/>
      <c r="Q8" t="inlineStr"/>
      <c r="R8" t="inlineStr">
        <is>
          <t>FD25017027|2026001486_639166011917889069|1780945114</t>
        </is>
      </c>
      <c r="S8" t="inlineStr">
        <is>
          <t>APPROVED</t>
        </is>
      </c>
      <c r="T8" t="inlineStr"/>
      <c r="U8" t="inlineStr"/>
      <c r="V8" t="inlineStr"/>
      <c r="W8" t="inlineStr"/>
      <c r="X8" t="inlineStr"/>
      <c r="Y8" t="inlineStr"/>
      <c r="Z8" t="inlineStr">
        <is>
          <t>E_MOBILITY||POWER_ASSISTED_BICYCLE</t>
        </is>
      </c>
      <c r="AA8" t="inlineStr">
        <is>
          <t>SOURCE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FD25017107</t>
        </is>
      </c>
      <c r="B9" t="inlineStr"/>
      <c r="C9" s="2">
        <f>IF(C9="","",DATE(VALUE(LEFT(C9,4)),VALUE(MID(C9,6,2)),VALUE(MID(C9,9,2)))+TIME(VALUE(MID(C9,12,2)),VALUE(MID(C9,15,2)),VALUE(MID(C9,18,2)))-IF(AND(DATE(VALUE(LEFT(C9,4)),VALUE(MID(C9,6,2)),VALUE(MID(C9,9,2)))+TIME(VALUE(MID(C9,12,2)),VALUE(MID(C9,15,2)),VALUE(MID(C9,18,2)))&gt;=DATE(VALUE(LEFT(C9,4)),3,1)+MOD(8-WEEKDAY(DATE(VALUE(LEFT(C9,4)),3,1)),7)+7+TIME(7,0,0),DATE(VALUE(LEFT(C9,4)),3,1)+MOD(8-WEEKDAY(DATE(VALUE(LEFT(C9,4)),3,1)),7)+7+TIME(7,0,0)&lt;DATE(VALUE(LEFT(C9,4)),11,1)+MOD(8-WEEKDAY(DATE(VALUE(LEFT(C9,4)),11,1)),7)+TIME(6,0,0)),TIME(4,0,0),TIME(5,0,0)))</f>
        <v/>
      </c>
      <c r="D9" s="3">
        <f>IF(D9="","",INT(D9))</f>
        <v/>
      </c>
      <c r="E9" s="4">
        <f>IF(D9="","",MOD(D9,1))</f>
        <v/>
      </c>
      <c r="F9" t="inlineStr"/>
      <c r="G9" t="inlineStr">
        <is>
          <t>26-2422</t>
        </is>
      </c>
      <c r="H9" t="inlineStr">
        <is>
          <t>FIRE||STRUCTURE_FIRE||ROOM_AND_CONTENTS_FIRE</t>
        </is>
      </c>
      <c r="I9" t="inlineStr">
        <is>
          <t>50 PARK</t>
        </is>
      </c>
      <c r="J9" t="inlineStr"/>
      <c r="K9" t="inlineStr">
        <is>
          <t>MA</t>
        </is>
      </c>
      <c r="L9" t="inlineStr">
        <is>
          <t>02176</t>
        </is>
      </c>
      <c r="M9" t="inlineStr">
        <is>
          <t>Middlesex County</t>
        </is>
      </c>
      <c r="N9" t="inlineStr"/>
      <c r="O9" t="inlineStr"/>
      <c r="P9" t="inlineStr"/>
      <c r="Q9" t="inlineStr"/>
      <c r="R9" t="inlineStr">
        <is>
          <t>FD25017107|26-2422|1785100354</t>
        </is>
      </c>
      <c r="S9" t="inlineStr">
        <is>
          <t>APPROVED</t>
        </is>
      </c>
      <c r="T9" t="inlineStr"/>
      <c r="U9" t="inlineStr"/>
      <c r="V9" t="inlineStr"/>
      <c r="W9" t="inlineStr"/>
      <c r="X9" t="inlineStr"/>
      <c r="Y9" t="inlineStr"/>
      <c r="Z9" t="inlineStr">
        <is>
          <t>CONSUMER_PRODUCTS||OTHER</t>
        </is>
      </c>
      <c r="AA9" t="inlineStr">
        <is>
          <t>SOURCE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FD25017401</t>
        </is>
      </c>
      <c r="B10" t="inlineStr"/>
      <c r="C10" s="2">
        <f>IF(C10="","",DATE(VALUE(LEFT(C10,4)),VALUE(MID(C10,6,2)),VALUE(MID(C10,9,2)))+TIME(VALUE(MID(C10,12,2)),VALUE(MID(C10,15,2)),VALUE(MID(C10,18,2)))-IF(AND(DATE(VALUE(LEFT(C10,4)),VALUE(MID(C10,6,2)),VALUE(MID(C10,9,2)))+TIME(VALUE(MID(C10,12,2)),VALUE(MID(C10,15,2)),VALUE(MID(C10,18,2)))&gt;=DATE(VALUE(LEFT(C10,4)),3,1)+MOD(8-WEEKDAY(DATE(VALUE(LEFT(C10,4)),3,1)),7)+7+TIME(7,0,0),DATE(VALUE(LEFT(C10,4)),3,1)+MOD(8-WEEKDAY(DATE(VALUE(LEFT(C10,4)),3,1)),7)+7+TIME(7,0,0)&lt;DATE(VALUE(LEFT(C10,4)),11,1)+MOD(8-WEEKDAY(DATE(VALUE(LEFT(C10,4)),11,1)),7)+TIME(6,0,0)),TIME(4,0,0),TIME(5,0,0)))</f>
        <v/>
      </c>
      <c r="D10" s="3">
        <f>IF(D10="","",INT(D10))</f>
        <v/>
      </c>
      <c r="E10" s="4">
        <f>IF(D10="","",MOD(D10,1))</f>
        <v/>
      </c>
      <c r="F10" t="inlineStr"/>
      <c r="G10" t="inlineStr">
        <is>
          <t>26-41258_639217213465817871</t>
        </is>
      </c>
      <c r="H10" t="inlineStr">
        <is>
          <t>FIRE||TRANSPORTATION_FIRE||VEHICLE_FIRE_PASSENGER</t>
        </is>
      </c>
      <c r="I10" t="inlineStr">
        <is>
          <t>Gay</t>
        </is>
      </c>
      <c r="J10" t="inlineStr">
        <is>
          <t>Groton</t>
        </is>
      </c>
      <c r="K10" t="inlineStr">
        <is>
          <t>MA</t>
        </is>
      </c>
      <c r="L10" t="inlineStr">
        <is>
          <t>01450</t>
        </is>
      </c>
      <c r="M10" t="inlineStr">
        <is>
          <t>Middlesex County</t>
        </is>
      </c>
      <c r="N10" t="inlineStr"/>
      <c r="O10" t="inlineStr"/>
      <c r="P10" t="inlineStr"/>
      <c r="Q10" t="inlineStr"/>
      <c r="R10" t="inlineStr">
        <is>
          <t>FD25017401|26-41258_639217213465817871|1785946507</t>
        </is>
      </c>
      <c r="S10" t="inlineStr">
        <is>
          <t>APPROVED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ELECTRIC_VEHICLE||CAR_RR||FULL_ELECTRIC</t>
        </is>
      </c>
      <c r="AA10" t="inlineStr">
        <is>
          <t>UNKNOWN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FD25017808</t>
        </is>
      </c>
      <c r="B11" t="inlineStr"/>
      <c r="C11" s="2">
        <f>IF(C11="","",DATE(VALUE(LEFT(C11,4)),VALUE(MID(C11,6,2)),VALUE(MID(C11,9,2)))+TIME(VALUE(MID(C11,12,2)),VALUE(MID(C11,15,2)),VALUE(MID(C11,18,2)))-IF(AND(DATE(VALUE(LEFT(C11,4)),VALUE(MID(C11,6,2)),VALUE(MID(C11,9,2)))+TIME(VALUE(MID(C11,12,2)),VALUE(MID(C11,15,2)),VALUE(MID(C11,18,2)))&gt;=DATE(VALUE(LEFT(C11,4)),3,1)+MOD(8-WEEKDAY(DATE(VALUE(LEFT(C11,4)),3,1)),7)+7+TIME(7,0,0),DATE(VALUE(LEFT(C11,4)),3,1)+MOD(8-WEEKDAY(DATE(VALUE(LEFT(C11,4)),3,1)),7)+7+TIME(7,0,0)&lt;DATE(VALUE(LEFT(C11,4)),11,1)+MOD(8-WEEKDAY(DATE(VALUE(LEFT(C11,4)),11,1)),7)+TIME(6,0,0)),TIME(4,0,0),TIME(5,0,0)))</f>
        <v/>
      </c>
      <c r="D11" s="3">
        <f>IF(D11="","",INT(D11))</f>
        <v/>
      </c>
      <c r="E11" s="4">
        <f>IF(D11="","",MOD(D11,1))</f>
        <v/>
      </c>
      <c r="F11" t="inlineStr"/>
      <c r="G11" t="inlineStr">
        <is>
          <t>26-2624</t>
        </is>
      </c>
      <c r="H11" t="inlineStr">
        <is>
          <t>FIRE||STRUCTURE_FIRE||ROOM_AND_CONTENTS_FIRE</t>
        </is>
      </c>
      <c r="I11" t="inlineStr">
        <is>
          <t>Gracewood</t>
        </is>
      </c>
      <c r="J11" t="inlineStr">
        <is>
          <t>Stoneham</t>
        </is>
      </c>
      <c r="K11" t="inlineStr">
        <is>
          <t>MA</t>
        </is>
      </c>
      <c r="L11" t="inlineStr">
        <is>
          <t>02180</t>
        </is>
      </c>
      <c r="M11" t="inlineStr">
        <is>
          <t>Middlesex County</t>
        </is>
      </c>
      <c r="N11" t="inlineStr">
        <is>
          <t>RESIDENTIAL||ATTACHED_SINGLE_FAMILY_DWELLING</t>
        </is>
      </c>
      <c r="O11" t="inlineStr"/>
      <c r="P11" t="inlineStr"/>
      <c r="Q11" t="inlineStr"/>
      <c r="R11" t="inlineStr">
        <is>
          <t>FD25017808|26-2624|1786360806</t>
        </is>
      </c>
      <c r="S11" t="inlineStr">
        <is>
          <t>APPROVED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CONSUMER_PRODUCTS||APPLIANCE_TOOL</t>
        </is>
      </c>
      <c r="AA11" t="inlineStr">
        <is>
          <t>SOURCE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FD25017814</t>
        </is>
      </c>
      <c r="B12" t="inlineStr"/>
      <c r="C12" s="2">
        <f>IF(C12="","",DATE(VALUE(LEFT(C12,4)),VALUE(MID(C12,6,2)),VALUE(MID(C12,9,2)))+TIME(VALUE(MID(C12,12,2)),VALUE(MID(C12,15,2)),VALUE(MID(C12,18,2)))-IF(AND(DATE(VALUE(LEFT(C12,4)),VALUE(MID(C12,6,2)),VALUE(MID(C12,9,2)))+TIME(VALUE(MID(C12,12,2)),VALUE(MID(C12,15,2)),VALUE(MID(C12,18,2)))&gt;=DATE(VALUE(LEFT(C12,4)),3,1)+MOD(8-WEEKDAY(DATE(VALUE(LEFT(C12,4)),3,1)),7)+7+TIME(7,0,0),DATE(VALUE(LEFT(C12,4)),3,1)+MOD(8-WEEKDAY(DATE(VALUE(LEFT(C12,4)),3,1)),7)+7+TIME(7,0,0)&lt;DATE(VALUE(LEFT(C12,4)),11,1)+MOD(8-WEEKDAY(DATE(VALUE(LEFT(C12,4)),11,1)),7)+TIME(6,0,0)),TIME(4,0,0),TIME(5,0,0)))</f>
        <v/>
      </c>
      <c r="D12" s="3">
        <f>IF(D12="","",INT(D12))</f>
        <v/>
      </c>
      <c r="E12" s="4">
        <f>IF(D12="","",MOD(D12,1))</f>
        <v/>
      </c>
      <c r="F12" t="inlineStr"/>
      <c r="G12" t="inlineStr">
        <is>
          <t>26-07213</t>
        </is>
      </c>
      <c r="H12" t="inlineStr">
        <is>
          <t>HAZSIT||HAZARD_NONCHEM||ELEC_HAZARD_SHORT_CIRCUIT</t>
        </is>
      </c>
      <c r="I12" t="inlineStr">
        <is>
          <t>Powder House</t>
        </is>
      </c>
      <c r="J12" t="inlineStr">
        <is>
          <t>Somerville</t>
        </is>
      </c>
      <c r="K12" t="inlineStr">
        <is>
          <t>MA</t>
        </is>
      </c>
      <c r="L12" t="inlineStr">
        <is>
          <t>02144</t>
        </is>
      </c>
      <c r="M12" t="inlineStr">
        <is>
          <t>Middlesex County</t>
        </is>
      </c>
      <c r="N12" t="inlineStr">
        <is>
          <t>RESIDENTIAL||MULTI_FAMILY_LOWRISE_DWELLING</t>
        </is>
      </c>
      <c r="O12" t="inlineStr"/>
      <c r="P12" t="inlineStr"/>
      <c r="Q12" t="inlineStr"/>
      <c r="R12" t="inlineStr">
        <is>
          <t>FD25017814|26-07213|1781900206</t>
        </is>
      </c>
      <c r="S12" t="inlineStr">
        <is>
          <t>APPROVED</t>
        </is>
      </c>
      <c r="T12" t="inlineStr"/>
      <c r="U12" t="inlineStr"/>
      <c r="V12" t="inlineStr"/>
      <c r="W12" t="inlineStr"/>
      <c r="X12" t="inlineStr"/>
      <c r="Y12" t="inlineStr"/>
      <c r="Z12" t="inlineStr">
        <is>
          <t>ENERGY_STORAGE_SYSTEM||BATTERY</t>
        </is>
      </c>
      <c r="AA12" t="inlineStr">
        <is>
          <t>SOURCE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FD25017814</t>
        </is>
      </c>
      <c r="B13" t="inlineStr"/>
      <c r="C13" s="2">
        <f>IF(C13="","",DATE(VALUE(LEFT(C13,4)),VALUE(MID(C13,6,2)),VALUE(MID(C13,9,2)))+TIME(VALUE(MID(C13,12,2)),VALUE(MID(C13,15,2)),VALUE(MID(C13,18,2)))-IF(AND(DATE(VALUE(LEFT(C13,4)),VALUE(MID(C13,6,2)),VALUE(MID(C13,9,2)))+TIME(VALUE(MID(C13,12,2)),VALUE(MID(C13,15,2)),VALUE(MID(C13,18,2)))&gt;=DATE(VALUE(LEFT(C13,4)),3,1)+MOD(8-WEEKDAY(DATE(VALUE(LEFT(C13,4)),3,1)),7)+7+TIME(7,0,0),DATE(VALUE(LEFT(C13,4)),3,1)+MOD(8-WEEKDAY(DATE(VALUE(LEFT(C13,4)),3,1)),7)+7+TIME(7,0,0)&lt;DATE(VALUE(LEFT(C13,4)),11,1)+MOD(8-WEEKDAY(DATE(VALUE(LEFT(C13,4)),11,1)),7)+TIME(6,0,0)),TIME(4,0,0),TIME(5,0,0)))</f>
        <v/>
      </c>
      <c r="D13" s="3">
        <f>IF(D13="","",INT(D13))</f>
        <v/>
      </c>
      <c r="E13" s="4">
        <f>IF(D13="","",MOD(D13,1))</f>
        <v/>
      </c>
      <c r="F13" t="inlineStr"/>
      <c r="G13" t="inlineStr">
        <is>
          <t>26-07145</t>
        </is>
      </c>
      <c r="H13" t="inlineStr">
        <is>
          <t>HAZSIT||HAZARD_NONCHEM||ELEC_HAZARD_SHORT_CIRCUIT</t>
        </is>
      </c>
      <c r="I13" t="inlineStr">
        <is>
          <t>Sydney</t>
        </is>
      </c>
      <c r="J13" t="inlineStr">
        <is>
          <t>Somerville</t>
        </is>
      </c>
      <c r="K13" t="inlineStr">
        <is>
          <t>MA</t>
        </is>
      </c>
      <c r="L13" t="inlineStr">
        <is>
          <t>02145</t>
        </is>
      </c>
      <c r="M13" t="inlineStr">
        <is>
          <t>Middlesex County</t>
        </is>
      </c>
      <c r="N13" t="inlineStr">
        <is>
          <t>RESIDENTIAL||DETATCHED_SINGLE_FAMILY_DWELLING</t>
        </is>
      </c>
      <c r="O13" t="inlineStr"/>
      <c r="P13" t="inlineStr"/>
      <c r="Q13" t="inlineStr"/>
      <c r="R13" t="inlineStr">
        <is>
          <t>FD25017814|26-07145|1781795416</t>
        </is>
      </c>
      <c r="S13" t="inlineStr">
        <is>
          <t>APPROVED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ENERGY_STORAGE_SYSTEM||BATTERY</t>
        </is>
      </c>
      <c r="AA13" t="inlineStr">
        <is>
          <t>SOURCE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FD25017814</t>
        </is>
      </c>
      <c r="B14" t="inlineStr"/>
      <c r="C14" s="2">
        <f>IF(C14="","",DATE(VALUE(LEFT(C14,4)),VALUE(MID(C14,6,2)),VALUE(MID(C14,9,2)))+TIME(VALUE(MID(C14,12,2)),VALUE(MID(C14,15,2)),VALUE(MID(C14,18,2)))-IF(AND(DATE(VALUE(LEFT(C14,4)),VALUE(MID(C14,6,2)),VALUE(MID(C14,9,2)))+TIME(VALUE(MID(C14,12,2)),VALUE(MID(C14,15,2)),VALUE(MID(C14,18,2)))&gt;=DATE(VALUE(LEFT(C14,4)),3,1)+MOD(8-WEEKDAY(DATE(VALUE(LEFT(C14,4)),3,1)),7)+7+TIME(7,0,0),DATE(VALUE(LEFT(C14,4)),3,1)+MOD(8-WEEKDAY(DATE(VALUE(LEFT(C14,4)),3,1)),7)+7+TIME(7,0,0)&lt;DATE(VALUE(LEFT(C14,4)),11,1)+MOD(8-WEEKDAY(DATE(VALUE(LEFT(C14,4)),11,1)),7)+TIME(6,0,0)),TIME(4,0,0),TIME(5,0,0)))</f>
        <v/>
      </c>
      <c r="D14" s="3">
        <f>IF(D14="","",INT(D14))</f>
        <v/>
      </c>
      <c r="E14" s="4">
        <f>IF(D14="","",MOD(D14,1))</f>
        <v/>
      </c>
      <c r="F14" t="inlineStr"/>
      <c r="G14" t="inlineStr">
        <is>
          <t>26-06607</t>
        </is>
      </c>
      <c r="H14" t="inlineStr">
        <is>
          <t>PUBSERV||CITIZEN_ASSIST||CITIZEN_ASSIST_SERVICE_CALL</t>
        </is>
      </c>
      <c r="I14" t="inlineStr">
        <is>
          <t>Puritan</t>
        </is>
      </c>
      <c r="J14" t="inlineStr">
        <is>
          <t>Somerville</t>
        </is>
      </c>
      <c r="K14" t="inlineStr">
        <is>
          <t>MA</t>
        </is>
      </c>
      <c r="L14" t="inlineStr">
        <is>
          <t>02145</t>
        </is>
      </c>
      <c r="M14" t="inlineStr">
        <is>
          <t>Middlesex County</t>
        </is>
      </c>
      <c r="N14" t="inlineStr">
        <is>
          <t>ROADWAY_ACCESS||SIDEWALK</t>
        </is>
      </c>
      <c r="O14" t="inlineStr"/>
      <c r="P14" t="inlineStr"/>
      <c r="Q14" t="inlineStr"/>
      <c r="R14" t="inlineStr">
        <is>
          <t>FD25017814|26-06607|1780774315</t>
        </is>
      </c>
      <c r="S14" t="inlineStr">
        <is>
          <t>APPROVED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CONSUMER_PRODUCTS||POWER_BANK</t>
        </is>
      </c>
      <c r="AA14" t="inlineStr">
        <is>
          <t>SOURCE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FD25021583</t>
        </is>
      </c>
      <c r="B15" t="inlineStr"/>
      <c r="C15" s="2">
        <f>IF(C15="","",DATE(VALUE(LEFT(C15,4)),VALUE(MID(C15,6,2)),VALUE(MID(C15,9,2)))+TIME(VALUE(MID(C15,12,2)),VALUE(MID(C15,15,2)),VALUE(MID(C15,18,2)))-IF(AND(DATE(VALUE(LEFT(C15,4)),VALUE(MID(C15,6,2)),VALUE(MID(C15,9,2)))+TIME(VALUE(MID(C15,12,2)),VALUE(MID(C15,15,2)),VALUE(MID(C15,18,2)))&gt;=DATE(VALUE(LEFT(C15,4)),3,1)+MOD(8-WEEKDAY(DATE(VALUE(LEFT(C15,4)),3,1)),7)+7+TIME(7,0,0),DATE(VALUE(LEFT(C15,4)),3,1)+MOD(8-WEEKDAY(DATE(VALUE(LEFT(C15,4)),3,1)),7)+7+TIME(7,0,0)&lt;DATE(VALUE(LEFT(C15,4)),11,1)+MOD(8-WEEKDAY(DATE(VALUE(LEFT(C15,4)),11,1)),7)+TIME(6,0,0)),TIME(4,0,0),TIME(5,0,0)))</f>
        <v/>
      </c>
      <c r="D15" s="3">
        <f>IF(D15="","",INT(D15))</f>
        <v/>
      </c>
      <c r="E15" s="4">
        <f>IF(D15="","",MOD(D15,1))</f>
        <v/>
      </c>
      <c r="F15" t="inlineStr"/>
      <c r="G15" t="inlineStr">
        <is>
          <t>2026-59630</t>
        </is>
      </c>
      <c r="H15" t="inlineStr">
        <is>
          <t>FIRE||SPECIAL_FIRE||ESS_FIRE</t>
        </is>
      </c>
      <c r="I15" t="inlineStr">
        <is>
          <t>14 BELCHER</t>
        </is>
      </c>
      <c r="J15" t="inlineStr"/>
      <c r="K15" t="inlineStr">
        <is>
          <t>MA</t>
        </is>
      </c>
      <c r="L15" t="inlineStr">
        <is>
          <t>02762</t>
        </is>
      </c>
      <c r="M15" t="inlineStr">
        <is>
          <t>Norfolk County</t>
        </is>
      </c>
      <c r="N15" t="inlineStr"/>
      <c r="O15" t="inlineStr"/>
      <c r="P15" t="inlineStr"/>
      <c r="Q15" t="inlineStr"/>
      <c r="R15" t="inlineStr">
        <is>
          <t>FD25021583|2026-59630|1784761684</t>
        </is>
      </c>
      <c r="S15" t="inlineStr">
        <is>
          <t>APPROVED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ENERGY_STORAGE_SYSTEM||BATTERY</t>
        </is>
      </c>
      <c r="AA15" t="inlineStr">
        <is>
          <t>SOURCE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FD25023004</t>
        </is>
      </c>
      <c r="B16" t="inlineStr"/>
      <c r="C16" s="2">
        <f>IF(C16="","",DATE(VALUE(LEFT(C16,4)),VALUE(MID(C16,6,2)),VALUE(MID(C16,9,2)))+TIME(VALUE(MID(C16,12,2)),VALUE(MID(C16,15,2)),VALUE(MID(C16,18,2)))-IF(AND(DATE(VALUE(LEFT(C16,4)),VALUE(MID(C16,6,2)),VALUE(MID(C16,9,2)))+TIME(VALUE(MID(C16,12,2)),VALUE(MID(C16,15,2)),VALUE(MID(C16,18,2)))&gt;=DATE(VALUE(LEFT(C16,4)),3,1)+MOD(8-WEEKDAY(DATE(VALUE(LEFT(C16,4)),3,1)),7)+7+TIME(7,0,0),DATE(VALUE(LEFT(C16,4)),3,1)+MOD(8-WEEKDAY(DATE(VALUE(LEFT(C16,4)),3,1)),7)+7+TIME(7,0,0)&lt;DATE(VALUE(LEFT(C16,4)),11,1)+MOD(8-WEEKDAY(DATE(VALUE(LEFT(C16,4)),11,1)),7)+TIME(6,0,0)),TIME(4,0,0),TIME(5,0,0)))</f>
        <v/>
      </c>
      <c r="D16" s="3">
        <f>IF(D16="","",INT(D16))</f>
        <v/>
      </c>
      <c r="E16" s="4">
        <f>IF(D16="","",MOD(D16,1))</f>
        <v/>
      </c>
      <c r="F16" t="inlineStr"/>
      <c r="G16" t="inlineStr">
        <is>
          <t>HFM-26-02592</t>
        </is>
      </c>
      <c r="H16" t="inlineStr">
        <is>
          <t>FIRE||STRUCTURE_FIRE||ROOM_AND_CONTENTS_FIRE</t>
        </is>
      </c>
      <c r="I16" t="inlineStr">
        <is>
          <t>24 VOLUSIA</t>
        </is>
      </c>
      <c r="J16" t="inlineStr"/>
      <c r="K16" t="inlineStr">
        <is>
          <t>MA</t>
        </is>
      </c>
      <c r="L16" t="inlineStr">
        <is>
          <t>02043</t>
        </is>
      </c>
      <c r="M16" t="inlineStr">
        <is>
          <t>Plymouth County</t>
        </is>
      </c>
      <c r="N16" t="inlineStr"/>
      <c r="O16" t="inlineStr"/>
      <c r="P16" t="inlineStr"/>
      <c r="Q16" t="inlineStr"/>
      <c r="R16" t="inlineStr">
        <is>
          <t>FD25023004|HFM-26-02592|1781623860</t>
        </is>
      </c>
      <c r="S16" t="inlineStr">
        <is>
          <t>APPROVED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CONSUMER_PRODUCTS||COMPUTER_TABLET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FD25023053</t>
        </is>
      </c>
      <c r="B17" t="inlineStr"/>
      <c r="C17" s="2">
        <f>IF(C17="","",DATE(VALUE(LEFT(C17,4)),VALUE(MID(C17,6,2)),VALUE(MID(C17,9,2)))+TIME(VALUE(MID(C17,12,2)),VALUE(MID(C17,15,2)),VALUE(MID(C17,18,2)))-IF(AND(DATE(VALUE(LEFT(C17,4)),VALUE(MID(C17,6,2)),VALUE(MID(C17,9,2)))+TIME(VALUE(MID(C17,12,2)),VALUE(MID(C17,15,2)),VALUE(MID(C17,18,2)))&gt;=DATE(VALUE(LEFT(C17,4)),3,1)+MOD(8-WEEKDAY(DATE(VALUE(LEFT(C17,4)),3,1)),7)+7+TIME(7,0,0),DATE(VALUE(LEFT(C17,4)),3,1)+MOD(8-WEEKDAY(DATE(VALUE(LEFT(C17,4)),3,1)),7)+7+TIME(7,0,0)&lt;DATE(VALUE(LEFT(C17,4)),11,1)+MOD(8-WEEKDAY(DATE(VALUE(LEFT(C17,4)),11,1)),7)+TIME(6,0,0)),TIME(4,0,0),TIME(5,0,0)))</f>
        <v/>
      </c>
      <c r="D17" s="3">
        <f>IF(D17="","",INT(D17))</f>
        <v/>
      </c>
      <c r="E17" s="4">
        <f>IF(D17="","",MOD(D17,1))</f>
        <v/>
      </c>
      <c r="F17" t="inlineStr"/>
      <c r="G17" t="inlineStr">
        <is>
          <t>260608-104808-WBFDMA_639165424224223295</t>
        </is>
      </c>
      <c r="H17" t="inlineStr">
        <is>
          <t>FIRE||STRUCTURE_FIRE||STRUCTURAL_INVOLVEMENT_FIRE||HAZSIT||HAZARD_NONCHEM||ELEC_HAZARD_SHORT_CIRCUIT</t>
        </is>
      </c>
      <c r="I17" t="inlineStr">
        <is>
          <t>Cross STREET</t>
        </is>
      </c>
      <c r="J17" t="inlineStr"/>
      <c r="K17" t="inlineStr">
        <is>
          <t>MA</t>
        </is>
      </c>
      <c r="L17" t="inlineStr">
        <is>
          <t>02379</t>
        </is>
      </c>
      <c r="M17" t="inlineStr">
        <is>
          <t>Plymouth County</t>
        </is>
      </c>
      <c r="N17" t="inlineStr">
        <is>
          <t>RESIDENTIAL||ATTACHED_SINGLE_FAMILY_DWELLING</t>
        </is>
      </c>
      <c r="O17" t="inlineStr"/>
      <c r="P17" t="inlineStr"/>
      <c r="Q17" t="inlineStr"/>
      <c r="R17" t="inlineStr">
        <is>
          <t>FD25023053|260608-104808-WBFDMA_639165424224223295|1780927740</t>
        </is>
      </c>
      <c r="S17" t="inlineStr">
        <is>
          <t>APPROVED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CONSUMER_PRODUCTS||OTHER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FD25023065</t>
        </is>
      </c>
      <c r="B18" t="inlineStr"/>
      <c r="C18" s="2">
        <f>IF(C18="","",DATE(VALUE(LEFT(C18,4)),VALUE(MID(C18,6,2)),VALUE(MID(C18,9,2)))+TIME(VALUE(MID(C18,12,2)),VALUE(MID(C18,15,2)),VALUE(MID(C18,18,2)))-IF(AND(DATE(VALUE(LEFT(C18,4)),VALUE(MID(C18,6,2)),VALUE(MID(C18,9,2)))+TIME(VALUE(MID(C18,12,2)),VALUE(MID(C18,15,2)),VALUE(MID(C18,18,2)))&gt;=DATE(VALUE(LEFT(C18,4)),3,1)+MOD(8-WEEKDAY(DATE(VALUE(LEFT(C18,4)),3,1)),7)+7+TIME(7,0,0),DATE(VALUE(LEFT(C18,4)),3,1)+MOD(8-WEEKDAY(DATE(VALUE(LEFT(C18,4)),3,1)),7)+7+TIME(7,0,0)&lt;DATE(VALUE(LEFT(C18,4)),11,1)+MOD(8-WEEKDAY(DATE(VALUE(LEFT(C18,4)),11,1)),7)+TIME(6,0,0)),TIME(4,0,0),TIME(5,0,0)))</f>
        <v/>
      </c>
      <c r="D18" s="3">
        <f>IF(D18="","",INT(D18))</f>
        <v/>
      </c>
      <c r="E18" s="4">
        <f>IF(D18="","",MOD(D18,1))</f>
        <v/>
      </c>
      <c r="F18" t="inlineStr"/>
      <c r="G18" t="inlineStr">
        <is>
          <t>2026007158</t>
        </is>
      </c>
      <c r="H18" t="inlineStr">
        <is>
          <t>HAZSIT||INVESTIGATION||SMOKE_INVESTIGATION</t>
        </is>
      </c>
      <c r="I18" t="inlineStr">
        <is>
          <t>134 FAIRVIEW LANE</t>
        </is>
      </c>
      <c r="J18" t="inlineStr">
        <is>
          <t>PLYMOUTH</t>
        </is>
      </c>
      <c r="K18" t="inlineStr">
        <is>
          <t>MA</t>
        </is>
      </c>
      <c r="L18" t="inlineStr">
        <is>
          <t>02360</t>
        </is>
      </c>
      <c r="M18" t="inlineStr"/>
      <c r="N18" t="inlineStr">
        <is>
          <t>RESIDENTIAL||DETATCHED_SINGLE_FAMILY_DWELLING</t>
        </is>
      </c>
      <c r="O18" t="inlineStr"/>
      <c r="P18" t="inlineStr"/>
      <c r="Q18" t="inlineStr"/>
      <c r="R18" t="inlineStr">
        <is>
          <t>FD25023065|2026007158|1782833608</t>
        </is>
      </c>
      <c r="S18" t="inlineStr">
        <is>
          <t>APPROVED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CONSUMER_PRODUCTS||ELECTRONIC_CIGARETTE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FD25023251</t>
        </is>
      </c>
      <c r="B19" t="inlineStr"/>
      <c r="C19" s="2">
        <f>IF(C19="","",DATE(VALUE(LEFT(C19,4)),VALUE(MID(C19,6,2)),VALUE(MID(C19,9,2)))+TIME(VALUE(MID(C19,12,2)),VALUE(MID(C19,15,2)),VALUE(MID(C19,18,2)))-IF(AND(DATE(VALUE(LEFT(C19,4)),VALUE(MID(C19,6,2)),VALUE(MID(C19,9,2)))+TIME(VALUE(MID(C19,12,2)),VALUE(MID(C19,15,2)),VALUE(MID(C19,18,2)))&gt;=DATE(VALUE(LEFT(C19,4)),3,1)+MOD(8-WEEKDAY(DATE(VALUE(LEFT(C19,4)),3,1)),7)+7+TIME(7,0,0),DATE(VALUE(LEFT(C19,4)),3,1)+MOD(8-WEEKDAY(DATE(VALUE(LEFT(C19,4)),3,1)),7)+7+TIME(7,0,0)&lt;DATE(VALUE(LEFT(C19,4)),11,1)+MOD(8-WEEKDAY(DATE(VALUE(LEFT(C19,4)),11,1)),7)+TIME(6,0,0)),TIME(4,0,0),TIME(5,0,0)))</f>
        <v/>
      </c>
      <c r="D19" s="3">
        <f>IF(D19="","",INT(D19))</f>
        <v/>
      </c>
      <c r="E19" s="4">
        <f>IF(D19="","",MOD(D19,1))</f>
        <v/>
      </c>
      <c r="F19" t="inlineStr"/>
      <c r="G19" t="inlineStr">
        <is>
          <t>2026001501</t>
        </is>
      </c>
      <c r="H19" t="inlineStr">
        <is>
          <t>FIRE||STRUCTURE_FIRE||ROOM_AND_CONTENTS_FIRE||HAZSIT||HAZARD_NONCHEM||ELEC_HAZARD_SHORT_CIRCUIT</t>
        </is>
      </c>
      <c r="I19" t="inlineStr">
        <is>
          <t>211 STATION ST</t>
        </is>
      </c>
      <c r="J19" t="inlineStr">
        <is>
          <t>HANSON</t>
        </is>
      </c>
      <c r="K19" t="inlineStr">
        <is>
          <t>MA</t>
        </is>
      </c>
      <c r="L19" t="inlineStr">
        <is>
          <t>02341</t>
        </is>
      </c>
      <c r="M19" t="inlineStr"/>
      <c r="N19" t="inlineStr">
        <is>
          <t>INDUSTRIAL||LIGHT</t>
        </is>
      </c>
      <c r="O19" t="inlineStr"/>
      <c r="P19" t="inlineStr"/>
      <c r="Q19" t="inlineStr"/>
      <c r="R19" t="inlineStr">
        <is>
          <t>FD25023251|2026001501|1786107795</t>
        </is>
      </c>
      <c r="S19" t="inlineStr">
        <is>
          <t>APPROVED</t>
        </is>
      </c>
      <c r="T19" t="inlineStr"/>
      <c r="U19" t="inlineStr"/>
      <c r="V19" t="inlineStr"/>
      <c r="W19" t="inlineStr"/>
      <c r="X19" t="inlineStr"/>
      <c r="Y19" t="inlineStr"/>
      <c r="Z19" t="inlineStr">
        <is>
          <t>ENERGY_STORAGE_SYSTEM||BATTERY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FD25023455</t>
        </is>
      </c>
      <c r="B20" t="inlineStr"/>
      <c r="C20" s="2">
        <f>IF(C20="","",DATE(VALUE(LEFT(C20,4)),VALUE(MID(C20,6,2)),VALUE(MID(C20,9,2)))+TIME(VALUE(MID(C20,12,2)),VALUE(MID(C20,15,2)),VALUE(MID(C20,18,2)))-IF(AND(DATE(VALUE(LEFT(C20,4)),VALUE(MID(C20,6,2)),VALUE(MID(C20,9,2)))+TIME(VALUE(MID(C20,12,2)),VALUE(MID(C20,15,2)),VALUE(MID(C20,18,2)))&gt;=DATE(VALUE(LEFT(C20,4)),3,1)+MOD(8-WEEKDAY(DATE(VALUE(LEFT(C20,4)),3,1)),7)+7+TIME(7,0,0),DATE(VALUE(LEFT(C20,4)),3,1)+MOD(8-WEEKDAY(DATE(VALUE(LEFT(C20,4)),3,1)),7)+7+TIME(7,0,0)&lt;DATE(VALUE(LEFT(C20,4)),11,1)+MOD(8-WEEKDAY(DATE(VALUE(LEFT(C20,4)),11,1)),7)+TIME(6,0,0)),TIME(4,0,0),TIME(5,0,0)))</f>
        <v/>
      </c>
      <c r="D20" s="3">
        <f>IF(D20="","",INT(D20))</f>
        <v/>
      </c>
      <c r="E20" s="4">
        <f>IF(D20="","",MOD(D20,1))</f>
        <v/>
      </c>
      <c r="F20" t="inlineStr"/>
      <c r="G20" t="inlineStr">
        <is>
          <t>WFM-2026-1939</t>
        </is>
      </c>
      <c r="H20" t="inlineStr">
        <is>
          <t>FIRE||TRANSPORTATION_FIRE||VEHICLE_FIRE_PASSENGER</t>
        </is>
      </c>
      <c r="I20" t="inlineStr">
        <is>
          <t>Glen Charlie</t>
        </is>
      </c>
      <c r="J20" t="inlineStr">
        <is>
          <t>East Wareham</t>
        </is>
      </c>
      <c r="K20" t="inlineStr">
        <is>
          <t>MA</t>
        </is>
      </c>
      <c r="L20" t="inlineStr">
        <is>
          <t>02538</t>
        </is>
      </c>
      <c r="M20" t="inlineStr">
        <is>
          <t>Plymouth County</t>
        </is>
      </c>
      <c r="N20" t="inlineStr">
        <is>
          <t>OUTDOOR||CAMP_SITE</t>
        </is>
      </c>
      <c r="O20" t="inlineStr"/>
      <c r="P20" t="inlineStr"/>
      <c r="Q20" t="inlineStr"/>
      <c r="R20" t="inlineStr">
        <is>
          <t>FD25023455|WFM-2026-1939|1785167100</t>
        </is>
      </c>
      <c r="S20" t="inlineStr">
        <is>
          <t>APPROVED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ELECTRIC_VEHICLE||LIGHT_EV_NRR||FUEL_CELL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FD25025316</t>
        </is>
      </c>
      <c r="B21" t="inlineStr"/>
      <c r="C21" s="2">
        <f>IF(C21="","",DATE(VALUE(LEFT(C21,4)),VALUE(MID(C21,6,2)),VALUE(MID(C21,9,2)))+TIME(VALUE(MID(C21,12,2)),VALUE(MID(C21,15,2)),VALUE(MID(C21,18,2)))-IF(AND(DATE(VALUE(LEFT(C21,4)),VALUE(MID(C21,6,2)),VALUE(MID(C21,9,2)))+TIME(VALUE(MID(C21,12,2)),VALUE(MID(C21,15,2)),VALUE(MID(C21,18,2)))&gt;=DATE(VALUE(LEFT(C21,4)),3,1)+MOD(8-WEEKDAY(DATE(VALUE(LEFT(C21,4)),3,1)),7)+7+TIME(7,0,0),DATE(VALUE(LEFT(C21,4)),3,1)+MOD(8-WEEKDAY(DATE(VALUE(LEFT(C21,4)),3,1)),7)+7+TIME(7,0,0)&lt;DATE(VALUE(LEFT(C21,4)),11,1)+MOD(8-WEEKDAY(DATE(VALUE(LEFT(C21,4)),11,1)),7)+TIME(6,0,0)),TIME(4,0,0),TIME(5,0,0)))</f>
        <v/>
      </c>
      <c r="D21" s="3">
        <f>IF(D21="","",INT(D21))</f>
        <v/>
      </c>
      <c r="E21" s="4">
        <f>IF(D21="","",MOD(D21,1))</f>
        <v/>
      </c>
      <c r="F21" t="inlineStr"/>
      <c r="G21" t="inlineStr">
        <is>
          <t>26-0062237</t>
        </is>
      </c>
      <c r="H21" t="inlineStr">
        <is>
          <t>HAZSIT||HAZARD_NONCHEM||ELEC_HAZARD_SHORT_CIRCUIT</t>
        </is>
      </c>
      <c r="I21" t="inlineStr">
        <is>
          <t>HAMILTON ST</t>
        </is>
      </c>
      <c r="J21" t="inlineStr"/>
      <c r="K21" t="inlineStr">
        <is>
          <t>MA</t>
        </is>
      </c>
      <c r="L21" t="inlineStr">
        <is>
          <t>02125</t>
        </is>
      </c>
      <c r="M21" t="inlineStr">
        <is>
          <t>SUFFOLK</t>
        </is>
      </c>
      <c r="N21" t="inlineStr">
        <is>
          <t>RESIDENTIAL||MULTI_FAMILY_LOWRISE_DWELLING</t>
        </is>
      </c>
      <c r="O21" t="inlineStr"/>
      <c r="P21" t="inlineStr"/>
      <c r="Q21" t="inlineStr"/>
      <c r="R21" t="inlineStr">
        <is>
          <t>FD25025316|26-0062237|1788231291</t>
        </is>
      </c>
      <c r="S21" t="inlineStr">
        <is>
          <t>APPROVED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CONSUMER_PRODUCTS||OTHER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FD25025316</t>
        </is>
      </c>
      <c r="B22" t="inlineStr"/>
      <c r="C22" s="2">
        <f>IF(C22="","",DATE(VALUE(LEFT(C22,4)),VALUE(MID(C22,6,2)),VALUE(MID(C22,9,2)))+TIME(VALUE(MID(C22,12,2)),VALUE(MID(C22,15,2)),VALUE(MID(C22,18,2)))-IF(AND(DATE(VALUE(LEFT(C22,4)),VALUE(MID(C22,6,2)),VALUE(MID(C22,9,2)))+TIME(VALUE(MID(C22,12,2)),VALUE(MID(C22,15,2)),VALUE(MID(C22,18,2)))&gt;=DATE(VALUE(LEFT(C22,4)),3,1)+MOD(8-WEEKDAY(DATE(VALUE(LEFT(C22,4)),3,1)),7)+7+TIME(7,0,0),DATE(VALUE(LEFT(C22,4)),3,1)+MOD(8-WEEKDAY(DATE(VALUE(LEFT(C22,4)),3,1)),7)+7+TIME(7,0,0)&lt;DATE(VALUE(LEFT(C22,4)),11,1)+MOD(8-WEEKDAY(DATE(VALUE(LEFT(C22,4)),11,1)),7)+TIME(6,0,0)),TIME(4,0,0),TIME(5,0,0)))</f>
        <v/>
      </c>
      <c r="D22" s="3">
        <f>IF(D22="","",INT(D22))</f>
        <v/>
      </c>
      <c r="E22" s="4">
        <f>IF(D22="","",MOD(D22,1))</f>
        <v/>
      </c>
      <c r="F22" t="inlineStr"/>
      <c r="G22" t="inlineStr">
        <is>
          <t>26-0062028</t>
        </is>
      </c>
      <c r="H22" t="inlineStr">
        <is>
          <t>FIRE||STRUCTURE_FIRE||STRUCTURAL_INVOLVEMENT_FIRE</t>
        </is>
      </c>
      <c r="I22" t="inlineStr">
        <is>
          <t>N BEACON ST</t>
        </is>
      </c>
      <c r="J22" t="inlineStr"/>
      <c r="K22" t="inlineStr">
        <is>
          <t>MA</t>
        </is>
      </c>
      <c r="L22" t="inlineStr">
        <is>
          <t>02135</t>
        </is>
      </c>
      <c r="M22" t="inlineStr">
        <is>
          <t>SUFFOLK</t>
        </is>
      </c>
      <c r="N22" t="inlineStr">
        <is>
          <t>RESIDENTIAL||MULTI_FAMILY_LOWRISE_DWELLING</t>
        </is>
      </c>
      <c r="O22" t="inlineStr"/>
      <c r="P22" t="inlineStr"/>
      <c r="Q22" t="inlineStr"/>
      <c r="R22" t="inlineStr">
        <is>
          <t>FD25025316|26-0062028|1788181266</t>
        </is>
      </c>
      <c r="S22" t="inlineStr">
        <is>
          <t>APPROVED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E_MOBILITY||ELECTRIC_SCOOTER_MOPED</t>
        </is>
      </c>
      <c r="AA22" t="inlineStr">
        <is>
          <t>UNKNOWN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FD25025316</t>
        </is>
      </c>
      <c r="B23" t="inlineStr"/>
      <c r="C23" s="2">
        <f>IF(C23="","",DATE(VALUE(LEFT(C23,4)),VALUE(MID(C23,6,2)),VALUE(MID(C23,9,2)))+TIME(VALUE(MID(C23,12,2)),VALUE(MID(C23,15,2)),VALUE(MID(C23,18,2)))-IF(AND(DATE(VALUE(LEFT(C23,4)),VALUE(MID(C23,6,2)),VALUE(MID(C23,9,2)))+TIME(VALUE(MID(C23,12,2)),VALUE(MID(C23,15,2)),VALUE(MID(C23,18,2)))&gt;=DATE(VALUE(LEFT(C23,4)),3,1)+MOD(8-WEEKDAY(DATE(VALUE(LEFT(C23,4)),3,1)),7)+7+TIME(7,0,0),DATE(VALUE(LEFT(C23,4)),3,1)+MOD(8-WEEKDAY(DATE(VALUE(LEFT(C23,4)),3,1)),7)+7+TIME(7,0,0)&lt;DATE(VALUE(LEFT(C23,4)),11,1)+MOD(8-WEEKDAY(DATE(VALUE(LEFT(C23,4)),11,1)),7)+TIME(6,0,0)),TIME(4,0,0),TIME(5,0,0)))</f>
        <v/>
      </c>
      <c r="D23" s="3">
        <f>IF(D23="","",INT(D23))</f>
        <v/>
      </c>
      <c r="E23" s="4">
        <f>IF(D23="","",MOD(D23,1))</f>
        <v/>
      </c>
      <c r="F23" t="inlineStr"/>
      <c r="G23" t="inlineStr">
        <is>
          <t>26-0061151</t>
        </is>
      </c>
      <c r="H23" t="inlineStr">
        <is>
          <t>FIRE||STRUCTURE_FIRE||CONFINED_COOKING_APPLIANCE_FIRE</t>
        </is>
      </c>
      <c r="I23" t="inlineStr">
        <is>
          <t>HARRISON AVE</t>
        </is>
      </c>
      <c r="J23" t="inlineStr"/>
      <c r="K23" t="inlineStr">
        <is>
          <t>MA</t>
        </is>
      </c>
      <c r="L23" t="inlineStr">
        <is>
          <t>02118</t>
        </is>
      </c>
      <c r="M23" t="inlineStr">
        <is>
          <t>SUFFOLK</t>
        </is>
      </c>
      <c r="N23" t="inlineStr">
        <is>
          <t>RESIDENTIAL||MULTI_FAMILY_HIGHRISE_DWELLING</t>
        </is>
      </c>
      <c r="O23" t="inlineStr"/>
      <c r="P23" t="inlineStr"/>
      <c r="Q23" t="inlineStr"/>
      <c r="R23" t="inlineStr">
        <is>
          <t>FD25025316|26-0061151|1787890923</t>
        </is>
      </c>
      <c r="S23" t="inlineStr">
        <is>
          <t>APPROVED</t>
        </is>
      </c>
      <c r="T23" t="inlineStr"/>
      <c r="U23" t="inlineStr"/>
      <c r="V23" t="inlineStr"/>
      <c r="W23" t="inlineStr"/>
      <c r="X23" t="inlineStr"/>
      <c r="Y23" t="inlineStr"/>
      <c r="Z23" t="inlineStr">
        <is>
          <t>CONSUMER_PRODUCTS||APPLIANCE_TOOL</t>
        </is>
      </c>
      <c r="AA23" t="inlineStr">
        <is>
          <t>UNKNOWN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FD25025316</t>
        </is>
      </c>
      <c r="B24" t="inlineStr"/>
      <c r="C24" s="2">
        <f>IF(C24="","",DATE(VALUE(LEFT(C24,4)),VALUE(MID(C24,6,2)),VALUE(MID(C24,9,2)))+TIME(VALUE(MID(C24,12,2)),VALUE(MID(C24,15,2)),VALUE(MID(C24,18,2)))-IF(AND(DATE(VALUE(LEFT(C24,4)),VALUE(MID(C24,6,2)),VALUE(MID(C24,9,2)))+TIME(VALUE(MID(C24,12,2)),VALUE(MID(C24,15,2)),VALUE(MID(C24,18,2)))&gt;=DATE(VALUE(LEFT(C24,4)),3,1)+MOD(8-WEEKDAY(DATE(VALUE(LEFT(C24,4)),3,1)),7)+7+TIME(7,0,0),DATE(VALUE(LEFT(C24,4)),3,1)+MOD(8-WEEKDAY(DATE(VALUE(LEFT(C24,4)),3,1)),7)+7+TIME(7,0,0)&lt;DATE(VALUE(LEFT(C24,4)),11,1)+MOD(8-WEEKDAY(DATE(VALUE(LEFT(C24,4)),11,1)),7)+TIME(6,0,0)),TIME(4,0,0),TIME(5,0,0)))</f>
        <v/>
      </c>
      <c r="D24" s="3">
        <f>IF(D24="","",INT(D24))</f>
        <v/>
      </c>
      <c r="E24" s="4">
        <f>IF(D24="","",MOD(D24,1))</f>
        <v/>
      </c>
      <c r="F24" t="inlineStr"/>
      <c r="G24" t="inlineStr">
        <is>
          <t>26-0061002</t>
        </is>
      </c>
      <c r="H24" t="inlineStr">
        <is>
          <t>HAZSIT||OVERPRESSURE||RUPTURE_WITHOUT_FIRE||NOEMERG||GOOD_INTENT||INVESTIGATE_HAZARDOUS_RELEASE</t>
        </is>
      </c>
      <c r="I24" t="inlineStr">
        <is>
          <t>BOYLSTON ST</t>
        </is>
      </c>
      <c r="J24" t="inlineStr"/>
      <c r="K24" t="inlineStr">
        <is>
          <t>MA</t>
        </is>
      </c>
      <c r="L24" t="inlineStr">
        <is>
          <t>02130</t>
        </is>
      </c>
      <c r="M24" t="inlineStr">
        <is>
          <t>SUFFOLK</t>
        </is>
      </c>
      <c r="N24" t="inlineStr">
        <is>
          <t>RESIDENTIAL||MULTI_FAMILY_LOWRISE_DWELLING</t>
        </is>
      </c>
      <c r="O24" t="inlineStr"/>
      <c r="P24" t="inlineStr"/>
      <c r="Q24" t="inlineStr"/>
      <c r="R24" t="inlineStr">
        <is>
          <t>FD25025316|26-0061002|1787851440</t>
        </is>
      </c>
      <c r="S24" t="inlineStr">
        <is>
          <t>APPROVED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CONSUMER_PRODUCTS||POWER_BANK</t>
        </is>
      </c>
      <c r="AA24" t="inlineStr">
        <is>
          <t>SOURCE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FD25025316</t>
        </is>
      </c>
      <c r="B25" t="inlineStr"/>
      <c r="C25" s="2">
        <f>IF(C25="","",DATE(VALUE(LEFT(C25,4)),VALUE(MID(C25,6,2)),VALUE(MID(C25,9,2)))+TIME(VALUE(MID(C25,12,2)),VALUE(MID(C25,15,2)),VALUE(MID(C25,18,2)))-IF(AND(DATE(VALUE(LEFT(C25,4)),VALUE(MID(C25,6,2)),VALUE(MID(C25,9,2)))+TIME(VALUE(MID(C25,12,2)),VALUE(MID(C25,15,2)),VALUE(MID(C25,18,2)))&gt;=DATE(VALUE(LEFT(C25,4)),3,1)+MOD(8-WEEKDAY(DATE(VALUE(LEFT(C25,4)),3,1)),7)+7+TIME(7,0,0),DATE(VALUE(LEFT(C25,4)),3,1)+MOD(8-WEEKDAY(DATE(VALUE(LEFT(C25,4)),3,1)),7)+7+TIME(7,0,0)&lt;DATE(VALUE(LEFT(C25,4)),11,1)+MOD(8-WEEKDAY(DATE(VALUE(LEFT(C25,4)),11,1)),7)+TIME(6,0,0)),TIME(4,0,0),TIME(5,0,0)))</f>
        <v/>
      </c>
      <c r="D25" s="3">
        <f>IF(D25="","",INT(D25))</f>
        <v/>
      </c>
      <c r="E25" s="4">
        <f>IF(D25="","",MOD(D25,1))</f>
        <v/>
      </c>
      <c r="F25" t="inlineStr"/>
      <c r="G25" t="inlineStr">
        <is>
          <t>26-0060313</t>
        </is>
      </c>
      <c r="H25" t="inlineStr">
        <is>
          <t>HAZSIT||OVERPRESSURE||NO_RUPTURE</t>
        </is>
      </c>
      <c r="I25" t="inlineStr">
        <is>
          <t>COLUMBIA RD</t>
        </is>
      </c>
      <c r="J25" t="inlineStr"/>
      <c r="K25" t="inlineStr">
        <is>
          <t>MA</t>
        </is>
      </c>
      <c r="L25" t="inlineStr">
        <is>
          <t>02127</t>
        </is>
      </c>
      <c r="M25" t="inlineStr">
        <is>
          <t>SUFFOLK</t>
        </is>
      </c>
      <c r="N25" t="inlineStr">
        <is>
          <t>ROADWAY_ACCESS||STREET</t>
        </is>
      </c>
      <c r="O25" t="inlineStr"/>
      <c r="P25" t="inlineStr"/>
      <c r="Q25" t="inlineStr"/>
      <c r="R25" t="inlineStr">
        <is>
          <t>FD25025316|26-0060313|1787607431</t>
        </is>
      </c>
      <c r="S25" t="inlineStr">
        <is>
          <t>APPROVED</t>
        </is>
      </c>
      <c r="T25" t="inlineStr"/>
      <c r="U25" t="inlineStr"/>
      <c r="V25" t="inlineStr"/>
      <c r="W25" t="inlineStr"/>
      <c r="X25" t="inlineStr"/>
      <c r="Y25" t="inlineStr"/>
      <c r="Z25" t="inlineStr">
        <is>
          <t>CONSUMER_PRODUCTS||OTHER</t>
        </is>
      </c>
      <c r="AA25" t="inlineStr">
        <is>
          <t>SOURCE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FD25025316</t>
        </is>
      </c>
      <c r="B26" t="inlineStr"/>
      <c r="C26" s="2">
        <f>IF(C26="","",DATE(VALUE(LEFT(C26,4)),VALUE(MID(C26,6,2)),VALUE(MID(C26,9,2)))+TIME(VALUE(MID(C26,12,2)),VALUE(MID(C26,15,2)),VALUE(MID(C26,18,2)))-IF(AND(DATE(VALUE(LEFT(C26,4)),VALUE(MID(C26,6,2)),VALUE(MID(C26,9,2)))+TIME(VALUE(MID(C26,12,2)),VALUE(MID(C26,15,2)),VALUE(MID(C26,18,2)))&gt;=DATE(VALUE(LEFT(C26,4)),3,1)+MOD(8-WEEKDAY(DATE(VALUE(LEFT(C26,4)),3,1)),7)+7+TIME(7,0,0),DATE(VALUE(LEFT(C26,4)),3,1)+MOD(8-WEEKDAY(DATE(VALUE(LEFT(C26,4)),3,1)),7)+7+TIME(7,0,0)&lt;DATE(VALUE(LEFT(C26,4)),11,1)+MOD(8-WEEKDAY(DATE(VALUE(LEFT(C26,4)),11,1)),7)+TIME(6,0,0)),TIME(4,0,0),TIME(5,0,0)))</f>
        <v/>
      </c>
      <c r="D26" s="3">
        <f>IF(D26="","",INT(D26))</f>
        <v/>
      </c>
      <c r="E26" s="4">
        <f>IF(D26="","",MOD(D26,1))</f>
        <v/>
      </c>
      <c r="F26" t="inlineStr"/>
      <c r="G26" t="inlineStr">
        <is>
          <t>26-0060150</t>
        </is>
      </c>
      <c r="H26" t="inlineStr">
        <is>
          <t>FIRE||OUTSIDE_FIRE||UTILITY_INFRASTRUCTURE_FIRE</t>
        </is>
      </c>
      <c r="I26" t="inlineStr">
        <is>
          <t>FREEPORT ST / ELLSWORTH ST</t>
        </is>
      </c>
      <c r="J26" t="inlineStr"/>
      <c r="K26" t="inlineStr">
        <is>
          <t>MA</t>
        </is>
      </c>
      <c r="L26" t="inlineStr">
        <is>
          <t>02122</t>
        </is>
      </c>
      <c r="M26" t="inlineStr">
        <is>
          <t>SUFFOLK</t>
        </is>
      </c>
      <c r="N26" t="inlineStr">
        <is>
          <t>ROADWAY_ACCESS||STREET</t>
        </is>
      </c>
      <c r="O26" t="inlineStr"/>
      <c r="P26" t="inlineStr"/>
      <c r="Q26" t="inlineStr"/>
      <c r="R26" t="inlineStr">
        <is>
          <t>FD25025316|26-0060150|1787568240</t>
        </is>
      </c>
      <c r="S26" t="inlineStr">
        <is>
          <t>APPROVED</t>
        </is>
      </c>
      <c r="T26" t="inlineStr"/>
      <c r="U26" t="inlineStr"/>
      <c r="V26" t="inlineStr"/>
      <c r="W26" t="inlineStr"/>
      <c r="X26" t="inlineStr"/>
      <c r="Y26" t="inlineStr"/>
      <c r="Z26" t="inlineStr">
        <is>
          <t>ENERGY_STORAGE_SYSTEM||OTHER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FD25025316</t>
        </is>
      </c>
      <c r="B27" t="inlineStr"/>
      <c r="C27" s="2">
        <f>IF(C27="","",DATE(VALUE(LEFT(C27,4)),VALUE(MID(C27,6,2)),VALUE(MID(C27,9,2)))+TIME(VALUE(MID(C27,12,2)),VALUE(MID(C27,15,2)),VALUE(MID(C27,18,2)))-IF(AND(DATE(VALUE(LEFT(C27,4)),VALUE(MID(C27,6,2)),VALUE(MID(C27,9,2)))+TIME(VALUE(MID(C27,12,2)),VALUE(MID(C27,15,2)),VALUE(MID(C27,18,2)))&gt;=DATE(VALUE(LEFT(C27,4)),3,1)+MOD(8-WEEKDAY(DATE(VALUE(LEFT(C27,4)),3,1)),7)+7+TIME(7,0,0),DATE(VALUE(LEFT(C27,4)),3,1)+MOD(8-WEEKDAY(DATE(VALUE(LEFT(C27,4)),3,1)),7)+7+TIME(7,0,0)&lt;DATE(VALUE(LEFT(C27,4)),11,1)+MOD(8-WEEKDAY(DATE(VALUE(LEFT(C27,4)),11,1)),7)+TIME(6,0,0)),TIME(4,0,0),TIME(5,0,0)))</f>
        <v/>
      </c>
      <c r="D27" s="3">
        <f>IF(D27="","",INT(D27))</f>
        <v/>
      </c>
      <c r="E27" s="4">
        <f>IF(D27="","",MOD(D27,1))</f>
        <v/>
      </c>
      <c r="F27" t="inlineStr"/>
      <c r="G27" t="inlineStr">
        <is>
          <t>26-0058698</t>
        </is>
      </c>
      <c r="H27" t="inlineStr">
        <is>
          <t>HAZSIT||HAZARD_NONCHEM||ELEC_HAZARD_SHORT_CIRCUIT||PUBSERV||CITIZEN_ASSIST||CITIZEN_ASSIST_SERVICE_CALL||FIRE||SPECIAL_FIRE||EXPLOSION</t>
        </is>
      </c>
      <c r="I27" t="inlineStr">
        <is>
          <t>S HUNTINGTON AVE</t>
        </is>
      </c>
      <c r="J27" t="inlineStr"/>
      <c r="K27" t="inlineStr">
        <is>
          <t>MA</t>
        </is>
      </c>
      <c r="L27" t="inlineStr">
        <is>
          <t>02130</t>
        </is>
      </c>
      <c r="M27" t="inlineStr">
        <is>
          <t>SUFFOLK</t>
        </is>
      </c>
      <c r="N27" t="inlineStr">
        <is>
          <t>ROADWAY_ACCESS||SIDEWALK</t>
        </is>
      </c>
      <c r="O27" t="inlineStr"/>
      <c r="P27" t="inlineStr"/>
      <c r="Q27" t="inlineStr"/>
      <c r="R27" t="inlineStr">
        <is>
          <t>FD25025316|26-0058698|1787069578</t>
        </is>
      </c>
      <c r="S27" t="inlineStr">
        <is>
          <t>APPROVED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CONSUMER_PRODUCTS||APPLIANCE_TOOL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FD25025316</t>
        </is>
      </c>
      <c r="B28" t="inlineStr"/>
      <c r="C28" s="2">
        <f>IF(C28="","",DATE(VALUE(LEFT(C28,4)),VALUE(MID(C28,6,2)),VALUE(MID(C28,9,2)))+TIME(VALUE(MID(C28,12,2)),VALUE(MID(C28,15,2)),VALUE(MID(C28,18,2)))-IF(AND(DATE(VALUE(LEFT(C28,4)),VALUE(MID(C28,6,2)),VALUE(MID(C28,9,2)))+TIME(VALUE(MID(C28,12,2)),VALUE(MID(C28,15,2)),VALUE(MID(C28,18,2)))&gt;=DATE(VALUE(LEFT(C28,4)),3,1)+MOD(8-WEEKDAY(DATE(VALUE(LEFT(C28,4)),3,1)),7)+7+TIME(7,0,0),DATE(VALUE(LEFT(C28,4)),3,1)+MOD(8-WEEKDAY(DATE(VALUE(LEFT(C28,4)),3,1)),7)+7+TIME(7,0,0)&lt;DATE(VALUE(LEFT(C28,4)),11,1)+MOD(8-WEEKDAY(DATE(VALUE(LEFT(C28,4)),11,1)),7)+TIME(6,0,0)),TIME(4,0,0),TIME(5,0,0)))</f>
        <v/>
      </c>
      <c r="D28" s="3">
        <f>IF(D28="","",INT(D28))</f>
        <v/>
      </c>
      <c r="E28" s="4">
        <f>IF(D28="","",MOD(D28,1))</f>
        <v/>
      </c>
      <c r="F28" t="inlineStr"/>
      <c r="G28" t="inlineStr">
        <is>
          <t>26-0058670</t>
        </is>
      </c>
      <c r="H28" t="inlineStr">
        <is>
          <t>HAZSIT||HAZARD_NONCHEM||ELEC_HAZARD_SHORT_CIRCUIT</t>
        </is>
      </c>
      <c r="I28" t="inlineStr">
        <is>
          <t>S HUNTINGTON AVE</t>
        </is>
      </c>
      <c r="J28" t="inlineStr"/>
      <c r="K28" t="inlineStr">
        <is>
          <t>MA</t>
        </is>
      </c>
      <c r="L28" t="inlineStr">
        <is>
          <t>02130</t>
        </is>
      </c>
      <c r="M28" t="inlineStr">
        <is>
          <t>SUFFOLK</t>
        </is>
      </c>
      <c r="N28" t="inlineStr">
        <is>
          <t>RESIDENTIAL||MULTI_FAMILY_LOWRISE_DWELLING</t>
        </is>
      </c>
      <c r="O28" t="inlineStr"/>
      <c r="P28" t="inlineStr"/>
      <c r="Q28" t="inlineStr"/>
      <c r="R28" t="inlineStr">
        <is>
          <t>FD25025316|26-0058670|1787064549</t>
        </is>
      </c>
      <c r="S28" t="inlineStr">
        <is>
          <t>APPROVED</t>
        </is>
      </c>
      <c r="T28" t="inlineStr"/>
      <c r="U28" t="inlineStr"/>
      <c r="V28" t="inlineStr"/>
      <c r="W28" t="inlineStr"/>
      <c r="X28" t="inlineStr"/>
      <c r="Y28" t="inlineStr"/>
      <c r="Z28" t="inlineStr">
        <is>
          <t>CONSUMER_PRODUCTS||APPLIANCE_TOOL</t>
        </is>
      </c>
      <c r="AA28" t="inlineStr">
        <is>
          <t>SOURCE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FD25025316</t>
        </is>
      </c>
      <c r="B29" t="inlineStr"/>
      <c r="C29" s="2">
        <f>IF(C29="","",DATE(VALUE(LEFT(C29,4)),VALUE(MID(C29,6,2)),VALUE(MID(C29,9,2)))+TIME(VALUE(MID(C29,12,2)),VALUE(MID(C29,15,2)),VALUE(MID(C29,18,2)))-IF(AND(DATE(VALUE(LEFT(C29,4)),VALUE(MID(C29,6,2)),VALUE(MID(C29,9,2)))+TIME(VALUE(MID(C29,12,2)),VALUE(MID(C29,15,2)),VALUE(MID(C29,18,2)))&gt;=DATE(VALUE(LEFT(C29,4)),3,1)+MOD(8-WEEKDAY(DATE(VALUE(LEFT(C29,4)),3,1)),7)+7+TIME(7,0,0),DATE(VALUE(LEFT(C29,4)),3,1)+MOD(8-WEEKDAY(DATE(VALUE(LEFT(C29,4)),3,1)),7)+7+TIME(7,0,0)&lt;DATE(VALUE(LEFT(C29,4)),11,1)+MOD(8-WEEKDAY(DATE(VALUE(LEFT(C29,4)),11,1)),7)+TIME(6,0,0)),TIME(4,0,0),TIME(5,0,0)))</f>
        <v/>
      </c>
      <c r="D29" s="3">
        <f>IF(D29="","",INT(D29))</f>
        <v/>
      </c>
      <c r="E29" s="4">
        <f>IF(D29="","",MOD(D29,1))</f>
        <v/>
      </c>
      <c r="F29" t="inlineStr"/>
      <c r="G29" t="inlineStr">
        <is>
          <t>26-0058323</t>
        </is>
      </c>
      <c r="H29" t="inlineStr">
        <is>
          <t>HAZSIT||HAZARD_NONCHEM||MOTOR_VEHICLE_COLLISION</t>
        </is>
      </c>
      <c r="I29" t="inlineStr">
        <is>
          <t>BRAY ST / COLUMBUS AVE</t>
        </is>
      </c>
      <c r="J29" t="inlineStr"/>
      <c r="K29" t="inlineStr">
        <is>
          <t>MA</t>
        </is>
      </c>
      <c r="L29" t="inlineStr">
        <is>
          <t>02119</t>
        </is>
      </c>
      <c r="M29" t="inlineStr">
        <is>
          <t>SUFFOLK</t>
        </is>
      </c>
      <c r="N29" t="inlineStr">
        <is>
          <t>RESIDENTIAL||DETATCHED_GARAGE</t>
        </is>
      </c>
      <c r="O29" t="inlineStr"/>
      <c r="P29" t="inlineStr"/>
      <c r="Q29" t="inlineStr"/>
      <c r="R29" t="inlineStr">
        <is>
          <t>FD25025316|26-0058323|1786945329</t>
        </is>
      </c>
      <c r="S29" t="inlineStr">
        <is>
          <t>APPROVED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CONSUMER_PRODUCTS||OTHER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FD25025316</t>
        </is>
      </c>
      <c r="B30" t="inlineStr"/>
      <c r="C30" s="2">
        <f>IF(C30="","",DATE(VALUE(LEFT(C30,4)),VALUE(MID(C30,6,2)),VALUE(MID(C30,9,2)))+TIME(VALUE(MID(C30,12,2)),VALUE(MID(C30,15,2)),VALUE(MID(C30,18,2)))-IF(AND(DATE(VALUE(LEFT(C30,4)),VALUE(MID(C30,6,2)),VALUE(MID(C30,9,2)))+TIME(VALUE(MID(C30,12,2)),VALUE(MID(C30,15,2)),VALUE(MID(C30,18,2)))&gt;=DATE(VALUE(LEFT(C30,4)),3,1)+MOD(8-WEEKDAY(DATE(VALUE(LEFT(C30,4)),3,1)),7)+7+TIME(7,0,0),DATE(VALUE(LEFT(C30,4)),3,1)+MOD(8-WEEKDAY(DATE(VALUE(LEFT(C30,4)),3,1)),7)+7+TIME(7,0,0)&lt;DATE(VALUE(LEFT(C30,4)),11,1)+MOD(8-WEEKDAY(DATE(VALUE(LEFT(C30,4)),11,1)),7)+TIME(6,0,0)),TIME(4,0,0),TIME(5,0,0)))</f>
        <v/>
      </c>
      <c r="D30" s="3">
        <f>IF(D30="","",INT(D30))</f>
        <v/>
      </c>
      <c r="E30" s="4">
        <f>IF(D30="","",MOD(D30,1))</f>
        <v/>
      </c>
      <c r="F30" t="inlineStr"/>
      <c r="G30" t="inlineStr">
        <is>
          <t>26-0057325</t>
        </is>
      </c>
      <c r="H30" t="inlineStr">
        <is>
          <t>FIRE||OUTSIDE_FIRE||TRASH_RUBBISH_FIRE</t>
        </is>
      </c>
      <c r="I30" t="inlineStr">
        <is>
          <t>ASHMONT ST / RUNDEL PARK</t>
        </is>
      </c>
      <c r="J30" t="inlineStr"/>
      <c r="K30" t="inlineStr">
        <is>
          <t>MA</t>
        </is>
      </c>
      <c r="L30" t="inlineStr">
        <is>
          <t>02124</t>
        </is>
      </c>
      <c r="M30" t="inlineStr">
        <is>
          <t>SUFFOLK</t>
        </is>
      </c>
      <c r="N30" t="inlineStr">
        <is>
          <t>ROADWAY_ACCESS||STREET</t>
        </is>
      </c>
      <c r="O30" t="inlineStr"/>
      <c r="P30" t="inlineStr"/>
      <c r="Q30" t="inlineStr"/>
      <c r="R30" t="inlineStr">
        <is>
          <t>FD25025316|26-0057325|1786619973</t>
        </is>
      </c>
      <c r="S30" t="inlineStr">
        <is>
          <t>APPROVED</t>
        </is>
      </c>
      <c r="T30" t="inlineStr"/>
      <c r="U30" t="inlineStr"/>
      <c r="V30" t="inlineStr"/>
      <c r="W30" t="inlineStr"/>
      <c r="X30" t="inlineStr"/>
      <c r="Y30" t="inlineStr"/>
      <c r="Z30" t="inlineStr">
        <is>
          <t>CONSUMER_PRODUCTS||POWER_BANK</t>
        </is>
      </c>
      <c r="AA30" t="inlineStr">
        <is>
          <t>SOURCE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FD25025316</t>
        </is>
      </c>
      <c r="B31" t="inlineStr"/>
      <c r="C31" s="2">
        <f>IF(C31="","",DATE(VALUE(LEFT(C31,4)),VALUE(MID(C31,6,2)),VALUE(MID(C31,9,2)))+TIME(VALUE(MID(C31,12,2)),VALUE(MID(C31,15,2)),VALUE(MID(C31,18,2)))-IF(AND(DATE(VALUE(LEFT(C31,4)),VALUE(MID(C31,6,2)),VALUE(MID(C31,9,2)))+TIME(VALUE(MID(C31,12,2)),VALUE(MID(C31,15,2)),VALUE(MID(C31,18,2)))&gt;=DATE(VALUE(LEFT(C31,4)),3,1)+MOD(8-WEEKDAY(DATE(VALUE(LEFT(C31,4)),3,1)),7)+7+TIME(7,0,0),DATE(VALUE(LEFT(C31,4)),3,1)+MOD(8-WEEKDAY(DATE(VALUE(LEFT(C31,4)),3,1)),7)+7+TIME(7,0,0)&lt;DATE(VALUE(LEFT(C31,4)),11,1)+MOD(8-WEEKDAY(DATE(VALUE(LEFT(C31,4)),11,1)),7)+TIME(6,0,0)),TIME(4,0,0),TIME(5,0,0)))</f>
        <v/>
      </c>
      <c r="D31" s="3">
        <f>IF(D31="","",INT(D31))</f>
        <v/>
      </c>
      <c r="E31" s="4">
        <f>IF(D31="","",MOD(D31,1))</f>
        <v/>
      </c>
      <c r="F31" t="inlineStr"/>
      <c r="G31" t="inlineStr">
        <is>
          <t>26-0056139</t>
        </is>
      </c>
      <c r="H31" t="inlineStr">
        <is>
          <t>FIRE||STRUCTURE_FIRE||ROOM_AND_CONTENTS_FIRE</t>
        </is>
      </c>
      <c r="I31" t="inlineStr">
        <is>
          <t>WASHINGTON ST</t>
        </is>
      </c>
      <c r="J31" t="inlineStr"/>
      <c r="K31" t="inlineStr">
        <is>
          <t>MA</t>
        </is>
      </c>
      <c r="L31" t="inlineStr">
        <is>
          <t>02135</t>
        </is>
      </c>
      <c r="M31" t="inlineStr">
        <is>
          <t>SUFFOLK</t>
        </is>
      </c>
      <c r="N31" t="inlineStr">
        <is>
          <t>RESIDENTIAL||MULTI_FAMILY_LOWRISE_DWELLING</t>
        </is>
      </c>
      <c r="O31" t="inlineStr"/>
      <c r="P31" t="inlineStr"/>
      <c r="Q31" t="inlineStr"/>
      <c r="R31" t="inlineStr">
        <is>
          <t>FD25025316|26-0056139|1786223771</t>
        </is>
      </c>
      <c r="S31" t="inlineStr">
        <is>
          <t>APPROVED</t>
        </is>
      </c>
      <c r="T31" t="inlineStr"/>
      <c r="U31" t="inlineStr"/>
      <c r="V31" t="inlineStr"/>
      <c r="W31" t="inlineStr"/>
      <c r="X31" t="inlineStr"/>
      <c r="Y31" t="inlineStr"/>
      <c r="Z31" t="inlineStr">
        <is>
          <t>E_MOBILITY||ELECTRIC_SCOOTER_MOPED</t>
        </is>
      </c>
      <c r="AA31" t="inlineStr">
        <is>
          <t>SOURCE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FD25025316</t>
        </is>
      </c>
      <c r="B32" t="inlineStr"/>
      <c r="C32" s="2">
        <f>IF(C32="","",DATE(VALUE(LEFT(C32,4)),VALUE(MID(C32,6,2)),VALUE(MID(C32,9,2)))+TIME(VALUE(MID(C32,12,2)),VALUE(MID(C32,15,2)),VALUE(MID(C32,18,2)))-IF(AND(DATE(VALUE(LEFT(C32,4)),VALUE(MID(C32,6,2)),VALUE(MID(C32,9,2)))+TIME(VALUE(MID(C32,12,2)),VALUE(MID(C32,15,2)),VALUE(MID(C32,18,2)))&gt;=DATE(VALUE(LEFT(C32,4)),3,1)+MOD(8-WEEKDAY(DATE(VALUE(LEFT(C32,4)),3,1)),7)+7+TIME(7,0,0),DATE(VALUE(LEFT(C32,4)),3,1)+MOD(8-WEEKDAY(DATE(VALUE(LEFT(C32,4)),3,1)),7)+7+TIME(7,0,0)&lt;DATE(VALUE(LEFT(C32,4)),11,1)+MOD(8-WEEKDAY(DATE(VALUE(LEFT(C32,4)),11,1)),7)+TIME(6,0,0)),TIME(4,0,0),TIME(5,0,0)))</f>
        <v/>
      </c>
      <c r="D32" s="3">
        <f>IF(D32="","",INT(D32))</f>
        <v/>
      </c>
      <c r="E32" s="4">
        <f>IF(D32="","",MOD(D32,1))</f>
        <v/>
      </c>
      <c r="F32" t="inlineStr"/>
      <c r="G32" t="inlineStr">
        <is>
          <t>26-0055624</t>
        </is>
      </c>
      <c r="H32" t="inlineStr">
        <is>
          <t>HAZSIT||HAZARD_NONCHEM||ELEC_HAZARD_SHORT_CIRCUIT</t>
        </is>
      </c>
      <c r="I32" t="inlineStr">
        <is>
          <t>BLUEFIELD TER</t>
        </is>
      </c>
      <c r="J32" t="inlineStr"/>
      <c r="K32" t="inlineStr">
        <is>
          <t>MA</t>
        </is>
      </c>
      <c r="L32" t="inlineStr">
        <is>
          <t>02126</t>
        </is>
      </c>
      <c r="M32" t="inlineStr">
        <is>
          <t>SUFFOLK</t>
        </is>
      </c>
      <c r="N32" t="inlineStr">
        <is>
          <t>RESIDENTIAL||DETATCHED_SINGLE_FAMILY_DWELLING</t>
        </is>
      </c>
      <c r="O32" t="inlineStr"/>
      <c r="P32" t="inlineStr"/>
      <c r="Q32" t="inlineStr"/>
      <c r="R32" t="inlineStr">
        <is>
          <t>FD25025316|26-0055624|1786071157</t>
        </is>
      </c>
      <c r="S32" t="inlineStr">
        <is>
          <t>APPROVED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CONSUMER_PRODUCTS||OTHER||CONSUMER_PRODUCTS||APPLIANCE_TOOL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FD25025316</t>
        </is>
      </c>
      <c r="B33" t="inlineStr"/>
      <c r="C33" s="2">
        <f>IF(C33="","",DATE(VALUE(LEFT(C33,4)),VALUE(MID(C33,6,2)),VALUE(MID(C33,9,2)))+TIME(VALUE(MID(C33,12,2)),VALUE(MID(C33,15,2)),VALUE(MID(C33,18,2)))-IF(AND(DATE(VALUE(LEFT(C33,4)),VALUE(MID(C33,6,2)),VALUE(MID(C33,9,2)))+TIME(VALUE(MID(C33,12,2)),VALUE(MID(C33,15,2)),VALUE(MID(C33,18,2)))&gt;=DATE(VALUE(LEFT(C33,4)),3,1)+MOD(8-WEEKDAY(DATE(VALUE(LEFT(C33,4)),3,1)),7)+7+TIME(7,0,0),DATE(VALUE(LEFT(C33,4)),3,1)+MOD(8-WEEKDAY(DATE(VALUE(LEFT(C33,4)),3,1)),7)+7+TIME(7,0,0)&lt;DATE(VALUE(LEFT(C33,4)),11,1)+MOD(8-WEEKDAY(DATE(VALUE(LEFT(C33,4)),11,1)),7)+TIME(6,0,0)),TIME(4,0,0),TIME(5,0,0)))</f>
        <v/>
      </c>
      <c r="D33" s="3">
        <f>IF(D33="","",INT(D33))</f>
        <v/>
      </c>
      <c r="E33" s="4">
        <f>IF(D33="","",MOD(D33,1))</f>
        <v/>
      </c>
      <c r="F33" t="inlineStr"/>
      <c r="G33" t="inlineStr">
        <is>
          <t>26-0054565</t>
        </is>
      </c>
      <c r="H33" t="inlineStr">
        <is>
          <t>FIRE||TRANSPORTATION_FIRE||VEHICLE_FIRE_PASSENGER</t>
        </is>
      </c>
      <c r="I33" t="inlineStr">
        <is>
          <t>BEACON ST / FAIRMOUNT AVE</t>
        </is>
      </c>
      <c r="J33" t="inlineStr"/>
      <c r="K33" t="inlineStr">
        <is>
          <t>MA</t>
        </is>
      </c>
      <c r="L33" t="inlineStr">
        <is>
          <t>02136</t>
        </is>
      </c>
      <c r="M33" t="inlineStr">
        <is>
          <t>SUFFOLK</t>
        </is>
      </c>
      <c r="N33" t="inlineStr">
        <is>
          <t>ROADWAY_ACCESS||STREET</t>
        </is>
      </c>
      <c r="O33" t="inlineStr"/>
      <c r="P33" t="inlineStr"/>
      <c r="Q33" t="inlineStr"/>
      <c r="R33" t="inlineStr">
        <is>
          <t>FD25025316|26-0054565|1785764150</t>
        </is>
      </c>
      <c r="S33" t="inlineStr">
        <is>
          <t>APPROVED</t>
        </is>
      </c>
      <c r="T33" t="inlineStr"/>
      <c r="U33" t="inlineStr"/>
      <c r="V33" t="inlineStr"/>
      <c r="W33" t="inlineStr"/>
      <c r="X33" t="inlineStr"/>
      <c r="Y33" t="inlineStr"/>
      <c r="Z33" t="inlineStr">
        <is>
          <t>CONSUMER_PRODUCTS||OTHER</t>
        </is>
      </c>
      <c r="AA33" t="inlineStr">
        <is>
          <t>UNKNOWN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FD25025316</t>
        </is>
      </c>
      <c r="B34" t="inlineStr"/>
      <c r="C34" s="2">
        <f>IF(C34="","",DATE(VALUE(LEFT(C34,4)),VALUE(MID(C34,6,2)),VALUE(MID(C34,9,2)))+TIME(VALUE(MID(C34,12,2)),VALUE(MID(C34,15,2)),VALUE(MID(C34,18,2)))-IF(AND(DATE(VALUE(LEFT(C34,4)),VALUE(MID(C34,6,2)),VALUE(MID(C34,9,2)))+TIME(VALUE(MID(C34,12,2)),VALUE(MID(C34,15,2)),VALUE(MID(C34,18,2)))&gt;=DATE(VALUE(LEFT(C34,4)),3,1)+MOD(8-WEEKDAY(DATE(VALUE(LEFT(C34,4)),3,1)),7)+7+TIME(7,0,0),DATE(VALUE(LEFT(C34,4)),3,1)+MOD(8-WEEKDAY(DATE(VALUE(LEFT(C34,4)),3,1)),7)+7+TIME(7,0,0)&lt;DATE(VALUE(LEFT(C34,4)),11,1)+MOD(8-WEEKDAY(DATE(VALUE(LEFT(C34,4)),11,1)),7)+TIME(6,0,0)),TIME(4,0,0),TIME(5,0,0)))</f>
        <v/>
      </c>
      <c r="D34" s="3">
        <f>IF(D34="","",INT(D34))</f>
        <v/>
      </c>
      <c r="E34" s="4">
        <f>IF(D34="","",MOD(D34,1))</f>
        <v/>
      </c>
      <c r="F34" t="inlineStr"/>
      <c r="G34" t="inlineStr">
        <is>
          <t>26-0052873</t>
        </is>
      </c>
      <c r="H34" t="inlineStr">
        <is>
          <t>FIRE||STRUCTURE_FIRE||ROOM_AND_CONTENTS_FIRE</t>
        </is>
      </c>
      <c r="I34" t="inlineStr">
        <is>
          <t>BENNINGTON ST</t>
        </is>
      </c>
      <c r="J34" t="inlineStr"/>
      <c r="K34" t="inlineStr">
        <is>
          <t>MA</t>
        </is>
      </c>
      <c r="L34" t="inlineStr">
        <is>
          <t>02128</t>
        </is>
      </c>
      <c r="M34" t="inlineStr">
        <is>
          <t>SUFFOLK</t>
        </is>
      </c>
      <c r="N34" t="inlineStr">
        <is>
          <t>RESIDENTIAL||MULTI_FAMILY_LOWRISE_DWELLING</t>
        </is>
      </c>
      <c r="O34" t="inlineStr"/>
      <c r="P34" t="inlineStr"/>
      <c r="Q34" t="inlineStr"/>
      <c r="R34" t="inlineStr">
        <is>
          <t>FD25025316|26-0052873|1785214967</t>
        </is>
      </c>
      <c r="S34" t="inlineStr">
        <is>
          <t>APPROVED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E_MOBILITY||ELECTRIC_SCOOTER_MOPED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FD25025316</t>
        </is>
      </c>
      <c r="B35" t="inlineStr"/>
      <c r="C35" s="2">
        <f>IF(C35="","",DATE(VALUE(LEFT(C35,4)),VALUE(MID(C35,6,2)),VALUE(MID(C35,9,2)))+TIME(VALUE(MID(C35,12,2)),VALUE(MID(C35,15,2)),VALUE(MID(C35,18,2)))-IF(AND(DATE(VALUE(LEFT(C35,4)),VALUE(MID(C35,6,2)),VALUE(MID(C35,9,2)))+TIME(VALUE(MID(C35,12,2)),VALUE(MID(C35,15,2)),VALUE(MID(C35,18,2)))&gt;=DATE(VALUE(LEFT(C35,4)),3,1)+MOD(8-WEEKDAY(DATE(VALUE(LEFT(C35,4)),3,1)),7)+7+TIME(7,0,0),DATE(VALUE(LEFT(C35,4)),3,1)+MOD(8-WEEKDAY(DATE(VALUE(LEFT(C35,4)),3,1)),7)+7+TIME(7,0,0)&lt;DATE(VALUE(LEFT(C35,4)),11,1)+MOD(8-WEEKDAY(DATE(VALUE(LEFT(C35,4)),11,1)),7)+TIME(6,0,0)),TIME(4,0,0),TIME(5,0,0)))</f>
        <v/>
      </c>
      <c r="D35" s="3">
        <f>IF(D35="","",INT(D35))</f>
        <v/>
      </c>
      <c r="E35" s="4">
        <f>IF(D35="","",MOD(D35,1))</f>
        <v/>
      </c>
      <c r="F35" t="inlineStr"/>
      <c r="G35" t="inlineStr">
        <is>
          <t>26-0051157</t>
        </is>
      </c>
      <c r="H35" t="inlineStr">
        <is>
          <t>HAZSIT||HAZARDOUS_MATERIALS||GAS_LEAK_ODOR</t>
        </is>
      </c>
      <c r="I35" t="inlineStr">
        <is>
          <t>STELLMAN RD</t>
        </is>
      </c>
      <c r="J35" t="inlineStr"/>
      <c r="K35" t="inlineStr">
        <is>
          <t>MA</t>
        </is>
      </c>
      <c r="L35" t="inlineStr">
        <is>
          <t>02131</t>
        </is>
      </c>
      <c r="M35" t="inlineStr">
        <is>
          <t>SUFFOLK</t>
        </is>
      </c>
      <c r="N35" t="inlineStr">
        <is>
          <t>RESIDENTIAL||MULTI_FAMILY_LOWRISE_DWELLING</t>
        </is>
      </c>
      <c r="O35" t="inlineStr"/>
      <c r="P35" t="inlineStr"/>
      <c r="Q35" t="inlineStr"/>
      <c r="R35" t="inlineStr">
        <is>
          <t>FD25025316|26-0051157|1784696826</t>
        </is>
      </c>
      <c r="S35" t="inlineStr">
        <is>
          <t>APPROVED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CONSUMER_PRODUCTS||OTHER</t>
        </is>
      </c>
      <c r="AA35" t="inlineStr">
        <is>
          <t>UNKNOWN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FD25025316</t>
        </is>
      </c>
      <c r="B36" t="inlineStr"/>
      <c r="C36" s="2">
        <f>IF(C36="","",DATE(VALUE(LEFT(C36,4)),VALUE(MID(C36,6,2)),VALUE(MID(C36,9,2)))+TIME(VALUE(MID(C36,12,2)),VALUE(MID(C36,15,2)),VALUE(MID(C36,18,2)))-IF(AND(DATE(VALUE(LEFT(C36,4)),VALUE(MID(C36,6,2)),VALUE(MID(C36,9,2)))+TIME(VALUE(MID(C36,12,2)),VALUE(MID(C36,15,2)),VALUE(MID(C36,18,2)))&gt;=DATE(VALUE(LEFT(C36,4)),3,1)+MOD(8-WEEKDAY(DATE(VALUE(LEFT(C36,4)),3,1)),7)+7+TIME(7,0,0),DATE(VALUE(LEFT(C36,4)),3,1)+MOD(8-WEEKDAY(DATE(VALUE(LEFT(C36,4)),3,1)),7)+7+TIME(7,0,0)&lt;DATE(VALUE(LEFT(C36,4)),11,1)+MOD(8-WEEKDAY(DATE(VALUE(LEFT(C36,4)),11,1)),7)+TIME(6,0,0)),TIME(4,0,0),TIME(5,0,0)))</f>
        <v/>
      </c>
      <c r="D36" s="3">
        <f>IF(D36="","",INT(D36))</f>
        <v/>
      </c>
      <c r="E36" s="4">
        <f>IF(D36="","",MOD(D36,1))</f>
        <v/>
      </c>
      <c r="F36" t="inlineStr"/>
      <c r="G36" t="inlineStr">
        <is>
          <t>26-0050860</t>
        </is>
      </c>
      <c r="H36" t="inlineStr">
        <is>
          <t>FIRE||TRANSPORTATION_FIRE||POWERED_MOBILITY_DEVICE_FIRE</t>
        </is>
      </c>
      <c r="I36" t="inlineStr">
        <is>
          <t>CLINTON ST</t>
        </is>
      </c>
      <c r="J36" t="inlineStr"/>
      <c r="K36" t="inlineStr">
        <is>
          <t>MA</t>
        </is>
      </c>
      <c r="L36" t="inlineStr">
        <is>
          <t>02109</t>
        </is>
      </c>
      <c r="M36" t="inlineStr">
        <is>
          <t>SUFFOLK</t>
        </is>
      </c>
      <c r="N36" t="inlineStr">
        <is>
          <t>COMMERCIAL||RETAIL_WHOLESALE_TRADE</t>
        </is>
      </c>
      <c r="O36" t="inlineStr"/>
      <c r="P36" t="inlineStr"/>
      <c r="Q36" t="inlineStr"/>
      <c r="R36" t="inlineStr">
        <is>
          <t>FD25025316|26-0050860|1784594009</t>
        </is>
      </c>
      <c r="S36" t="inlineStr">
        <is>
          <t>APPROVED</t>
        </is>
      </c>
      <c r="T36" t="inlineStr"/>
      <c r="U36" t="inlineStr"/>
      <c r="V36" t="inlineStr"/>
      <c r="W36" t="inlineStr"/>
      <c r="X36" t="inlineStr"/>
      <c r="Y36" t="inlineStr"/>
      <c r="Z36" t="inlineStr">
        <is>
          <t>E_MOBILITY||POWER_ASSISTED_BICYCLE</t>
        </is>
      </c>
      <c r="AA36" t="inlineStr">
        <is>
          <t>SOURCE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FD25025316</t>
        </is>
      </c>
      <c r="B37" t="inlineStr"/>
      <c r="C37" s="2">
        <f>IF(C37="","",DATE(VALUE(LEFT(C37,4)),VALUE(MID(C37,6,2)),VALUE(MID(C37,9,2)))+TIME(VALUE(MID(C37,12,2)),VALUE(MID(C37,15,2)),VALUE(MID(C37,18,2)))-IF(AND(DATE(VALUE(LEFT(C37,4)),VALUE(MID(C37,6,2)),VALUE(MID(C37,9,2)))+TIME(VALUE(MID(C37,12,2)),VALUE(MID(C37,15,2)),VALUE(MID(C37,18,2)))&gt;=DATE(VALUE(LEFT(C37,4)),3,1)+MOD(8-WEEKDAY(DATE(VALUE(LEFT(C37,4)),3,1)),7)+7+TIME(7,0,0),DATE(VALUE(LEFT(C37,4)),3,1)+MOD(8-WEEKDAY(DATE(VALUE(LEFT(C37,4)),3,1)),7)+7+TIME(7,0,0)&lt;DATE(VALUE(LEFT(C37,4)),11,1)+MOD(8-WEEKDAY(DATE(VALUE(LEFT(C37,4)),11,1)),7)+TIME(6,0,0)),TIME(4,0,0),TIME(5,0,0)))</f>
        <v/>
      </c>
      <c r="D37" s="3">
        <f>IF(D37="","",INT(D37))</f>
        <v/>
      </c>
      <c r="E37" s="4">
        <f>IF(D37="","",MOD(D37,1))</f>
        <v/>
      </c>
      <c r="F37" t="inlineStr"/>
      <c r="G37" t="inlineStr">
        <is>
          <t>26-0050848</t>
        </is>
      </c>
      <c r="H37" t="inlineStr">
        <is>
          <t>HAZSIT||HAZARD_NONCHEM||ELEC_HAZARD_SHORT_CIRCUIT</t>
        </is>
      </c>
      <c r="I37" t="inlineStr">
        <is>
          <t>AURIGA ST</t>
        </is>
      </c>
      <c r="J37" t="inlineStr"/>
      <c r="K37" t="inlineStr">
        <is>
          <t>MA</t>
        </is>
      </c>
      <c r="L37" t="inlineStr">
        <is>
          <t>02122</t>
        </is>
      </c>
      <c r="M37" t="inlineStr">
        <is>
          <t>SUFFOLK</t>
        </is>
      </c>
      <c r="N37" t="inlineStr">
        <is>
          <t>ROADWAY_ACCESS||STREET</t>
        </is>
      </c>
      <c r="O37" t="inlineStr"/>
      <c r="P37" t="inlineStr"/>
      <c r="Q37" t="inlineStr"/>
      <c r="R37" t="inlineStr">
        <is>
          <t>FD25025316|26-0050848|1784591240</t>
        </is>
      </c>
      <c r="S37" t="inlineStr">
        <is>
          <t>APPROVED</t>
        </is>
      </c>
      <c r="T37" t="inlineStr"/>
      <c r="U37" t="inlineStr"/>
      <c r="V37" t="inlineStr"/>
      <c r="W37" t="inlineStr"/>
      <c r="X37" t="inlineStr"/>
      <c r="Y37" t="inlineStr"/>
      <c r="Z37" t="inlineStr">
        <is>
          <t>ENERGY_STORAGE_SYSTEM||OTHER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FD25025316</t>
        </is>
      </c>
      <c r="B38" t="inlineStr"/>
      <c r="C38" s="2">
        <f>IF(C38="","",DATE(VALUE(LEFT(C38,4)),VALUE(MID(C38,6,2)),VALUE(MID(C38,9,2)))+TIME(VALUE(MID(C38,12,2)),VALUE(MID(C38,15,2)),VALUE(MID(C38,18,2)))-IF(AND(DATE(VALUE(LEFT(C38,4)),VALUE(MID(C38,6,2)),VALUE(MID(C38,9,2)))+TIME(VALUE(MID(C38,12,2)),VALUE(MID(C38,15,2)),VALUE(MID(C38,18,2)))&gt;=DATE(VALUE(LEFT(C38,4)),3,1)+MOD(8-WEEKDAY(DATE(VALUE(LEFT(C38,4)),3,1)),7)+7+TIME(7,0,0),DATE(VALUE(LEFT(C38,4)),3,1)+MOD(8-WEEKDAY(DATE(VALUE(LEFT(C38,4)),3,1)),7)+7+TIME(7,0,0)&lt;DATE(VALUE(LEFT(C38,4)),11,1)+MOD(8-WEEKDAY(DATE(VALUE(LEFT(C38,4)),11,1)),7)+TIME(6,0,0)),TIME(4,0,0),TIME(5,0,0)))</f>
        <v/>
      </c>
      <c r="D38" s="3">
        <f>IF(D38="","",INT(D38))</f>
        <v/>
      </c>
      <c r="E38" s="4">
        <f>IF(D38="","",MOD(D38,1))</f>
        <v/>
      </c>
      <c r="F38" t="inlineStr"/>
      <c r="G38" t="inlineStr">
        <is>
          <t>26-0050073</t>
        </is>
      </c>
      <c r="H38" t="inlineStr">
        <is>
          <t>HAZSIT||HAZARD_NONCHEM||ELEC_HAZARD_SHORT_CIRCUIT||FIRE||STRUCTURE_FIRE||ROOM_AND_CONTENTS_FIRE</t>
        </is>
      </c>
      <c r="I38" t="inlineStr">
        <is>
          <t>HARRISON AVE</t>
        </is>
      </c>
      <c r="J38" t="inlineStr"/>
      <c r="K38" t="inlineStr">
        <is>
          <t>MA</t>
        </is>
      </c>
      <c r="L38" t="inlineStr">
        <is>
          <t>02118</t>
        </is>
      </c>
      <c r="M38" t="inlineStr">
        <is>
          <t>SUFFOLK</t>
        </is>
      </c>
      <c r="N38" t="inlineStr">
        <is>
          <t>RESIDENTIAL||MULTI_FAMILY_HIGHRISE_DWELLING</t>
        </is>
      </c>
      <c r="O38" t="inlineStr"/>
      <c r="P38" t="inlineStr"/>
      <c r="Q38" t="inlineStr"/>
      <c r="R38" t="inlineStr">
        <is>
          <t>FD25025316|26-0050073|1784322089</t>
        </is>
      </c>
      <c r="S38" t="inlineStr">
        <is>
          <t>APPROVED</t>
        </is>
      </c>
      <c r="T38" t="inlineStr"/>
      <c r="U38" t="inlineStr"/>
      <c r="V38" t="inlineStr"/>
      <c r="W38" t="inlineStr"/>
      <c r="X38" t="inlineStr"/>
      <c r="Y38" t="inlineStr"/>
      <c r="Z38" t="inlineStr">
        <is>
          <t>E_MOBILITY||ELECTRIC_SCOOTER_MOPED</t>
        </is>
      </c>
      <c r="AA38" t="inlineStr">
        <is>
          <t>SOURCE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FD25025316</t>
        </is>
      </c>
      <c r="B39" t="inlineStr"/>
      <c r="C39" s="2">
        <f>IF(C39="","",DATE(VALUE(LEFT(C39,4)),VALUE(MID(C39,6,2)),VALUE(MID(C39,9,2)))+TIME(VALUE(MID(C39,12,2)),VALUE(MID(C39,15,2)),VALUE(MID(C39,18,2)))-IF(AND(DATE(VALUE(LEFT(C39,4)),VALUE(MID(C39,6,2)),VALUE(MID(C39,9,2)))+TIME(VALUE(MID(C39,12,2)),VALUE(MID(C39,15,2)),VALUE(MID(C39,18,2)))&gt;=DATE(VALUE(LEFT(C39,4)),3,1)+MOD(8-WEEKDAY(DATE(VALUE(LEFT(C39,4)),3,1)),7)+7+TIME(7,0,0),DATE(VALUE(LEFT(C39,4)),3,1)+MOD(8-WEEKDAY(DATE(VALUE(LEFT(C39,4)),3,1)),7)+7+TIME(7,0,0)&lt;DATE(VALUE(LEFT(C39,4)),11,1)+MOD(8-WEEKDAY(DATE(VALUE(LEFT(C39,4)),11,1)),7)+TIME(6,0,0)),TIME(4,0,0),TIME(5,0,0)))</f>
        <v/>
      </c>
      <c r="D39" s="3">
        <f>IF(D39="","",INT(D39))</f>
        <v/>
      </c>
      <c r="E39" s="4">
        <f>IF(D39="","",MOD(D39,1))</f>
        <v/>
      </c>
      <c r="F39" t="inlineStr"/>
      <c r="G39" t="inlineStr">
        <is>
          <t>26-0048986</t>
        </is>
      </c>
      <c r="H39" t="inlineStr">
        <is>
          <t>HAZSIT||HAZARD_NONCHEM||ELEC_HAZARD_SHORT_CIRCUIT</t>
        </is>
      </c>
      <c r="I39" t="inlineStr">
        <is>
          <t>HEATH ST</t>
        </is>
      </c>
      <c r="J39" t="inlineStr"/>
      <c r="K39" t="inlineStr">
        <is>
          <t>MA</t>
        </is>
      </c>
      <c r="L39" t="inlineStr">
        <is>
          <t>02130</t>
        </is>
      </c>
      <c r="M39" t="inlineStr">
        <is>
          <t>SUFFOLK</t>
        </is>
      </c>
      <c r="N39" t="inlineStr">
        <is>
          <t>RESIDENTIAL||MULTI_FAMILY_LOWRISE_DWELLING</t>
        </is>
      </c>
      <c r="O39" t="inlineStr"/>
      <c r="P39" t="inlineStr"/>
      <c r="Q39" t="inlineStr"/>
      <c r="R39" t="inlineStr">
        <is>
          <t>FD25025316|26-0048986|1783993320</t>
        </is>
      </c>
      <c r="S39" t="inlineStr">
        <is>
          <t>APPROVED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CONSUMER_PRODUCTS||POWER_BANK</t>
        </is>
      </c>
      <c r="AA39" t="inlineStr">
        <is>
          <t>UNKNOWN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FD25025316</t>
        </is>
      </c>
      <c r="B40" t="inlineStr"/>
      <c r="C40" s="2">
        <f>IF(C40="","",DATE(VALUE(LEFT(C40,4)),VALUE(MID(C40,6,2)),VALUE(MID(C40,9,2)))+TIME(VALUE(MID(C40,12,2)),VALUE(MID(C40,15,2)),VALUE(MID(C40,18,2)))-IF(AND(DATE(VALUE(LEFT(C40,4)),VALUE(MID(C40,6,2)),VALUE(MID(C40,9,2)))+TIME(VALUE(MID(C40,12,2)),VALUE(MID(C40,15,2)),VALUE(MID(C40,18,2)))&gt;=DATE(VALUE(LEFT(C40,4)),3,1)+MOD(8-WEEKDAY(DATE(VALUE(LEFT(C40,4)),3,1)),7)+7+TIME(7,0,0),DATE(VALUE(LEFT(C40,4)),3,1)+MOD(8-WEEKDAY(DATE(VALUE(LEFT(C40,4)),3,1)),7)+7+TIME(7,0,0)&lt;DATE(VALUE(LEFT(C40,4)),11,1)+MOD(8-WEEKDAY(DATE(VALUE(LEFT(C40,4)),11,1)),7)+TIME(6,0,0)),TIME(4,0,0),TIME(5,0,0)))</f>
        <v/>
      </c>
      <c r="D40" s="3">
        <f>IF(D40="","",INT(D40))</f>
        <v/>
      </c>
      <c r="E40" s="4">
        <f>IF(D40="","",MOD(D40,1))</f>
        <v/>
      </c>
      <c r="F40" t="inlineStr"/>
      <c r="G40" t="inlineStr">
        <is>
          <t>26-0047822</t>
        </is>
      </c>
      <c r="H40" t="inlineStr">
        <is>
          <t>FIRE||TRANSPORTATION_FIRE||VEHICLE_FIRE_PASSENGER</t>
        </is>
      </c>
      <c r="I40" t="inlineStr">
        <is>
          <t>FALCON ST</t>
        </is>
      </c>
      <c r="J40" t="inlineStr"/>
      <c r="K40" t="inlineStr">
        <is>
          <t>MA</t>
        </is>
      </c>
      <c r="L40" t="inlineStr">
        <is>
          <t>02128</t>
        </is>
      </c>
      <c r="M40" t="inlineStr">
        <is>
          <t>SUFFOLK</t>
        </is>
      </c>
      <c r="N40" t="inlineStr">
        <is>
          <t>ROADWAY_ACCESS||STREET</t>
        </is>
      </c>
      <c r="O40" t="inlineStr"/>
      <c r="P40" t="inlineStr"/>
      <c r="Q40" t="inlineStr"/>
      <c r="R40" t="inlineStr">
        <is>
          <t>FD25025316|26-0047822|1783645977</t>
        </is>
      </c>
      <c r="S40" t="inlineStr">
        <is>
          <t>APPROVED</t>
        </is>
      </c>
      <c r="T40" t="inlineStr"/>
      <c r="U40" t="inlineStr"/>
      <c r="V40" t="inlineStr"/>
      <c r="W40" t="inlineStr"/>
      <c r="X40" t="inlineStr"/>
      <c r="Y40" t="inlineStr"/>
      <c r="Z40" t="inlineStr">
        <is>
          <t>ENERGY_STORAGE_SYSTEM||BATTERY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FD25025316</t>
        </is>
      </c>
      <c r="B41" t="inlineStr"/>
      <c r="C41" s="2">
        <f>IF(C41="","",DATE(VALUE(LEFT(C41,4)),VALUE(MID(C41,6,2)),VALUE(MID(C41,9,2)))+TIME(VALUE(MID(C41,12,2)),VALUE(MID(C41,15,2)),VALUE(MID(C41,18,2)))-IF(AND(DATE(VALUE(LEFT(C41,4)),VALUE(MID(C41,6,2)),VALUE(MID(C41,9,2)))+TIME(VALUE(MID(C41,12,2)),VALUE(MID(C41,15,2)),VALUE(MID(C41,18,2)))&gt;=DATE(VALUE(LEFT(C41,4)),3,1)+MOD(8-WEEKDAY(DATE(VALUE(LEFT(C41,4)),3,1)),7)+7+TIME(7,0,0),DATE(VALUE(LEFT(C41,4)),3,1)+MOD(8-WEEKDAY(DATE(VALUE(LEFT(C41,4)),3,1)),7)+7+TIME(7,0,0)&lt;DATE(VALUE(LEFT(C41,4)),11,1)+MOD(8-WEEKDAY(DATE(VALUE(LEFT(C41,4)),11,1)),7)+TIME(6,0,0)),TIME(4,0,0),TIME(5,0,0)))</f>
        <v/>
      </c>
      <c r="D41" s="3">
        <f>IF(D41="","",INT(D41))</f>
        <v/>
      </c>
      <c r="E41" s="4">
        <f>IF(D41="","",MOD(D41,1))</f>
        <v/>
      </c>
      <c r="F41" t="inlineStr"/>
      <c r="G41" t="inlineStr">
        <is>
          <t>26-0047390</t>
        </is>
      </c>
      <c r="H41" t="inlineStr">
        <is>
          <t>MEDICAL||ILLNESS||NO_APPROPRIATE_CHOICE</t>
        </is>
      </c>
      <c r="I41" t="inlineStr">
        <is>
          <t>GALLIVAN BLVD</t>
        </is>
      </c>
      <c r="J41" t="inlineStr"/>
      <c r="K41" t="inlineStr">
        <is>
          <t>MA</t>
        </is>
      </c>
      <c r="L41" t="inlineStr"/>
      <c r="M41" t="inlineStr">
        <is>
          <t>SUFFOLK</t>
        </is>
      </c>
      <c r="N41" t="inlineStr">
        <is>
          <t>ROADWAY_ACCESS||STREET</t>
        </is>
      </c>
      <c r="O41" t="inlineStr"/>
      <c r="P41" t="inlineStr"/>
      <c r="Q41" t="inlineStr"/>
      <c r="R41" t="inlineStr">
        <is>
          <t>FD25025316|26-0047390|1783539242</t>
        </is>
      </c>
      <c r="S41" t="inlineStr">
        <is>
          <t>APPROVED</t>
        </is>
      </c>
      <c r="T41" t="inlineStr"/>
      <c r="U41" t="inlineStr"/>
      <c r="V41" t="inlineStr"/>
      <c r="W41" t="inlineStr"/>
      <c r="X41" t="inlineStr"/>
      <c r="Y41" t="inlineStr"/>
      <c r="Z41" t="inlineStr">
        <is>
          <t>E_MOBILITY||ELECTRIC_SCOOTER_MOPED||E_MOBILITY||ELECTRIC_SCOOTER_MOPED</t>
        </is>
      </c>
      <c r="AA41" t="inlineStr">
        <is>
          <t>UNKNOWN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FD25025316</t>
        </is>
      </c>
      <c r="B42" t="inlineStr"/>
      <c r="C42" s="2">
        <f>IF(C42="","",DATE(VALUE(LEFT(C42,4)),VALUE(MID(C42,6,2)),VALUE(MID(C42,9,2)))+TIME(VALUE(MID(C42,12,2)),VALUE(MID(C42,15,2)),VALUE(MID(C42,18,2)))-IF(AND(DATE(VALUE(LEFT(C42,4)),VALUE(MID(C42,6,2)),VALUE(MID(C42,9,2)))+TIME(VALUE(MID(C42,12,2)),VALUE(MID(C42,15,2)),VALUE(MID(C42,18,2)))&gt;=DATE(VALUE(LEFT(C42,4)),3,1)+MOD(8-WEEKDAY(DATE(VALUE(LEFT(C42,4)),3,1)),7)+7+TIME(7,0,0),DATE(VALUE(LEFT(C42,4)),3,1)+MOD(8-WEEKDAY(DATE(VALUE(LEFT(C42,4)),3,1)),7)+7+TIME(7,0,0)&lt;DATE(VALUE(LEFT(C42,4)),11,1)+MOD(8-WEEKDAY(DATE(VALUE(LEFT(C42,4)),11,1)),7)+TIME(6,0,0)),TIME(4,0,0),TIME(5,0,0)))</f>
        <v/>
      </c>
      <c r="D42" s="3">
        <f>IF(D42="","",INT(D42))</f>
        <v/>
      </c>
      <c r="E42" s="4">
        <f>IF(D42="","",MOD(D42,1))</f>
        <v/>
      </c>
      <c r="F42" t="inlineStr"/>
      <c r="G42" t="inlineStr">
        <is>
          <t>26-0047215</t>
        </is>
      </c>
      <c r="H42" t="inlineStr">
        <is>
          <t>RESCUE||STRUCTURE||ELEVATOR_ESCALATOR_RESCUE</t>
        </is>
      </c>
      <c r="I42" t="inlineStr">
        <is>
          <t>BERKELEY ST</t>
        </is>
      </c>
      <c r="J42" t="inlineStr"/>
      <c r="K42" t="inlineStr">
        <is>
          <t>MA</t>
        </is>
      </c>
      <c r="L42" t="inlineStr">
        <is>
          <t>02116</t>
        </is>
      </c>
      <c r="M42" t="inlineStr">
        <is>
          <t>SUFFOLK</t>
        </is>
      </c>
      <c r="N42" t="inlineStr">
        <is>
          <t>COMMERCIAL||OFFICE_OTHER_TECHNICAL_SERVICES</t>
        </is>
      </c>
      <c r="O42" t="inlineStr"/>
      <c r="P42" t="inlineStr"/>
      <c r="Q42" t="inlineStr"/>
      <c r="R42" t="inlineStr">
        <is>
          <t>FD25025316|26-0047215|1783481167</t>
        </is>
      </c>
      <c r="S42" t="inlineStr">
        <is>
          <t>APPROVED</t>
        </is>
      </c>
      <c r="T42" t="inlineStr"/>
      <c r="U42" t="inlineStr"/>
      <c r="V42" t="inlineStr"/>
      <c r="W42" t="inlineStr"/>
      <c r="X42" t="inlineStr"/>
      <c r="Y42" t="inlineStr"/>
      <c r="Z42" t="inlineStr">
        <is>
          <t>ENERGY_STORAGE_SYSTEM||OTHER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FD25025316</t>
        </is>
      </c>
      <c r="B43" t="inlineStr"/>
      <c r="C43" s="2">
        <f>IF(C43="","",DATE(VALUE(LEFT(C43,4)),VALUE(MID(C43,6,2)),VALUE(MID(C43,9,2)))+TIME(VALUE(MID(C43,12,2)),VALUE(MID(C43,15,2)),VALUE(MID(C43,18,2)))-IF(AND(DATE(VALUE(LEFT(C43,4)),VALUE(MID(C43,6,2)),VALUE(MID(C43,9,2)))+TIME(VALUE(MID(C43,12,2)),VALUE(MID(C43,15,2)),VALUE(MID(C43,18,2)))&gt;=DATE(VALUE(LEFT(C43,4)),3,1)+MOD(8-WEEKDAY(DATE(VALUE(LEFT(C43,4)),3,1)),7)+7+TIME(7,0,0),DATE(VALUE(LEFT(C43,4)),3,1)+MOD(8-WEEKDAY(DATE(VALUE(LEFT(C43,4)),3,1)),7)+7+TIME(7,0,0)&lt;DATE(VALUE(LEFT(C43,4)),11,1)+MOD(8-WEEKDAY(DATE(VALUE(LEFT(C43,4)),11,1)),7)+TIME(6,0,0)),TIME(4,0,0),TIME(5,0,0)))</f>
        <v/>
      </c>
      <c r="D43" s="3">
        <f>IF(D43="","",INT(D43))</f>
        <v/>
      </c>
      <c r="E43" s="4">
        <f>IF(D43="","",MOD(D43,1))</f>
        <v/>
      </c>
      <c r="F43" t="inlineStr"/>
      <c r="G43" t="inlineStr">
        <is>
          <t>26-0046842</t>
        </is>
      </c>
      <c r="H43" t="inlineStr">
        <is>
          <t>HAZSIT||HAZARD_NONCHEM||ELEC_HAZARD_SHORT_CIRCUIT</t>
        </is>
      </c>
      <c r="I43" t="inlineStr">
        <is>
          <t>SAINT THOMAS MORE RD</t>
        </is>
      </c>
      <c r="J43" t="inlineStr"/>
      <c r="K43" t="inlineStr">
        <is>
          <t>MA</t>
        </is>
      </c>
      <c r="L43" t="inlineStr">
        <is>
          <t>02467</t>
        </is>
      </c>
      <c r="M43" t="inlineStr">
        <is>
          <t>SUFFOLK</t>
        </is>
      </c>
      <c r="N43" t="inlineStr">
        <is>
          <t>EDUCATION||COLLEGES_UNIVERSITIES</t>
        </is>
      </c>
      <c r="O43" t="inlineStr"/>
      <c r="P43" t="inlineStr"/>
      <c r="Q43" t="inlineStr"/>
      <c r="R43" t="inlineStr">
        <is>
          <t>FD25025316|26-0046842|1783361414</t>
        </is>
      </c>
      <c r="S43" t="inlineStr">
        <is>
          <t>APPROVED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ELECTRIC_VEHICLE||CAR_RR||FULL_ELECTRIC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FD25025316</t>
        </is>
      </c>
      <c r="B44" t="inlineStr"/>
      <c r="C44" s="2">
        <f>IF(C44="","",DATE(VALUE(LEFT(C44,4)),VALUE(MID(C44,6,2)),VALUE(MID(C44,9,2)))+TIME(VALUE(MID(C44,12,2)),VALUE(MID(C44,15,2)),VALUE(MID(C44,18,2)))-IF(AND(DATE(VALUE(LEFT(C44,4)),VALUE(MID(C44,6,2)),VALUE(MID(C44,9,2)))+TIME(VALUE(MID(C44,12,2)),VALUE(MID(C44,15,2)),VALUE(MID(C44,18,2)))&gt;=DATE(VALUE(LEFT(C44,4)),3,1)+MOD(8-WEEKDAY(DATE(VALUE(LEFT(C44,4)),3,1)),7)+7+TIME(7,0,0),DATE(VALUE(LEFT(C44,4)),3,1)+MOD(8-WEEKDAY(DATE(VALUE(LEFT(C44,4)),3,1)),7)+7+TIME(7,0,0)&lt;DATE(VALUE(LEFT(C44,4)),11,1)+MOD(8-WEEKDAY(DATE(VALUE(LEFT(C44,4)),11,1)),7)+TIME(6,0,0)),TIME(4,0,0),TIME(5,0,0)))</f>
        <v/>
      </c>
      <c r="D44" s="3">
        <f>IF(D44="","",INT(D44))</f>
        <v/>
      </c>
      <c r="E44" s="4">
        <f>IF(D44="","",MOD(D44,1))</f>
        <v/>
      </c>
      <c r="F44" t="inlineStr"/>
      <c r="G44" t="inlineStr">
        <is>
          <t>26-0046011</t>
        </is>
      </c>
      <c r="H44" t="inlineStr">
        <is>
          <t>PUBSERV||CITIZEN_ASSIST||CITIZEN_ASSIST_SERVICE_CALL||HAZSIT||HAZARD_NONCHEM||ELEC_HAZARD_SHORT_CIRCUIT</t>
        </is>
      </c>
      <c r="I44" t="inlineStr">
        <is>
          <t>BRAEMORE RD Apt 11</t>
        </is>
      </c>
      <c r="J44" t="inlineStr"/>
      <c r="K44" t="inlineStr">
        <is>
          <t>MA</t>
        </is>
      </c>
      <c r="L44" t="inlineStr">
        <is>
          <t>02135</t>
        </is>
      </c>
      <c r="M44" t="inlineStr">
        <is>
          <t>SUFFOLK</t>
        </is>
      </c>
      <c r="N44" t="inlineStr">
        <is>
          <t>RESIDENTIAL||MULTI_FAMILY_LOWRISE_DWELLING</t>
        </is>
      </c>
      <c r="O44" t="inlineStr"/>
      <c r="P44" t="inlineStr"/>
      <c r="Q44" t="inlineStr"/>
      <c r="R44" t="inlineStr">
        <is>
          <t>FD25025316|26-0046011|1783131023</t>
        </is>
      </c>
      <c r="S44" t="inlineStr">
        <is>
          <t>APPROVED</t>
        </is>
      </c>
      <c r="T44" t="inlineStr"/>
      <c r="U44" t="inlineStr"/>
      <c r="V44" t="inlineStr"/>
      <c r="W44" t="inlineStr"/>
      <c r="X44" t="inlineStr"/>
      <c r="Y44" t="inlineStr"/>
      <c r="Z44" t="inlineStr">
        <is>
          <t>CONSUMER_PRODUCTS||POWER_BANK</t>
        </is>
      </c>
      <c r="AA44" t="inlineStr">
        <is>
          <t>TARGET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FD25025316</t>
        </is>
      </c>
      <c r="B45" t="inlineStr"/>
      <c r="C45" s="2">
        <f>IF(C45="","",DATE(VALUE(LEFT(C45,4)),VALUE(MID(C45,6,2)),VALUE(MID(C45,9,2)))+TIME(VALUE(MID(C45,12,2)),VALUE(MID(C45,15,2)),VALUE(MID(C45,18,2)))-IF(AND(DATE(VALUE(LEFT(C45,4)),VALUE(MID(C45,6,2)),VALUE(MID(C45,9,2)))+TIME(VALUE(MID(C45,12,2)),VALUE(MID(C45,15,2)),VALUE(MID(C45,18,2)))&gt;=DATE(VALUE(LEFT(C45,4)),3,1)+MOD(8-WEEKDAY(DATE(VALUE(LEFT(C45,4)),3,1)),7)+7+TIME(7,0,0),DATE(VALUE(LEFT(C45,4)),3,1)+MOD(8-WEEKDAY(DATE(VALUE(LEFT(C45,4)),3,1)),7)+7+TIME(7,0,0)&lt;DATE(VALUE(LEFT(C45,4)),11,1)+MOD(8-WEEKDAY(DATE(VALUE(LEFT(C45,4)),11,1)),7)+TIME(6,0,0)),TIME(4,0,0),TIME(5,0,0)))</f>
        <v/>
      </c>
      <c r="D45" s="3">
        <f>IF(D45="","",INT(D45))</f>
        <v/>
      </c>
      <c r="E45" s="4">
        <f>IF(D45="","",MOD(D45,1))</f>
        <v/>
      </c>
      <c r="F45" t="inlineStr"/>
      <c r="G45" t="inlineStr">
        <is>
          <t>26-0045563</t>
        </is>
      </c>
      <c r="H45" t="inlineStr">
        <is>
          <t>HAZSIT||INVESTIGATION||SMOKE_INVESTIGATION</t>
        </is>
      </c>
      <c r="I45" t="inlineStr">
        <is>
          <t>NEWMARKET SQ</t>
        </is>
      </c>
      <c r="J45" t="inlineStr"/>
      <c r="K45" t="inlineStr">
        <is>
          <t>MA</t>
        </is>
      </c>
      <c r="L45" t="inlineStr">
        <is>
          <t>02118</t>
        </is>
      </c>
      <c r="M45" t="inlineStr">
        <is>
          <t>SUFFOLK</t>
        </is>
      </c>
      <c r="N45" t="inlineStr">
        <is>
          <t>INDUSTRIAL||COLD_STORAGE</t>
        </is>
      </c>
      <c r="O45" t="inlineStr"/>
      <c r="P45" t="inlineStr"/>
      <c r="Q45" t="inlineStr"/>
      <c r="R45" t="inlineStr">
        <is>
          <t>FD25025316|26-0045563|1783029651</t>
        </is>
      </c>
      <c r="S45" t="inlineStr">
        <is>
          <t>APPROVED</t>
        </is>
      </c>
      <c r="T45" t="inlineStr"/>
      <c r="U45" t="inlineStr"/>
      <c r="V45" t="inlineStr"/>
      <c r="W45" t="inlineStr"/>
      <c r="X45" t="inlineStr"/>
      <c r="Y45" t="inlineStr"/>
      <c r="Z45" t="inlineStr">
        <is>
          <t>ENERGY_STORAGE_SYSTEM||OTHER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FD25025316</t>
        </is>
      </c>
      <c r="B46" t="inlineStr"/>
      <c r="C46" s="2">
        <f>IF(C46="","",DATE(VALUE(LEFT(C46,4)),VALUE(MID(C46,6,2)),VALUE(MID(C46,9,2)))+TIME(VALUE(MID(C46,12,2)),VALUE(MID(C46,15,2)),VALUE(MID(C46,18,2)))-IF(AND(DATE(VALUE(LEFT(C46,4)),VALUE(MID(C46,6,2)),VALUE(MID(C46,9,2)))+TIME(VALUE(MID(C46,12,2)),VALUE(MID(C46,15,2)),VALUE(MID(C46,18,2)))&gt;=DATE(VALUE(LEFT(C46,4)),3,1)+MOD(8-WEEKDAY(DATE(VALUE(LEFT(C46,4)),3,1)),7)+7+TIME(7,0,0),DATE(VALUE(LEFT(C46,4)),3,1)+MOD(8-WEEKDAY(DATE(VALUE(LEFT(C46,4)),3,1)),7)+7+TIME(7,0,0)&lt;DATE(VALUE(LEFT(C46,4)),11,1)+MOD(8-WEEKDAY(DATE(VALUE(LEFT(C46,4)),11,1)),7)+TIME(6,0,0)),TIME(4,0,0),TIME(5,0,0)))</f>
        <v/>
      </c>
      <c r="D46" s="3">
        <f>IF(D46="","",INT(D46))</f>
        <v/>
      </c>
      <c r="E46" s="4">
        <f>IF(D46="","",MOD(D46,1))</f>
        <v/>
      </c>
      <c r="F46" t="inlineStr"/>
      <c r="G46" t="inlineStr">
        <is>
          <t>26-0044290</t>
        </is>
      </c>
      <c r="H46" t="inlineStr">
        <is>
          <t>FIRE||STRUCTURE_FIRE||ROOM_AND_CONTENTS_FIRE</t>
        </is>
      </c>
      <c r="I46" t="inlineStr">
        <is>
          <t>BRADLEE ST</t>
        </is>
      </c>
      <c r="J46" t="inlineStr"/>
      <c r="K46" t="inlineStr">
        <is>
          <t>MA</t>
        </is>
      </c>
      <c r="L46" t="inlineStr">
        <is>
          <t>02136</t>
        </is>
      </c>
      <c r="M46" t="inlineStr">
        <is>
          <t>SUFFOLK</t>
        </is>
      </c>
      <c r="N46" t="inlineStr">
        <is>
          <t>RESIDENTIAL||DETATCHED_SINGLE_FAMILY_DWELLING</t>
        </is>
      </c>
      <c r="O46" t="inlineStr"/>
      <c r="P46" t="inlineStr"/>
      <c r="Q46" t="inlineStr"/>
      <c r="R46" t="inlineStr">
        <is>
          <t>FD25025316|26-0044290|1782665469</t>
        </is>
      </c>
      <c r="S46" t="inlineStr">
        <is>
          <t>APPROVED</t>
        </is>
      </c>
      <c r="T46" t="inlineStr"/>
      <c r="U46" t="inlineStr"/>
      <c r="V46" t="inlineStr"/>
      <c r="W46" t="inlineStr"/>
      <c r="X46" t="inlineStr"/>
      <c r="Y46" t="inlineStr"/>
      <c r="Z46" t="inlineStr">
        <is>
          <t>CONSUMER_PRODUCTS||OTHER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FD25025316</t>
        </is>
      </c>
      <c r="B47" t="inlineStr"/>
      <c r="C47" s="2">
        <f>IF(C47="","",DATE(VALUE(LEFT(C47,4)),VALUE(MID(C47,6,2)),VALUE(MID(C47,9,2)))+TIME(VALUE(MID(C47,12,2)),VALUE(MID(C47,15,2)),VALUE(MID(C47,18,2)))-IF(AND(DATE(VALUE(LEFT(C47,4)),VALUE(MID(C47,6,2)),VALUE(MID(C47,9,2)))+TIME(VALUE(MID(C47,12,2)),VALUE(MID(C47,15,2)),VALUE(MID(C47,18,2)))&gt;=DATE(VALUE(LEFT(C47,4)),3,1)+MOD(8-WEEKDAY(DATE(VALUE(LEFT(C47,4)),3,1)),7)+7+TIME(7,0,0),DATE(VALUE(LEFT(C47,4)),3,1)+MOD(8-WEEKDAY(DATE(VALUE(LEFT(C47,4)),3,1)),7)+7+TIME(7,0,0)&lt;DATE(VALUE(LEFT(C47,4)),11,1)+MOD(8-WEEKDAY(DATE(VALUE(LEFT(C47,4)),11,1)),7)+TIME(6,0,0)),TIME(4,0,0),TIME(5,0,0)))</f>
        <v/>
      </c>
      <c r="D47" s="3">
        <f>IF(D47="","",INT(D47))</f>
        <v/>
      </c>
      <c r="E47" s="4">
        <f>IF(D47="","",MOD(D47,1))</f>
        <v/>
      </c>
      <c r="F47" t="inlineStr"/>
      <c r="G47" t="inlineStr">
        <is>
          <t>26-0043218</t>
        </is>
      </c>
      <c r="H47" t="inlineStr">
        <is>
          <t>FIRE||TRANSPORTATION_FIRE||VEHICLE_FIRE_PASSENGER</t>
        </is>
      </c>
      <c r="I47" t="inlineStr">
        <is>
          <t>WASHINGTON ST</t>
        </is>
      </c>
      <c r="J47" t="inlineStr"/>
      <c r="K47" t="inlineStr">
        <is>
          <t>MA</t>
        </is>
      </c>
      <c r="L47" t="inlineStr">
        <is>
          <t>02111</t>
        </is>
      </c>
      <c r="M47" t="inlineStr">
        <is>
          <t>SUFFOLK</t>
        </is>
      </c>
      <c r="N47" t="inlineStr">
        <is>
          <t>RESIDENTIAL||MULTI_FAMILY_HIGHRISE_DWELLING</t>
        </is>
      </c>
      <c r="O47" t="inlineStr"/>
      <c r="P47" t="inlineStr"/>
      <c r="Q47" t="inlineStr"/>
      <c r="R47" t="inlineStr">
        <is>
          <t>FD25025316|26-0043218|1782328748</t>
        </is>
      </c>
      <c r="S47" t="inlineStr">
        <is>
          <t>APPROVED</t>
        </is>
      </c>
      <c r="T47" t="inlineStr"/>
      <c r="U47" t="inlineStr"/>
      <c r="V47" t="inlineStr"/>
      <c r="W47" t="inlineStr"/>
      <c r="X47" t="inlineStr"/>
      <c r="Y47" t="inlineStr"/>
      <c r="Z47" t="inlineStr">
        <is>
          <t>ELECTRIC_VEHICLE||LIGHT_EV_NRR||FUEL_CELL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FD25025316</t>
        </is>
      </c>
      <c r="B48" t="inlineStr"/>
      <c r="C48" s="2">
        <f>IF(C48="","",DATE(VALUE(LEFT(C48,4)),VALUE(MID(C48,6,2)),VALUE(MID(C48,9,2)))+TIME(VALUE(MID(C48,12,2)),VALUE(MID(C48,15,2)),VALUE(MID(C48,18,2)))-IF(AND(DATE(VALUE(LEFT(C48,4)),VALUE(MID(C48,6,2)),VALUE(MID(C48,9,2)))+TIME(VALUE(MID(C48,12,2)),VALUE(MID(C48,15,2)),VALUE(MID(C48,18,2)))&gt;=DATE(VALUE(LEFT(C48,4)),3,1)+MOD(8-WEEKDAY(DATE(VALUE(LEFT(C48,4)),3,1)),7)+7+TIME(7,0,0),DATE(VALUE(LEFT(C48,4)),3,1)+MOD(8-WEEKDAY(DATE(VALUE(LEFT(C48,4)),3,1)),7)+7+TIME(7,0,0)&lt;DATE(VALUE(LEFT(C48,4)),11,1)+MOD(8-WEEKDAY(DATE(VALUE(LEFT(C48,4)),11,1)),7)+TIME(6,0,0)),TIME(4,0,0),TIME(5,0,0)))</f>
        <v/>
      </c>
      <c r="D48" s="3">
        <f>IF(D48="","",INT(D48))</f>
        <v/>
      </c>
      <c r="E48" s="4">
        <f>IF(D48="","",MOD(D48,1))</f>
        <v/>
      </c>
      <c r="F48" t="inlineStr"/>
      <c r="G48" t="inlineStr">
        <is>
          <t>26-0042436</t>
        </is>
      </c>
      <c r="H48" t="inlineStr">
        <is>
          <t>HAZSIT||HAZARD_NONCHEM||ELEC_POWER_LINE_DOWN_ARCHING_MALFUNC</t>
        </is>
      </c>
      <c r="I48" t="inlineStr">
        <is>
          <t>CHESTNUT AVE</t>
        </is>
      </c>
      <c r="J48" t="inlineStr"/>
      <c r="K48" t="inlineStr">
        <is>
          <t>MA</t>
        </is>
      </c>
      <c r="L48" t="inlineStr">
        <is>
          <t>02130</t>
        </is>
      </c>
      <c r="M48" t="inlineStr">
        <is>
          <t>SUFFOLK</t>
        </is>
      </c>
      <c r="N48" t="inlineStr">
        <is>
          <t>ROADWAY_ACCESS||PARKING_LOT_GARAGE</t>
        </is>
      </c>
      <c r="O48" t="inlineStr"/>
      <c r="P48" t="inlineStr"/>
      <c r="Q48" t="inlineStr"/>
      <c r="R48" t="inlineStr">
        <is>
          <t>FD25025316|26-0042436|1782089213</t>
        </is>
      </c>
      <c r="S48" t="inlineStr">
        <is>
          <t>APPROVED</t>
        </is>
      </c>
      <c r="T48" t="inlineStr"/>
      <c r="U48" t="inlineStr"/>
      <c r="V48" t="inlineStr"/>
      <c r="W48" t="inlineStr"/>
      <c r="X48" t="inlineStr"/>
      <c r="Y48" t="inlineStr"/>
      <c r="Z48" t="inlineStr">
        <is>
          <t>ENERGY_STORAGE_SYSTEM||OTHER</t>
        </is>
      </c>
      <c r="AA48" t="inlineStr">
        <is>
          <t>UNKNOWN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FD25025316</t>
        </is>
      </c>
      <c r="B49" t="inlineStr"/>
      <c r="C49" s="2">
        <f>IF(C49="","",DATE(VALUE(LEFT(C49,4)),VALUE(MID(C49,6,2)),VALUE(MID(C49,9,2)))+TIME(VALUE(MID(C49,12,2)),VALUE(MID(C49,15,2)),VALUE(MID(C49,18,2)))-IF(AND(DATE(VALUE(LEFT(C49,4)),VALUE(MID(C49,6,2)),VALUE(MID(C49,9,2)))+TIME(VALUE(MID(C49,12,2)),VALUE(MID(C49,15,2)),VALUE(MID(C49,18,2)))&gt;=DATE(VALUE(LEFT(C49,4)),3,1)+MOD(8-WEEKDAY(DATE(VALUE(LEFT(C49,4)),3,1)),7)+7+TIME(7,0,0),DATE(VALUE(LEFT(C49,4)),3,1)+MOD(8-WEEKDAY(DATE(VALUE(LEFT(C49,4)),3,1)),7)+7+TIME(7,0,0)&lt;DATE(VALUE(LEFT(C49,4)),11,1)+MOD(8-WEEKDAY(DATE(VALUE(LEFT(C49,4)),11,1)),7)+TIME(6,0,0)),TIME(4,0,0),TIME(5,0,0)))</f>
        <v/>
      </c>
      <c r="D49" s="3">
        <f>IF(D49="","",INT(D49))</f>
        <v/>
      </c>
      <c r="E49" s="4">
        <f>IF(D49="","",MOD(D49,1))</f>
        <v/>
      </c>
      <c r="F49" t="inlineStr"/>
      <c r="G49" t="inlineStr">
        <is>
          <t>26-0041199</t>
        </is>
      </c>
      <c r="H49" t="inlineStr">
        <is>
          <t>FIRE||TRANSPORTATION_FIRE||VEHICLE_FIRE_COMMERCIAL</t>
        </is>
      </c>
      <c r="I49" t="inlineStr">
        <is>
          <t>SARATOGA ST</t>
        </is>
      </c>
      <c r="J49" t="inlineStr"/>
      <c r="K49" t="inlineStr">
        <is>
          <t>MA</t>
        </is>
      </c>
      <c r="L49" t="inlineStr">
        <is>
          <t>02128</t>
        </is>
      </c>
      <c r="M49" t="inlineStr">
        <is>
          <t>SUFFOLK</t>
        </is>
      </c>
      <c r="N49" t="inlineStr">
        <is>
          <t>ROADWAY_ACCESS||STREET</t>
        </is>
      </c>
      <c r="O49" t="inlineStr"/>
      <c r="P49" t="inlineStr"/>
      <c r="Q49" t="inlineStr"/>
      <c r="R49" t="inlineStr">
        <is>
          <t>FD25025316|26-0041199|1781715289</t>
        </is>
      </c>
      <c r="S49" t="inlineStr">
        <is>
          <t>APPROVED</t>
        </is>
      </c>
      <c r="T49" t="inlineStr"/>
      <c r="U49" t="inlineStr"/>
      <c r="V49" t="inlineStr"/>
      <c r="W49" t="inlineStr"/>
      <c r="X49" t="inlineStr"/>
      <c r="Y49" t="inlineStr"/>
      <c r="Z49" t="inlineStr">
        <is>
          <t>CONSUMER_PRODUCTS||OTHER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FD25025316</t>
        </is>
      </c>
      <c r="B50" t="inlineStr"/>
      <c r="C50" s="2">
        <f>IF(C50="","",DATE(VALUE(LEFT(C50,4)),VALUE(MID(C50,6,2)),VALUE(MID(C50,9,2)))+TIME(VALUE(MID(C50,12,2)),VALUE(MID(C50,15,2)),VALUE(MID(C50,18,2)))-IF(AND(DATE(VALUE(LEFT(C50,4)),VALUE(MID(C50,6,2)),VALUE(MID(C50,9,2)))+TIME(VALUE(MID(C50,12,2)),VALUE(MID(C50,15,2)),VALUE(MID(C50,18,2)))&gt;=DATE(VALUE(LEFT(C50,4)),3,1)+MOD(8-WEEKDAY(DATE(VALUE(LEFT(C50,4)),3,1)),7)+7+TIME(7,0,0),DATE(VALUE(LEFT(C50,4)),3,1)+MOD(8-WEEKDAY(DATE(VALUE(LEFT(C50,4)),3,1)),7)+7+TIME(7,0,0)&lt;DATE(VALUE(LEFT(C50,4)),11,1)+MOD(8-WEEKDAY(DATE(VALUE(LEFT(C50,4)),11,1)),7)+TIME(6,0,0)),TIME(4,0,0),TIME(5,0,0)))</f>
        <v/>
      </c>
      <c r="D50" s="3">
        <f>IF(D50="","",INT(D50))</f>
        <v/>
      </c>
      <c r="E50" s="4">
        <f>IF(D50="","",MOD(D50,1))</f>
        <v/>
      </c>
      <c r="F50" t="inlineStr"/>
      <c r="G50" t="inlineStr">
        <is>
          <t>26-0038885</t>
        </is>
      </c>
      <c r="H50" t="inlineStr">
        <is>
          <t>FIRE||STRUCTURE_FIRE||STRUCTURAL_INVOLVEMENT_FIRE</t>
        </is>
      </c>
      <c r="I50" t="inlineStr">
        <is>
          <t>WASHINGTON ST</t>
        </is>
      </c>
      <c r="J50" t="inlineStr"/>
      <c r="K50" t="inlineStr">
        <is>
          <t>MA</t>
        </is>
      </c>
      <c r="L50" t="inlineStr">
        <is>
          <t>02135</t>
        </is>
      </c>
      <c r="M50" t="inlineStr">
        <is>
          <t>SUFFOLK</t>
        </is>
      </c>
      <c r="N50" t="inlineStr">
        <is>
          <t>RESIDENTIAL||MULTI_FAMILY_MIDRISE_DWELLING</t>
        </is>
      </c>
      <c r="O50" t="inlineStr"/>
      <c r="P50" t="inlineStr"/>
      <c r="Q50" t="inlineStr"/>
      <c r="R50" t="inlineStr">
        <is>
          <t>FD25025316|26-0038885|1781027184</t>
        </is>
      </c>
      <c r="S50" t="inlineStr">
        <is>
          <t>APPROVED</t>
        </is>
      </c>
      <c r="T50" t="inlineStr"/>
      <c r="U50" t="inlineStr"/>
      <c r="V50" t="inlineStr"/>
      <c r="W50" t="inlineStr"/>
      <c r="X50" t="inlineStr"/>
      <c r="Y50" t="inlineStr"/>
      <c r="Z50" t="inlineStr">
        <is>
          <t>E_MOBILITY||ELECTRIC_SCOOTER_MOPED</t>
        </is>
      </c>
      <c r="AA50" t="inlineStr">
        <is>
          <t>UNKNOWN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FD25027106</t>
        </is>
      </c>
      <c r="B51" t="inlineStr"/>
      <c r="C51" s="2">
        <f>IF(C51="","",DATE(VALUE(LEFT(C51,4)),VALUE(MID(C51,6,2)),VALUE(MID(C51,9,2)))+TIME(VALUE(MID(C51,12,2)),VALUE(MID(C51,15,2)),VALUE(MID(C51,18,2)))-IF(AND(DATE(VALUE(LEFT(C51,4)),VALUE(MID(C51,6,2)),VALUE(MID(C51,9,2)))+TIME(VALUE(MID(C51,12,2)),VALUE(MID(C51,15,2)),VALUE(MID(C51,18,2)))&gt;=DATE(VALUE(LEFT(C51,4)),3,1)+MOD(8-WEEKDAY(DATE(VALUE(LEFT(C51,4)),3,1)),7)+7+TIME(7,0,0),DATE(VALUE(LEFT(C51,4)),3,1)+MOD(8-WEEKDAY(DATE(VALUE(LEFT(C51,4)),3,1)),7)+7+TIME(7,0,0)&lt;DATE(VALUE(LEFT(C51,4)),11,1)+MOD(8-WEEKDAY(DATE(VALUE(LEFT(C51,4)),11,1)),7)+TIME(6,0,0)),TIME(4,0,0),TIME(5,0,0)))</f>
        <v/>
      </c>
      <c r="D51" s="3">
        <f>IF(D51="","",INT(D51))</f>
        <v/>
      </c>
      <c r="E51" s="4">
        <f>IF(D51="","",MOD(D51,1))</f>
        <v/>
      </c>
      <c r="F51" t="inlineStr"/>
      <c r="G51" t="inlineStr">
        <is>
          <t>82a1a546-444b-4c60-835c-3fff2e6f5eb6</t>
        </is>
      </c>
      <c r="H51" t="inlineStr">
        <is>
          <t>PUBSERV||ALARMS_NONMED||FIRE_ALARM</t>
        </is>
      </c>
      <c r="I51" t="inlineStr">
        <is>
          <t>Coy Hill</t>
        </is>
      </c>
      <c r="J51" t="inlineStr">
        <is>
          <t>Warren</t>
        </is>
      </c>
      <c r="K51" t="inlineStr">
        <is>
          <t>MA</t>
        </is>
      </c>
      <c r="L51" t="inlineStr">
        <is>
          <t>01083</t>
        </is>
      </c>
      <c r="M51" t="inlineStr">
        <is>
          <t>Worcester County</t>
        </is>
      </c>
      <c r="N51" t="inlineStr">
        <is>
          <t>UTILITY_MISC||ENERGY_FACILITY_INFRASTRUCTURE</t>
        </is>
      </c>
      <c r="O51" t="inlineStr"/>
      <c r="P51" t="inlineStr"/>
      <c r="Q51" t="inlineStr"/>
      <c r="R51" t="inlineStr">
        <is>
          <t>FD25027106|26WN-651-IN|1781333401</t>
        </is>
      </c>
      <c r="S51" t="inlineStr">
        <is>
          <t>PENDING_APPROVAL</t>
        </is>
      </c>
      <c r="T51" t="inlineStr"/>
      <c r="U51" t="inlineStr"/>
      <c r="V51" t="inlineStr"/>
      <c r="W51" t="inlineStr"/>
      <c r="X51" t="inlineStr"/>
      <c r="Y51" t="inlineStr"/>
      <c r="Z51" t="inlineStr">
        <is>
          <t>CONSUMER_PRODUCTS||COMPUTER_TABLET||ENERGY_STORAGE_SYSTEM||BATTERY</t>
        </is>
      </c>
      <c r="AA51" t="inlineStr">
        <is>
          <t>UNKNOWN||UNKNOWN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FD25027116</t>
        </is>
      </c>
      <c r="B52" t="inlineStr"/>
      <c r="C52" s="2">
        <f>IF(C52="","",DATE(VALUE(LEFT(C52,4)),VALUE(MID(C52,6,2)),VALUE(MID(C52,9,2)))+TIME(VALUE(MID(C52,12,2)),VALUE(MID(C52,15,2)),VALUE(MID(C52,18,2)))-IF(AND(DATE(VALUE(LEFT(C52,4)),VALUE(MID(C52,6,2)),VALUE(MID(C52,9,2)))+TIME(VALUE(MID(C52,12,2)),VALUE(MID(C52,15,2)),VALUE(MID(C52,18,2)))&gt;=DATE(VALUE(LEFT(C52,4)),3,1)+MOD(8-WEEKDAY(DATE(VALUE(LEFT(C52,4)),3,1)),7)+7+TIME(7,0,0),DATE(VALUE(LEFT(C52,4)),3,1)+MOD(8-WEEKDAY(DATE(VALUE(LEFT(C52,4)),3,1)),7)+7+TIME(7,0,0)&lt;DATE(VALUE(LEFT(C52,4)),11,1)+MOD(8-WEEKDAY(DATE(VALUE(LEFT(C52,4)),11,1)),7)+TIME(6,0,0)),TIME(4,0,0),TIME(5,0,0)))</f>
        <v/>
      </c>
      <c r="D52" s="3">
        <f>IF(D52="","",INT(D52))</f>
        <v/>
      </c>
      <c r="E52" s="4">
        <f>IF(D52="","",MOD(D52,1))</f>
        <v/>
      </c>
      <c r="F52" t="inlineStr"/>
      <c r="G52" t="inlineStr">
        <is>
          <t>26-849-IN_639216671338379984</t>
        </is>
      </c>
      <c r="H52" t="inlineStr">
        <is>
          <t>FIRE||OUTSIDE_FIRE||UTILITY_INFRASTRUCTURE_FIRE</t>
        </is>
      </c>
      <c r="I52" t="inlineStr">
        <is>
          <t>Oak</t>
        </is>
      </c>
      <c r="J52" t="inlineStr">
        <is>
          <t>Douglas</t>
        </is>
      </c>
      <c r="K52" t="inlineStr">
        <is>
          <t>MA</t>
        </is>
      </c>
      <c r="L52" t="inlineStr">
        <is>
          <t>01516</t>
        </is>
      </c>
      <c r="M52" t="inlineStr">
        <is>
          <t>Worcester County</t>
        </is>
      </c>
      <c r="N52" t="inlineStr">
        <is>
          <t>UTILITY_MISC||ENERGY_FACILITY_INFRASTRUCTURE</t>
        </is>
      </c>
      <c r="O52" t="inlineStr"/>
      <c r="P52" t="inlineStr"/>
      <c r="Q52" t="inlineStr"/>
      <c r="R52" t="inlineStr">
        <is>
          <t>FD25027116|26-849-IN_639216671338379984|1785849870</t>
        </is>
      </c>
      <c r="S52" t="inlineStr">
        <is>
          <t>APPROVED</t>
        </is>
      </c>
      <c r="T52" t="inlineStr"/>
      <c r="U52" t="inlineStr"/>
      <c r="V52" t="inlineStr"/>
      <c r="W52" t="inlineStr"/>
      <c r="X52" t="inlineStr"/>
      <c r="Y52" t="inlineStr"/>
      <c r="Z52" t="inlineStr">
        <is>
          <t>ENERGY_STORAGE_SYSTEM||BATTERY</t>
        </is>
      </c>
      <c r="AA52" t="inlineStr">
        <is>
          <t>TARGET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FD25027451</t>
        </is>
      </c>
      <c r="B53" t="inlineStr"/>
      <c r="C53" s="2">
        <f>IF(C53="","",DATE(VALUE(LEFT(C53,4)),VALUE(MID(C53,6,2)),VALUE(MID(C53,9,2)))+TIME(VALUE(MID(C53,12,2)),VALUE(MID(C53,15,2)),VALUE(MID(C53,18,2)))-IF(AND(DATE(VALUE(LEFT(C53,4)),VALUE(MID(C53,6,2)),VALUE(MID(C53,9,2)))+TIME(VALUE(MID(C53,12,2)),VALUE(MID(C53,15,2)),VALUE(MID(C53,18,2)))&gt;=DATE(VALUE(LEFT(C53,4)),3,1)+MOD(8-WEEKDAY(DATE(VALUE(LEFT(C53,4)),3,1)),7)+7+TIME(7,0,0),DATE(VALUE(LEFT(C53,4)),3,1)+MOD(8-WEEKDAY(DATE(VALUE(LEFT(C53,4)),3,1)),7)+7+TIME(7,0,0)&lt;DATE(VALUE(LEFT(C53,4)),11,1)+MOD(8-WEEKDAY(DATE(VALUE(LEFT(C53,4)),11,1)),7)+TIME(6,0,0)),TIME(4,0,0),TIME(5,0,0)))</f>
        <v/>
      </c>
      <c r="D53" s="3">
        <f>IF(D53="","",INT(D53))</f>
        <v/>
      </c>
      <c r="E53" s="4">
        <f>IF(D53="","",MOD(D53,1))</f>
        <v/>
      </c>
      <c r="F53" t="inlineStr"/>
      <c r="G53" t="inlineStr">
        <is>
          <t>26-0001637_639224322613616029</t>
        </is>
      </c>
      <c r="H53" t="inlineStr">
        <is>
          <t>FIRE||STRUCTURE_FIRE||CONFINED_COOKING_APPLIANCE_FIRE</t>
        </is>
      </c>
      <c r="I53" t="inlineStr">
        <is>
          <t>Church Apt A 4</t>
        </is>
      </c>
      <c r="J53" t="inlineStr">
        <is>
          <t>Northborough</t>
        </is>
      </c>
      <c r="K53" t="inlineStr">
        <is>
          <t>MA</t>
        </is>
      </c>
      <c r="L53" t="inlineStr">
        <is>
          <t>01532</t>
        </is>
      </c>
      <c r="M53" t="inlineStr">
        <is>
          <t>Worcester County</t>
        </is>
      </c>
      <c r="N53" t="inlineStr">
        <is>
          <t>RESIDENTIAL||MULTI_FAMILY_LOWRISE_DWELLING</t>
        </is>
      </c>
      <c r="O53" t="inlineStr"/>
      <c r="P53" t="inlineStr"/>
      <c r="Q53" t="inlineStr"/>
      <c r="R53" t="inlineStr">
        <is>
          <t>FD25027451|26-0001637_639224322613616029|1786830136</t>
        </is>
      </c>
      <c r="S53" t="inlineStr">
        <is>
          <t>APPROVED</t>
        </is>
      </c>
      <c r="T53" t="inlineStr"/>
      <c r="U53" t="inlineStr"/>
      <c r="V53" t="inlineStr"/>
      <c r="W53" t="inlineStr"/>
      <c r="X53" t="inlineStr"/>
      <c r="Y53" t="inlineStr"/>
      <c r="Z53" t="inlineStr">
        <is>
          <t>CONSUMER_PRODUCTS||APPLIANCE_TOOL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FD25027606</t>
        </is>
      </c>
      <c r="B54" t="inlineStr"/>
      <c r="C54" s="2">
        <f>IF(C54="","",DATE(VALUE(LEFT(C54,4)),VALUE(MID(C54,6,2)),VALUE(MID(C54,9,2)))+TIME(VALUE(MID(C54,12,2)),VALUE(MID(C54,15,2)),VALUE(MID(C54,18,2)))-IF(AND(DATE(VALUE(LEFT(C54,4)),VALUE(MID(C54,6,2)),VALUE(MID(C54,9,2)))+TIME(VALUE(MID(C54,12,2)),VALUE(MID(C54,15,2)),VALUE(MID(C54,18,2)))&gt;=DATE(VALUE(LEFT(C54,4)),3,1)+MOD(8-WEEKDAY(DATE(VALUE(LEFT(C54,4)),3,1)),7)+7+TIME(7,0,0),DATE(VALUE(LEFT(C54,4)),3,1)+MOD(8-WEEKDAY(DATE(VALUE(LEFT(C54,4)),3,1)),7)+7+TIME(7,0,0)&lt;DATE(VALUE(LEFT(C54,4)),11,1)+MOD(8-WEEKDAY(DATE(VALUE(LEFT(C54,4)),11,1)),7)+TIME(6,0,0)),TIME(4,0,0),TIME(5,0,0)))</f>
        <v/>
      </c>
      <c r="D54" s="3">
        <f>IF(D54="","",INT(D54))</f>
        <v/>
      </c>
      <c r="E54" s="4">
        <f>IF(D54="","",MOD(D54,1))</f>
        <v/>
      </c>
      <c r="F54" t="inlineStr"/>
      <c r="G54" t="inlineStr">
        <is>
          <t>26-14622_639203448685322953</t>
        </is>
      </c>
      <c r="H54" t="inlineStr">
        <is>
          <t>HAZSIT||HAZARD_NONCHEM||ELEC_HAZARD_SHORT_CIRCUIT</t>
        </is>
      </c>
      <c r="I54" t="inlineStr">
        <is>
          <t>Charlton</t>
        </is>
      </c>
      <c r="J54" t="inlineStr">
        <is>
          <t>Sturbridge</t>
        </is>
      </c>
      <c r="K54" t="inlineStr">
        <is>
          <t>MA</t>
        </is>
      </c>
      <c r="L54" t="inlineStr">
        <is>
          <t>01566</t>
        </is>
      </c>
      <c r="M54" t="inlineStr">
        <is>
          <t>Worcester County</t>
        </is>
      </c>
      <c r="N54" t="inlineStr">
        <is>
          <t>UTILITY_MISC||ENERGY_FACILITY_INFRASTRUCTURE</t>
        </is>
      </c>
      <c r="O54" t="inlineStr"/>
      <c r="P54" t="inlineStr"/>
      <c r="Q54" t="inlineStr"/>
      <c r="R54" t="inlineStr">
        <is>
          <t>FD25027606|26-14622_639203448685322953|1784640858</t>
        </is>
      </c>
      <c r="S54" t="inlineStr">
        <is>
          <t>APPROVED</t>
        </is>
      </c>
      <c r="T54" t="inlineStr"/>
      <c r="U54" t="inlineStr"/>
      <c r="V54" t="inlineStr"/>
      <c r="W54" t="inlineStr"/>
      <c r="X54" t="inlineStr"/>
      <c r="Y54" t="inlineStr"/>
      <c r="Z54" t="inlineStr">
        <is>
          <t>ENERGY_STORAGE_SYSTEM||BATTERY</t>
        </is>
      </c>
      <c r="AA54" t="inlineStr">
        <is>
          <t>SOURCE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FD25027805</t>
        </is>
      </c>
      <c r="B55" t="inlineStr"/>
      <c r="C55" s="2">
        <f>IF(C55="","",DATE(VALUE(LEFT(C55,4)),VALUE(MID(C55,6,2)),VALUE(MID(C55,9,2)))+TIME(VALUE(MID(C55,12,2)),VALUE(MID(C55,15,2)),VALUE(MID(C55,18,2)))-IF(AND(DATE(VALUE(LEFT(C55,4)),VALUE(MID(C55,6,2)),VALUE(MID(C55,9,2)))+TIME(VALUE(MID(C55,12,2)),VALUE(MID(C55,15,2)),VALUE(MID(C55,18,2)))&gt;=DATE(VALUE(LEFT(C55,4)),3,1)+MOD(8-WEEKDAY(DATE(VALUE(LEFT(C55,4)),3,1)),7)+7+TIME(7,0,0),DATE(VALUE(LEFT(C55,4)),3,1)+MOD(8-WEEKDAY(DATE(VALUE(LEFT(C55,4)),3,1)),7)+7+TIME(7,0,0)&lt;DATE(VALUE(LEFT(C55,4)),11,1)+MOD(8-WEEKDAY(DATE(VALUE(LEFT(C55,4)),11,1)),7)+TIME(6,0,0)),TIME(4,0,0),TIME(5,0,0)))</f>
        <v/>
      </c>
      <c r="D55" s="3">
        <f>IF(D55="","",INT(D55))</f>
        <v/>
      </c>
      <c r="E55" s="4">
        <f>IF(D55="","",MOD(D55,1))</f>
        <v/>
      </c>
      <c r="F55" t="inlineStr"/>
      <c r="G55" t="inlineStr">
        <is>
          <t>0ef277c6-baa5-4b2d-813f-baccc27bee67</t>
        </is>
      </c>
      <c r="H55" t="inlineStr">
        <is>
          <t>FIRE||STRUCTURE_FIRE||STRUCTURAL_INVOLVEMENT_FIRE</t>
        </is>
      </c>
      <c r="I55" t="inlineStr"/>
      <c r="J55" t="inlineStr"/>
      <c r="K55" t="inlineStr"/>
      <c r="L55" t="inlineStr"/>
      <c r="M55" t="inlineStr"/>
      <c r="N55" t="inlineStr">
        <is>
          <t>RESIDENTIAL||DETATCHED_SINGLE_FAMILY_DWELLING</t>
        </is>
      </c>
      <c r="O55" t="inlineStr"/>
      <c r="P55" t="inlineStr"/>
      <c r="Q55" t="inlineStr"/>
      <c r="R55" t="inlineStr">
        <is>
          <t>FD25027805|1782342373|1782004308</t>
        </is>
      </c>
      <c r="S55" t="inlineStr">
        <is>
          <t>APPROVED</t>
        </is>
      </c>
      <c r="T55" t="inlineStr"/>
      <c r="U55" t="inlineStr"/>
      <c r="V55" t="inlineStr"/>
      <c r="W55" t="inlineStr"/>
      <c r="X55" t="inlineStr"/>
      <c r="Y55" t="inlineStr"/>
      <c r="Z55" t="inlineStr">
        <is>
          <t>E_MOBILITY||POWER_ASSISTED_BICYCLE</t>
        </is>
      </c>
      <c r="AA55" t="inlineStr">
        <is>
          <t>TARGET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FD25027809</t>
        </is>
      </c>
      <c r="B56" t="inlineStr"/>
      <c r="C56" s="2">
        <f>IF(C56="","",DATE(VALUE(LEFT(C56,4)),VALUE(MID(C56,6,2)),VALUE(MID(C56,9,2)))+TIME(VALUE(MID(C56,12,2)),VALUE(MID(C56,15,2)),VALUE(MID(C56,18,2)))-IF(AND(DATE(VALUE(LEFT(C56,4)),VALUE(MID(C56,6,2)),VALUE(MID(C56,9,2)))+TIME(VALUE(MID(C56,12,2)),VALUE(MID(C56,15,2)),VALUE(MID(C56,18,2)))&gt;=DATE(VALUE(LEFT(C56,4)),3,1)+MOD(8-WEEKDAY(DATE(VALUE(LEFT(C56,4)),3,1)),7)+7+TIME(7,0,0),DATE(VALUE(LEFT(C56,4)),3,1)+MOD(8-WEEKDAY(DATE(VALUE(LEFT(C56,4)),3,1)),7)+7+TIME(7,0,0)&lt;DATE(VALUE(LEFT(C56,4)),11,1)+MOD(8-WEEKDAY(DATE(VALUE(LEFT(C56,4)),11,1)),7)+TIME(6,0,0)),TIME(4,0,0),TIME(5,0,0)))</f>
        <v/>
      </c>
      <c r="D56" s="3">
        <f>IF(D56="","",INT(D56))</f>
        <v/>
      </c>
      <c r="E56" s="4">
        <f>IF(D56="","",MOD(D56,1))</f>
        <v/>
      </c>
      <c r="F56" t="inlineStr"/>
      <c r="G56" t="inlineStr">
        <is>
          <t>26-60265_639210171641425597</t>
        </is>
      </c>
      <c r="H56" t="inlineStr">
        <is>
          <t>HAZSIT||HAZARD_NONCHEM||ELEC_POWER_LINE_DOWN_ARCHING_MALFUNC</t>
        </is>
      </c>
      <c r="I56" t="inlineStr">
        <is>
          <t>Hemlock DRIVE</t>
        </is>
      </c>
      <c r="J56" t="inlineStr"/>
      <c r="K56" t="inlineStr">
        <is>
          <t>MA</t>
        </is>
      </c>
      <c r="L56" t="inlineStr">
        <is>
          <t>01462</t>
        </is>
      </c>
      <c r="M56" t="inlineStr">
        <is>
          <t>Worcester County</t>
        </is>
      </c>
      <c r="N56" t="inlineStr">
        <is>
          <t>ROADWAY_ACCESS||STREET</t>
        </is>
      </c>
      <c r="O56" t="inlineStr"/>
      <c r="P56" t="inlineStr"/>
      <c r="Q56" t="inlineStr"/>
      <c r="R56" t="inlineStr">
        <is>
          <t>FD25027809|26-60265_639210171641425597|1785412232</t>
        </is>
      </c>
      <c r="S56" t="inlineStr">
        <is>
          <t>APPROVED</t>
        </is>
      </c>
      <c r="T56" t="inlineStr"/>
      <c r="U56" t="inlineStr"/>
      <c r="V56" t="inlineStr"/>
      <c r="W56" t="inlineStr"/>
      <c r="X56" t="inlineStr"/>
      <c r="Y56" t="inlineStr"/>
      <c r="Z56" t="inlineStr">
        <is>
          <t>ENERGY_STORAGE_SYSTEM||OTHER</t>
        </is>
      </c>
      <c r="AA56" t="inlineStr">
        <is>
          <t>SOURCE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Incidents Reported</t>
        </is>
      </c>
      <c r="B2" t="n">
        <v>55</v>
      </c>
    </row>
    <row r="3">
      <c r="A3" t="inlineStr">
        <is>
          <t>Battery-Related Structure Fires</t>
        </is>
      </c>
      <c r="B3" t="n">
        <v>0</v>
      </c>
    </row>
    <row r="4">
      <c r="A4" t="inlineStr">
        <is>
          <t>Battery-Related Outside Fires</t>
        </is>
      </c>
      <c r="B4" t="n">
        <v>0</v>
      </c>
    </row>
    <row r="5">
      <c r="A5" t="inlineStr">
        <is>
          <t>Electric Vehicle Related</t>
        </is>
      </c>
      <c r="B5" t="n">
        <v>0</v>
      </c>
    </row>
    <row r="6">
      <c r="A6" t="inlineStr">
        <is>
          <t>Incidents with Electric Hazards</t>
        </is>
      </c>
      <c r="B6" t="n">
        <v>55</v>
      </c>
    </row>
    <row r="7">
      <c r="A7" t="inlineStr">
        <is>
          <t>Thermal Runaway Events</t>
        </is>
      </c>
      <c r="B7" t="n">
        <v>0</v>
      </c>
    </row>
    <row r="8">
      <c r="A8" t="inlineStr">
        <is>
          <t>Incidents with Original Battery Info</t>
        </is>
      </c>
      <c r="B8" t="n">
        <v>0</v>
      </c>
    </row>
    <row r="9">
      <c r="A9" t="inlineStr">
        <is>
          <t>Incidents with Battery Chemistry Info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85" customWidth="1" min="2" max="2"/>
  </cols>
  <sheetData>
    <row r="1">
      <c r="A1" s="5" t="inlineStr">
        <is>
          <t>Report source</t>
        </is>
      </c>
      <c r="B1" s="5" t="inlineStr">
        <is>
          <t>IncidentPull_LithiumIonBatteries.py</t>
        </is>
      </c>
    </row>
    <row r="2">
      <c r="A2" t="inlineStr">
        <is>
          <t>Report date/range</t>
        </is>
      </c>
      <c r="B2" t="inlineStr">
        <is>
          <t>2026-06-06T19:31:55+00:00 through 2026-09-01T02:54:51+00:00 (observed incident timestamps)</t>
        </is>
      </c>
    </row>
    <row r="3">
      <c r="A3" t="inlineStr">
        <is>
          <t>Generated at</t>
        </is>
      </c>
      <c r="B3" t="inlineStr">
        <is>
          <t>2026-09-01T12:53:42-04:00</t>
        </is>
      </c>
    </row>
    <row r="5">
      <c r="A5" s="5" t="inlineStr">
        <is>
          <t>Report Type</t>
        </is>
      </c>
      <c r="B5" s="5" t="inlineStr">
        <is>
          <t>Lithium-ion Battery Fires</t>
        </is>
      </c>
    </row>
    <row r="6">
      <c r="A6" t="inlineStr">
        <is>
          <t>Date Range</t>
        </is>
      </c>
      <c r="B6" t="inlineStr">
        <is>
          <t>Occurred Last 90 Days</t>
        </is>
      </c>
    </row>
    <row r="7">
      <c r="A7" t="inlineStr">
        <is>
          <t>Entity Filter</t>
        </is>
      </c>
      <c r="B7" t="inlineStr">
        <is>
          <t>Statewide</t>
        </is>
      </c>
    </row>
    <row r="8">
      <c r="A8" t="inlineStr">
        <is>
          <t>Included sheets</t>
        </is>
      </c>
      <c r="B8" t="inlineStr">
        <is>
          <t>Incident Details, Summary, Report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2026-09-01T16:53:42Z</dcterms:created>
  <dcterms:modified xsi:type="dcterms:W3CDTF">2026-09-01T16:53:42Z</dcterms:modified>
</cp:coreProperties>
</file>